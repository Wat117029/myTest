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E:\Desktop\"/>
    </mc:Choice>
  </mc:AlternateContent>
  <xr:revisionPtr revIDLastSave="0" documentId="13_ncr:1_{0FC30BCD-6DCB-4A04-9BD3-EE0FDFAFBA65}" xr6:coauthVersionLast="47" xr6:coauthVersionMax="47" xr10:uidLastSave="{00000000-0000-0000-0000-000000000000}"/>
  <bookViews>
    <workbookView xWindow="-120" yWindow="-120" windowWidth="29040" windowHeight="15840" activeTab="3" xr2:uid="{00000000-000D-0000-FFFF-FFFF00000000}"/>
  </bookViews>
  <sheets>
    <sheet name="品番" sheetId="37" r:id="rId1"/>
    <sheet name="改定" sheetId="36" r:id="rId2"/>
    <sheet name="Sheet2" sheetId="45" r:id="rId3"/>
    <sheet name="適用号機" sheetId="38" r:id="rId4"/>
    <sheet name="テーブル2" sheetId="44" r:id="rId5"/>
    <sheet name="Sheet1" sheetId="43" r:id="rId6"/>
    <sheet name="d30" sheetId="42" r:id="rId7"/>
    <sheet name="d29" sheetId="41" r:id="rId8"/>
  </sheets>
  <definedNames>
    <definedName name="_xlnm._FilterDatabase" localSheetId="7" hidden="1">'d29'!$B$53:$Q$184</definedName>
    <definedName name="_xlnm._FilterDatabase" localSheetId="6" hidden="1">'d30'!$B$53:$Q$188</definedName>
    <definedName name="_xlnm._FilterDatabase" localSheetId="1" hidden="1">改定!$A$1:$O$857</definedName>
    <definedName name="_xlnm._FilterDatabase" localSheetId="3" hidden="1">適用号機!$A$1:$R$1548</definedName>
    <definedName name="_xlnm._FilterDatabase" localSheetId="0" hidden="1">品番!$A$1:$J$256</definedName>
    <definedName name="ExternalData_1" localSheetId="4" hidden="1">テーブル2!$A$1:$B$7</definedName>
    <definedName name="_xlnm.Print_Area" localSheetId="7">'d29'!$B$1:$Q$179</definedName>
    <definedName name="_xlnm.Print_Area" localSheetId="6">'d30'!$B$1:$Q$181</definedName>
    <definedName name="_xlnm.Print_Area" localSheetId="1">改定!$A$1:$L$593</definedName>
    <definedName name="_xlnm.Print_Area" localSheetId="3">適用号機!$A$1:$M$486</definedName>
    <definedName name="_xlnm.Print_Area" localSheetId="0">品番!$A$1:$J$127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6" l="1" a="1"/>
  <c r="M3" i="36" s="1"/>
  <c r="M4" i="36" a="1"/>
  <c r="M4" i="36" s="1"/>
  <c r="M5" i="36" a="1"/>
  <c r="M5" i="36" s="1"/>
  <c r="M6" i="36" a="1"/>
  <c r="M6" i="36" s="1"/>
  <c r="M7" i="36" a="1"/>
  <c r="M7" i="36" s="1"/>
  <c r="M8" i="36" a="1"/>
  <c r="M8" i="36" s="1"/>
  <c r="M9" i="36" a="1"/>
  <c r="M9" i="36" s="1"/>
  <c r="M10" i="36" a="1"/>
  <c r="M10" i="36" s="1"/>
  <c r="M11" i="36" a="1"/>
  <c r="M11" i="36" s="1"/>
  <c r="M12" i="36" a="1"/>
  <c r="M12" i="36" s="1"/>
  <c r="M13" i="36" a="1"/>
  <c r="M13" i="36" s="1"/>
  <c r="M14" i="36" a="1"/>
  <c r="M14" i="36" s="1"/>
  <c r="M15" i="36" a="1"/>
  <c r="M15" i="36" s="1"/>
  <c r="M16" i="36" a="1"/>
  <c r="M16" i="36" s="1"/>
  <c r="M17" i="36" a="1"/>
  <c r="M17" i="36" s="1"/>
  <c r="M18" i="36" a="1"/>
  <c r="M18" i="36" s="1"/>
  <c r="M19" i="36" a="1"/>
  <c r="M19" i="36" s="1"/>
  <c r="M20" i="36" a="1"/>
  <c r="M20" i="36" s="1"/>
  <c r="M21" i="36" a="1"/>
  <c r="M21" i="36" s="1"/>
  <c r="M22" i="36" a="1"/>
  <c r="M22" i="36" s="1"/>
  <c r="M23" i="36" a="1"/>
  <c r="M23" i="36" s="1"/>
  <c r="M24" i="36" a="1"/>
  <c r="M24" i="36" s="1"/>
  <c r="M25" i="36" a="1"/>
  <c r="M25" i="36" s="1"/>
  <c r="M26" i="36" a="1"/>
  <c r="M26" i="36" s="1"/>
  <c r="M27" i="36" a="1"/>
  <c r="M27" i="36" s="1"/>
  <c r="M28" i="36" a="1"/>
  <c r="M28" i="36" s="1"/>
  <c r="M29" i="36" a="1"/>
  <c r="M29" i="36" s="1"/>
  <c r="M30" i="36" a="1"/>
  <c r="M30" i="36"/>
  <c r="M31" i="36" a="1"/>
  <c r="M31" i="36" s="1"/>
  <c r="M32" i="36" a="1"/>
  <c r="M32" i="36" s="1"/>
  <c r="M33" i="36" a="1"/>
  <c r="M33" i="36" s="1"/>
  <c r="M34" i="36" a="1"/>
  <c r="M34" i="36" s="1"/>
  <c r="M35" i="36" a="1"/>
  <c r="M35" i="36" s="1"/>
  <c r="M36" i="36" a="1"/>
  <c r="M36" i="36" s="1"/>
  <c r="M37" i="36" a="1"/>
  <c r="M37" i="36" s="1"/>
  <c r="M38" i="36" a="1"/>
  <c r="M38" i="36"/>
  <c r="M39" i="36" a="1"/>
  <c r="M39" i="36" s="1"/>
  <c r="M40" i="36" a="1"/>
  <c r="M40" i="36" s="1"/>
  <c r="M41" i="36" a="1"/>
  <c r="M41" i="36" s="1"/>
  <c r="M42" i="36" a="1"/>
  <c r="M42" i="36" s="1"/>
  <c r="M43" i="36" a="1"/>
  <c r="M43" i="36" s="1"/>
  <c r="M44" i="36" a="1"/>
  <c r="M44" i="36" s="1"/>
  <c r="M45" i="36" a="1"/>
  <c r="M45" i="36" s="1"/>
  <c r="M46" i="36" a="1"/>
  <c r="M46" i="36" s="1"/>
  <c r="M47" i="36" a="1"/>
  <c r="M47" i="36" s="1"/>
  <c r="M48" i="36" a="1"/>
  <c r="M48" i="36" s="1"/>
  <c r="M49" i="36" a="1"/>
  <c r="M49" i="36" s="1"/>
  <c r="M50" i="36" a="1"/>
  <c r="M50" i="36" s="1"/>
  <c r="M51" i="36" a="1"/>
  <c r="M51" i="36" s="1"/>
  <c r="M52" i="36" a="1"/>
  <c r="M52" i="36" s="1"/>
  <c r="M53" i="36" a="1"/>
  <c r="M53" i="36" s="1"/>
  <c r="M54" i="36" a="1"/>
  <c r="M54" i="36" s="1"/>
  <c r="M55" i="36" a="1"/>
  <c r="M55" i="36" s="1"/>
  <c r="M56" i="36" a="1"/>
  <c r="M56" i="36" s="1"/>
  <c r="M57" i="36" a="1"/>
  <c r="M57" i="36" s="1"/>
  <c r="M58" i="36" a="1"/>
  <c r="M58" i="36" s="1"/>
  <c r="M59" i="36" a="1"/>
  <c r="M59" i="36" s="1"/>
  <c r="M60" i="36" a="1"/>
  <c r="M60" i="36" s="1"/>
  <c r="M61" i="36" a="1"/>
  <c r="M61" i="36" s="1"/>
  <c r="M62" i="36" a="1"/>
  <c r="M62" i="36"/>
  <c r="M63" i="36" a="1"/>
  <c r="M63" i="36" s="1"/>
  <c r="M64" i="36" a="1"/>
  <c r="M64" i="36" s="1"/>
  <c r="M65" i="36" a="1"/>
  <c r="M65" i="36" s="1"/>
  <c r="M66" i="36" a="1"/>
  <c r="M66" i="36" s="1"/>
  <c r="M67" i="36" a="1"/>
  <c r="M67" i="36" s="1"/>
  <c r="M68" i="36" a="1"/>
  <c r="M68" i="36" s="1"/>
  <c r="M69" i="36" a="1"/>
  <c r="M69" i="36" s="1"/>
  <c r="M70" i="36" a="1"/>
  <c r="M70" i="36"/>
  <c r="M71" i="36" a="1"/>
  <c r="M71" i="36" s="1"/>
  <c r="M72" i="36" a="1"/>
  <c r="M72" i="36" s="1"/>
  <c r="M73" i="36" a="1"/>
  <c r="M73" i="36" s="1"/>
  <c r="M74" i="36" a="1"/>
  <c r="M74" i="36" s="1"/>
  <c r="M75" i="36" a="1"/>
  <c r="M75" i="36" s="1"/>
  <c r="M76" i="36" a="1"/>
  <c r="M76" i="36" s="1"/>
  <c r="M77" i="36" a="1"/>
  <c r="M77" i="36" s="1"/>
  <c r="M78" i="36" a="1"/>
  <c r="M78" i="36" s="1"/>
  <c r="M79" i="36" a="1"/>
  <c r="M79" i="36" s="1"/>
  <c r="M80" i="36" a="1"/>
  <c r="M80" i="36" s="1"/>
  <c r="M81" i="36" a="1"/>
  <c r="M81" i="36" s="1"/>
  <c r="M82" i="36" a="1"/>
  <c r="M82" i="36" s="1"/>
  <c r="M83" i="36" a="1"/>
  <c r="M83" i="36" s="1"/>
  <c r="M84" i="36" a="1"/>
  <c r="M84" i="36" s="1"/>
  <c r="M85" i="36" a="1"/>
  <c r="M85" i="36" s="1"/>
  <c r="M86" i="36" a="1"/>
  <c r="M86" i="36" s="1"/>
  <c r="M87" i="36" a="1"/>
  <c r="M87" i="36" s="1"/>
  <c r="M88" i="36" a="1"/>
  <c r="M88" i="36" s="1"/>
  <c r="M89" i="36" a="1"/>
  <c r="M89" i="36" s="1"/>
  <c r="M90" i="36" a="1"/>
  <c r="M90" i="36" s="1"/>
  <c r="M91" i="36" a="1"/>
  <c r="M91" i="36" s="1"/>
  <c r="M92" i="36" a="1"/>
  <c r="M92" i="36" s="1"/>
  <c r="M93" i="36" a="1"/>
  <c r="M93" i="36" s="1"/>
  <c r="M94" i="36" a="1"/>
  <c r="M94" i="36"/>
  <c r="M95" i="36" a="1"/>
  <c r="M95" i="36" s="1"/>
  <c r="M96" i="36" a="1"/>
  <c r="M96" i="36" s="1"/>
  <c r="M97" i="36" a="1"/>
  <c r="M97" i="36" s="1"/>
  <c r="M98" i="36" a="1"/>
  <c r="M98" i="36" s="1"/>
  <c r="M99" i="36" a="1"/>
  <c r="M99" i="36" s="1"/>
  <c r="M100" i="36" a="1"/>
  <c r="M100" i="36" s="1"/>
  <c r="M101" i="36" a="1"/>
  <c r="M101" i="36" s="1"/>
  <c r="M102" i="36" a="1"/>
  <c r="M102" i="36"/>
  <c r="M103" i="36" a="1"/>
  <c r="M103" i="36" s="1"/>
  <c r="M104" i="36" a="1"/>
  <c r="M104" i="36" s="1"/>
  <c r="M105" i="36" a="1"/>
  <c r="M105" i="36" s="1"/>
  <c r="M106" i="36" a="1"/>
  <c r="M106" i="36" s="1"/>
  <c r="M107" i="36" a="1"/>
  <c r="M107" i="36" s="1"/>
  <c r="M108" i="36" a="1"/>
  <c r="M108" i="36" s="1"/>
  <c r="M109" i="36" a="1"/>
  <c r="M109" i="36" s="1"/>
  <c r="M110" i="36" a="1"/>
  <c r="M110" i="36" s="1"/>
  <c r="M111" i="36" a="1"/>
  <c r="M111" i="36" s="1"/>
  <c r="M112" i="36" a="1"/>
  <c r="M112" i="36" s="1"/>
  <c r="M113" i="36" a="1"/>
  <c r="M113" i="36" s="1"/>
  <c r="M114" i="36" a="1"/>
  <c r="M114" i="36" s="1"/>
  <c r="M115" i="36" a="1"/>
  <c r="M115" i="36" s="1"/>
  <c r="M116" i="36" a="1"/>
  <c r="M116" i="36" s="1"/>
  <c r="M117" i="36" a="1"/>
  <c r="M117" i="36" s="1"/>
  <c r="M118" i="36" a="1"/>
  <c r="M118" i="36"/>
  <c r="M119" i="36" a="1"/>
  <c r="M119" i="36" s="1"/>
  <c r="M120" i="36" a="1"/>
  <c r="M120" i="36" s="1"/>
  <c r="M121" i="36" a="1"/>
  <c r="M121" i="36" s="1"/>
  <c r="M122" i="36" a="1"/>
  <c r="M122" i="36" s="1"/>
  <c r="M123" i="36" a="1"/>
  <c r="M123" i="36" s="1"/>
  <c r="M124" i="36" a="1"/>
  <c r="M124" i="36" s="1"/>
  <c r="M125" i="36" a="1"/>
  <c r="M125" i="36" s="1"/>
  <c r="M126" i="36" a="1"/>
  <c r="M126" i="36" s="1"/>
  <c r="M127" i="36" a="1"/>
  <c r="M127" i="36" s="1"/>
  <c r="M128" i="36" a="1"/>
  <c r="M128" i="36" s="1"/>
  <c r="M129" i="36" a="1"/>
  <c r="M129" i="36" s="1"/>
  <c r="M130" i="36" a="1"/>
  <c r="M130" i="36" s="1"/>
  <c r="M131" i="36" a="1"/>
  <c r="M131" i="36" s="1"/>
  <c r="M132" i="36" a="1"/>
  <c r="M132" i="36" s="1"/>
  <c r="M133" i="36" a="1"/>
  <c r="M133" i="36" s="1"/>
  <c r="M134" i="36" a="1"/>
  <c r="M134" i="36"/>
  <c r="M135" i="36" a="1"/>
  <c r="M135" i="36" s="1"/>
  <c r="M136" i="36" a="1"/>
  <c r="M136" i="36" s="1"/>
  <c r="M137" i="36" a="1"/>
  <c r="M137" i="36" s="1"/>
  <c r="M138" i="36" a="1"/>
  <c r="M138" i="36" s="1"/>
  <c r="M139" i="36" a="1"/>
  <c r="M139" i="36" s="1"/>
  <c r="M140" i="36" a="1"/>
  <c r="M140" i="36" s="1"/>
  <c r="M141" i="36" a="1"/>
  <c r="M141" i="36" s="1"/>
  <c r="M142" i="36" a="1"/>
  <c r="M142" i="36" s="1"/>
  <c r="M143" i="36" a="1"/>
  <c r="M143" i="36" s="1"/>
  <c r="M144" i="36" a="1"/>
  <c r="M144" i="36" s="1"/>
  <c r="M145" i="36" a="1"/>
  <c r="M145" i="36" s="1"/>
  <c r="M146" i="36" a="1"/>
  <c r="M146" i="36" s="1"/>
  <c r="M147" i="36" a="1"/>
  <c r="M147" i="36" s="1"/>
  <c r="M148" i="36" a="1"/>
  <c r="M148" i="36" s="1"/>
  <c r="M149" i="36" a="1"/>
  <c r="M149" i="36" s="1"/>
  <c r="M150" i="36" a="1"/>
  <c r="M150" i="36"/>
  <c r="M151" i="36" a="1"/>
  <c r="M151" i="36" s="1"/>
  <c r="M152" i="36" a="1"/>
  <c r="M152" i="36" s="1"/>
  <c r="M153" i="36" a="1"/>
  <c r="M153" i="36" s="1"/>
  <c r="M154" i="36" a="1"/>
  <c r="M154" i="36" s="1"/>
  <c r="M155" i="36" a="1"/>
  <c r="M155" i="36" s="1"/>
  <c r="M156" i="36" a="1"/>
  <c r="M156" i="36" s="1"/>
  <c r="M157" i="36" a="1"/>
  <c r="M157" i="36" s="1"/>
  <c r="M158" i="36" a="1"/>
  <c r="M158" i="36" s="1"/>
  <c r="M159" i="36" a="1"/>
  <c r="M159" i="36" s="1"/>
  <c r="M160" i="36" a="1"/>
  <c r="M160" i="36" s="1"/>
  <c r="M161" i="36" a="1"/>
  <c r="M161" i="36" s="1"/>
  <c r="M162" i="36" a="1"/>
  <c r="M162" i="36" s="1"/>
  <c r="M163" i="36" a="1"/>
  <c r="M163" i="36" s="1"/>
  <c r="M164" i="36" a="1"/>
  <c r="M164" i="36" s="1"/>
  <c r="M165" i="36" a="1"/>
  <c r="M165" i="36" s="1"/>
  <c r="M166" i="36" a="1"/>
  <c r="M166" i="36"/>
  <c r="M167" i="36" a="1"/>
  <c r="M167" i="36" s="1"/>
  <c r="M168" i="36" a="1"/>
  <c r="M168" i="36" s="1"/>
  <c r="M169" i="36" a="1"/>
  <c r="M169" i="36" s="1"/>
  <c r="M170" i="36" a="1"/>
  <c r="M170" i="36" s="1"/>
  <c r="M171" i="36" a="1"/>
  <c r="M171" i="36" s="1"/>
  <c r="M172" i="36" a="1"/>
  <c r="M172" i="36" s="1"/>
  <c r="M173" i="36" a="1"/>
  <c r="M173" i="36" s="1"/>
  <c r="M174" i="36" a="1"/>
  <c r="M174" i="36" s="1"/>
  <c r="M175" i="36" a="1"/>
  <c r="M175" i="36" s="1"/>
  <c r="M176" i="36" a="1"/>
  <c r="M176" i="36" s="1"/>
  <c r="M177" i="36" a="1"/>
  <c r="M177" i="36" s="1"/>
  <c r="M178" i="36" a="1"/>
  <c r="M178" i="36" s="1"/>
  <c r="M179" i="36" a="1"/>
  <c r="M179" i="36" s="1"/>
  <c r="M180" i="36" a="1"/>
  <c r="M180" i="36" s="1"/>
  <c r="M181" i="36" a="1"/>
  <c r="M181" i="36" s="1"/>
  <c r="M182" i="36" a="1"/>
  <c r="M182" i="36"/>
  <c r="M183" i="36" a="1"/>
  <c r="M183" i="36" s="1"/>
  <c r="M184" i="36" a="1"/>
  <c r="M184" i="36" s="1"/>
  <c r="M185" i="36" a="1"/>
  <c r="M185" i="36" s="1"/>
  <c r="M186" i="36" a="1"/>
  <c r="M186" i="36" s="1"/>
  <c r="M187" i="36" a="1"/>
  <c r="M187" i="36" s="1"/>
  <c r="M188" i="36" a="1"/>
  <c r="M188" i="36" s="1"/>
  <c r="M189" i="36" a="1"/>
  <c r="M189" i="36" s="1"/>
  <c r="M190" i="36" a="1"/>
  <c r="M190" i="36" s="1"/>
  <c r="M191" i="36" a="1"/>
  <c r="M191" i="36" s="1"/>
  <c r="M192" i="36" a="1"/>
  <c r="M192" i="36" s="1"/>
  <c r="M193" i="36" a="1"/>
  <c r="M193" i="36" s="1"/>
  <c r="M194" i="36" a="1"/>
  <c r="M194" i="36" s="1"/>
  <c r="M195" i="36" a="1"/>
  <c r="M195" i="36" s="1"/>
  <c r="M196" i="36" a="1"/>
  <c r="M196" i="36" s="1"/>
  <c r="M197" i="36" a="1"/>
  <c r="M197" i="36" s="1"/>
  <c r="M198" i="36" a="1"/>
  <c r="M198" i="36"/>
  <c r="M199" i="36" a="1"/>
  <c r="M199" i="36" s="1"/>
  <c r="M200" i="36" a="1"/>
  <c r="M200" i="36" s="1"/>
  <c r="M201" i="36" a="1"/>
  <c r="M201" i="36" s="1"/>
  <c r="M202" i="36" a="1"/>
  <c r="M202" i="36" s="1"/>
  <c r="M203" i="36" a="1"/>
  <c r="M203" i="36" s="1"/>
  <c r="M204" i="36" a="1"/>
  <c r="M204" i="36" s="1"/>
  <c r="M205" i="36" a="1"/>
  <c r="M205" i="36" s="1"/>
  <c r="M206" i="36" a="1"/>
  <c r="M206" i="36" s="1"/>
  <c r="M207" i="36" a="1"/>
  <c r="M207" i="36" s="1"/>
  <c r="M208" i="36" a="1"/>
  <c r="M208" i="36" s="1"/>
  <c r="M209" i="36" a="1"/>
  <c r="M209" i="36" s="1"/>
  <c r="M210" i="36" a="1"/>
  <c r="M210" i="36" s="1"/>
  <c r="M211" i="36" a="1"/>
  <c r="M211" i="36" s="1"/>
  <c r="M212" i="36" a="1"/>
  <c r="M212" i="36" s="1"/>
  <c r="M213" i="36" a="1"/>
  <c r="M213" i="36" s="1"/>
  <c r="M214" i="36" a="1"/>
  <c r="M214" i="36"/>
  <c r="M215" i="36" a="1"/>
  <c r="M215" i="36" s="1"/>
  <c r="M216" i="36" a="1"/>
  <c r="M216" i="36" s="1"/>
  <c r="M217" i="36" a="1"/>
  <c r="M217" i="36" s="1"/>
  <c r="M218" i="36" a="1"/>
  <c r="M218" i="36" s="1"/>
  <c r="M219" i="36" a="1"/>
  <c r="M219" i="36" s="1"/>
  <c r="M220" i="36" a="1"/>
  <c r="M220" i="36" s="1"/>
  <c r="M221" i="36" a="1"/>
  <c r="M221" i="36" s="1"/>
  <c r="M222" i="36" a="1"/>
  <c r="M222" i="36" s="1"/>
  <c r="M223" i="36" a="1"/>
  <c r="M223" i="36" s="1"/>
  <c r="M224" i="36" a="1"/>
  <c r="M224" i="36" s="1"/>
  <c r="M225" i="36" a="1"/>
  <c r="M225" i="36"/>
  <c r="M226" i="36" a="1"/>
  <c r="M226" i="36" s="1"/>
  <c r="M227" i="36" a="1"/>
  <c r="M227" i="36" s="1"/>
  <c r="M228" i="36" a="1"/>
  <c r="M228" i="36" s="1"/>
  <c r="M229" i="36" a="1"/>
  <c r="M229" i="36" s="1"/>
  <c r="M230" i="36" a="1"/>
  <c r="M230" i="36" s="1"/>
  <c r="M231" i="36" a="1"/>
  <c r="M231" i="36" s="1"/>
  <c r="M232" i="36" a="1"/>
  <c r="M232" i="36" s="1"/>
  <c r="M233" i="36" a="1"/>
  <c r="M233" i="36" s="1"/>
  <c r="M234" i="36" a="1"/>
  <c r="M234" i="36" s="1"/>
  <c r="M235" i="36" a="1"/>
  <c r="M235" i="36" s="1"/>
  <c r="M236" i="36" a="1"/>
  <c r="M236" i="36" s="1"/>
  <c r="M237" i="36" a="1"/>
  <c r="M237" i="36" s="1"/>
  <c r="M238" i="36" a="1"/>
  <c r="M238" i="36" s="1"/>
  <c r="M239" i="36" a="1"/>
  <c r="M239" i="36" s="1"/>
  <c r="M240" i="36" a="1"/>
  <c r="M240" i="36" s="1"/>
  <c r="M241" i="36" a="1"/>
  <c r="M241" i="36" s="1"/>
  <c r="M242" i="36" a="1"/>
  <c r="M242" i="36" s="1"/>
  <c r="M243" i="36" a="1"/>
  <c r="M243" i="36" s="1"/>
  <c r="M244" i="36" a="1"/>
  <c r="M244" i="36" s="1"/>
  <c r="M245" i="36" a="1"/>
  <c r="M245" i="36" s="1"/>
  <c r="M246" i="36" a="1"/>
  <c r="M246" i="36" s="1"/>
  <c r="M247" i="36" a="1"/>
  <c r="M247" i="36" s="1"/>
  <c r="M248" i="36" a="1"/>
  <c r="M248" i="36" s="1"/>
  <c r="M249" i="36" a="1"/>
  <c r="M249" i="36" s="1"/>
  <c r="M250" i="36" a="1"/>
  <c r="M250" i="36" s="1"/>
  <c r="M251" i="36" a="1"/>
  <c r="M251" i="36" s="1"/>
  <c r="M252" i="36" a="1"/>
  <c r="M252" i="36" s="1"/>
  <c r="M253" i="36" a="1"/>
  <c r="M253" i="36" s="1"/>
  <c r="M254" i="36" a="1"/>
  <c r="M254" i="36" s="1"/>
  <c r="M255" i="36" a="1"/>
  <c r="M255" i="36" s="1"/>
  <c r="M256" i="36" a="1"/>
  <c r="M256" i="36" s="1"/>
  <c r="M257" i="36" a="1"/>
  <c r="M257" i="36" s="1"/>
  <c r="M258" i="36" a="1"/>
  <c r="M258" i="36" s="1"/>
  <c r="M259" i="36" a="1"/>
  <c r="M259" i="36" s="1"/>
  <c r="M260" i="36" a="1"/>
  <c r="M260" i="36" s="1"/>
  <c r="M261" i="36" a="1"/>
  <c r="M261" i="36" s="1"/>
  <c r="M262" i="36" a="1"/>
  <c r="M262" i="36" s="1"/>
  <c r="M263" i="36" a="1"/>
  <c r="M263" i="36" s="1"/>
  <c r="M264" i="36" a="1"/>
  <c r="M264" i="36" s="1"/>
  <c r="M265" i="36" a="1"/>
  <c r="M265" i="36" s="1"/>
  <c r="M266" i="36" a="1"/>
  <c r="M266" i="36" s="1"/>
  <c r="M267" i="36" a="1"/>
  <c r="M267" i="36" s="1"/>
  <c r="M268" i="36" a="1"/>
  <c r="M268" i="36" s="1"/>
  <c r="M269" i="36" a="1"/>
  <c r="M269" i="36" s="1"/>
  <c r="M270" i="36" a="1"/>
  <c r="M270" i="36" s="1"/>
  <c r="M271" i="36" a="1"/>
  <c r="M271" i="36" s="1"/>
  <c r="M272" i="36" a="1"/>
  <c r="M272" i="36" s="1"/>
  <c r="M273" i="36" a="1"/>
  <c r="M273" i="36" s="1"/>
  <c r="M274" i="36" a="1"/>
  <c r="M274" i="36" s="1"/>
  <c r="M275" i="36" a="1"/>
  <c r="M275" i="36" s="1"/>
  <c r="M276" i="36" a="1"/>
  <c r="M276" i="36" s="1"/>
  <c r="M277" i="36" a="1"/>
  <c r="M277" i="36" s="1"/>
  <c r="M278" i="36" a="1"/>
  <c r="M278" i="36" s="1"/>
  <c r="M279" i="36" a="1"/>
  <c r="M279" i="36" s="1"/>
  <c r="M280" i="36" a="1"/>
  <c r="M280" i="36" s="1"/>
  <c r="M281" i="36" a="1"/>
  <c r="M281" i="36" s="1"/>
  <c r="M282" i="36" a="1"/>
  <c r="M282" i="36" s="1"/>
  <c r="M283" i="36" a="1"/>
  <c r="M283" i="36" s="1"/>
  <c r="M284" i="36" a="1"/>
  <c r="M284" i="36" s="1"/>
  <c r="M285" i="36" a="1"/>
  <c r="M285" i="36" s="1"/>
  <c r="M286" i="36" a="1"/>
  <c r="M286" i="36" s="1"/>
  <c r="M287" i="36" a="1"/>
  <c r="M287" i="36" s="1"/>
  <c r="M288" i="36" a="1"/>
  <c r="M288" i="36" s="1"/>
  <c r="M289" i="36" a="1"/>
  <c r="M289" i="36" s="1"/>
  <c r="M290" i="36" a="1"/>
  <c r="M290" i="36" s="1"/>
  <c r="M291" i="36" a="1"/>
  <c r="M291" i="36" s="1"/>
  <c r="M292" i="36" a="1"/>
  <c r="M292" i="36" s="1"/>
  <c r="M293" i="36" a="1"/>
  <c r="M293" i="36" s="1"/>
  <c r="M294" i="36" a="1"/>
  <c r="M294" i="36" s="1"/>
  <c r="M295" i="36" a="1"/>
  <c r="M295" i="36" s="1"/>
  <c r="M296" i="36" a="1"/>
  <c r="M296" i="36" s="1"/>
  <c r="M297" i="36" a="1"/>
  <c r="M297" i="36" s="1"/>
  <c r="M298" i="36" a="1"/>
  <c r="M298" i="36" s="1"/>
  <c r="M299" i="36" a="1"/>
  <c r="M299" i="36" s="1"/>
  <c r="M300" i="36" a="1"/>
  <c r="M300" i="36" s="1"/>
  <c r="M301" i="36" a="1"/>
  <c r="M301" i="36" s="1"/>
  <c r="M302" i="36" a="1"/>
  <c r="M302" i="36" s="1"/>
  <c r="M303" i="36" a="1"/>
  <c r="M303" i="36" s="1"/>
  <c r="M304" i="36" a="1"/>
  <c r="M304" i="36" s="1"/>
  <c r="M305" i="36" a="1"/>
  <c r="M305" i="36" s="1"/>
  <c r="M306" i="36" a="1"/>
  <c r="M306" i="36" s="1"/>
  <c r="M307" i="36" a="1"/>
  <c r="M307" i="36" s="1"/>
  <c r="M308" i="36" a="1"/>
  <c r="M308" i="36" s="1"/>
  <c r="M309" i="36" a="1"/>
  <c r="M309" i="36"/>
  <c r="M310" i="36" a="1"/>
  <c r="M310" i="36" s="1"/>
  <c r="M311" i="36" a="1"/>
  <c r="M311" i="36" s="1"/>
  <c r="M312" i="36" a="1"/>
  <c r="M312" i="36" s="1"/>
  <c r="M313" i="36" a="1"/>
  <c r="M313" i="36" s="1"/>
  <c r="M314" i="36" a="1"/>
  <c r="M314" i="36" s="1"/>
  <c r="M315" i="36" a="1"/>
  <c r="M315" i="36" s="1"/>
  <c r="M316" i="36" a="1"/>
  <c r="M316" i="36" s="1"/>
  <c r="M317" i="36" a="1"/>
  <c r="M317" i="36" s="1"/>
  <c r="M318" i="36" a="1"/>
  <c r="M318" i="36" s="1"/>
  <c r="M319" i="36" a="1"/>
  <c r="M319" i="36" s="1"/>
  <c r="M320" i="36" a="1"/>
  <c r="M320" i="36" s="1"/>
  <c r="M321" i="36" a="1"/>
  <c r="M321" i="36" s="1"/>
  <c r="M322" i="36" a="1"/>
  <c r="M322" i="36" s="1"/>
  <c r="M323" i="36" a="1"/>
  <c r="M323" i="36" s="1"/>
  <c r="M324" i="36" a="1"/>
  <c r="M324" i="36" s="1"/>
  <c r="M325" i="36" a="1"/>
  <c r="M325" i="36" s="1"/>
  <c r="M326" i="36" a="1"/>
  <c r="M326" i="36" s="1"/>
  <c r="M327" i="36" a="1"/>
  <c r="M327" i="36" s="1"/>
  <c r="M328" i="36" a="1"/>
  <c r="M328" i="36" s="1"/>
  <c r="M329" i="36" a="1"/>
  <c r="M329" i="36" s="1"/>
  <c r="M330" i="36" a="1"/>
  <c r="M330" i="36" s="1"/>
  <c r="M331" i="36" a="1"/>
  <c r="M331" i="36" s="1"/>
  <c r="M332" i="36" a="1"/>
  <c r="M332" i="36" s="1"/>
  <c r="M333" i="36" a="1"/>
  <c r="M333" i="36" s="1"/>
  <c r="M334" i="36" a="1"/>
  <c r="M334" i="36" s="1"/>
  <c r="M335" i="36" a="1"/>
  <c r="M335" i="36" s="1"/>
  <c r="M336" i="36" a="1"/>
  <c r="M336" i="36" s="1"/>
  <c r="M337" i="36" a="1"/>
  <c r="M337" i="36"/>
  <c r="M338" i="36" a="1"/>
  <c r="M338" i="36"/>
  <c r="M339" i="36" a="1"/>
  <c r="M339" i="36" s="1"/>
  <c r="M340" i="36" a="1"/>
  <c r="M340" i="36" s="1"/>
  <c r="M341" i="36" a="1"/>
  <c r="M341" i="36"/>
  <c r="M342" i="36" a="1"/>
  <c r="M342" i="36" s="1"/>
  <c r="M343" i="36" a="1"/>
  <c r="M343" i="36"/>
  <c r="M344" i="36" a="1"/>
  <c r="M344" i="36" s="1"/>
  <c r="M345" i="36" a="1"/>
  <c r="M345" i="36" s="1"/>
  <c r="M346" i="36" a="1"/>
  <c r="M346" i="36" s="1"/>
  <c r="M347" i="36" a="1"/>
  <c r="M347" i="36" s="1"/>
  <c r="M348" i="36" a="1"/>
  <c r="M348" i="36" s="1"/>
  <c r="M349" i="36" a="1"/>
  <c r="M349" i="36"/>
  <c r="M350" i="36" a="1"/>
  <c r="M350" i="36"/>
  <c r="M351" i="36" a="1"/>
  <c r="M351" i="36" s="1"/>
  <c r="M352" i="36" a="1"/>
  <c r="M352" i="36" s="1"/>
  <c r="M353" i="36" a="1"/>
  <c r="M353" i="36" s="1"/>
  <c r="M354" i="36" a="1"/>
  <c r="M354" i="36" s="1"/>
  <c r="M355" i="36" a="1"/>
  <c r="M355" i="36" s="1"/>
  <c r="M356" i="36" a="1"/>
  <c r="M356" i="36" s="1"/>
  <c r="M357" i="36" a="1"/>
  <c r="M357" i="36"/>
  <c r="M358" i="36" a="1"/>
  <c r="M358" i="36"/>
  <c r="M359" i="36" a="1"/>
  <c r="M359" i="36"/>
  <c r="M360" i="36" a="1"/>
  <c r="M360" i="36" s="1"/>
  <c r="M361" i="36" a="1"/>
  <c r="M361" i="36" s="1"/>
  <c r="M362" i="36" a="1"/>
  <c r="M362" i="36" s="1"/>
  <c r="M363" i="36" a="1"/>
  <c r="M363" i="36" s="1"/>
  <c r="M364" i="36" a="1"/>
  <c r="M364" i="36" s="1"/>
  <c r="M365" i="36" a="1"/>
  <c r="M365" i="36" s="1"/>
  <c r="M366" i="36" a="1"/>
  <c r="M366" i="36"/>
  <c r="M367" i="36" a="1"/>
  <c r="M367" i="36"/>
  <c r="M368" i="36" a="1"/>
  <c r="M368" i="36" s="1"/>
  <c r="M369" i="36" a="1"/>
  <c r="M369" i="36" s="1"/>
  <c r="M370" i="36" a="1"/>
  <c r="M370" i="36" s="1"/>
  <c r="M371" i="36" a="1"/>
  <c r="M371" i="36" s="1"/>
  <c r="M372" i="36" a="1"/>
  <c r="M372" i="36" s="1"/>
  <c r="M373" i="36" a="1"/>
  <c r="M373" i="36"/>
  <c r="M374" i="36" a="1"/>
  <c r="M374" i="36" s="1"/>
  <c r="M375" i="36" a="1"/>
  <c r="M375" i="36"/>
  <c r="M376" i="36" a="1"/>
  <c r="M376" i="36" s="1"/>
  <c r="M377" i="36" a="1"/>
  <c r="M377" i="36" s="1"/>
  <c r="M378" i="36" a="1"/>
  <c r="M378" i="36" s="1"/>
  <c r="M379" i="36" a="1"/>
  <c r="M379" i="36" s="1"/>
  <c r="M380" i="36" a="1"/>
  <c r="M380" i="36" s="1"/>
  <c r="M381" i="36" a="1"/>
  <c r="M381" i="36"/>
  <c r="M382" i="36" a="1"/>
  <c r="M382" i="36"/>
  <c r="M383" i="36" a="1"/>
  <c r="M383" i="36" s="1"/>
  <c r="M384" i="36" a="1"/>
  <c r="M384" i="36" s="1"/>
  <c r="M385" i="36" a="1"/>
  <c r="M385" i="36" s="1"/>
  <c r="M386" i="36" a="1"/>
  <c r="M386" i="36" s="1"/>
  <c r="M387" i="36" a="1"/>
  <c r="M387" i="36" s="1"/>
  <c r="M388" i="36" a="1"/>
  <c r="M388" i="36" s="1"/>
  <c r="M389" i="36" a="1"/>
  <c r="M389" i="36"/>
  <c r="M390" i="36" a="1"/>
  <c r="M390" i="36"/>
  <c r="M391" i="36" a="1"/>
  <c r="M391" i="36"/>
  <c r="M392" i="36" a="1"/>
  <c r="M392" i="36" s="1"/>
  <c r="M393" i="36" a="1"/>
  <c r="M393" i="36" s="1"/>
  <c r="M394" i="36" a="1"/>
  <c r="M394" i="36" s="1"/>
  <c r="M395" i="36" a="1"/>
  <c r="M395" i="36" s="1"/>
  <c r="M396" i="36" a="1"/>
  <c r="M396" i="36" s="1"/>
  <c r="M397" i="36" a="1"/>
  <c r="M397" i="36" s="1"/>
  <c r="M398" i="36" a="1"/>
  <c r="M398" i="36"/>
  <c r="M399" i="36" a="1"/>
  <c r="M399" i="36"/>
  <c r="M400" i="36" a="1"/>
  <c r="M400" i="36" s="1"/>
  <c r="M401" i="36" a="1"/>
  <c r="M401" i="36" s="1"/>
  <c r="M402" i="36" a="1"/>
  <c r="M402" i="36" s="1"/>
  <c r="M403" i="36" a="1"/>
  <c r="M403" i="36" s="1"/>
  <c r="M404" i="36" a="1"/>
  <c r="M404" i="36" s="1"/>
  <c r="M405" i="36" a="1"/>
  <c r="M405" i="36"/>
  <c r="M406" i="36" a="1"/>
  <c r="M406" i="36" s="1"/>
  <c r="M407" i="36" a="1"/>
  <c r="M407" i="36"/>
  <c r="M408" i="36" a="1"/>
  <c r="M408" i="36" s="1"/>
  <c r="M409" i="36" a="1"/>
  <c r="M409" i="36" s="1"/>
  <c r="M410" i="36" a="1"/>
  <c r="M410" i="36" s="1"/>
  <c r="M411" i="36" a="1"/>
  <c r="M411" i="36" s="1"/>
  <c r="M412" i="36" a="1"/>
  <c r="M412" i="36" s="1"/>
  <c r="M413" i="36" a="1"/>
  <c r="M413" i="36"/>
  <c r="M414" i="36" a="1"/>
  <c r="M414" i="36"/>
  <c r="M415" i="36" a="1"/>
  <c r="M415" i="36" s="1"/>
  <c r="M416" i="36" a="1"/>
  <c r="M416" i="36" s="1"/>
  <c r="M417" i="36" a="1"/>
  <c r="M417" i="36" s="1"/>
  <c r="M418" i="36" a="1"/>
  <c r="M418" i="36" s="1"/>
  <c r="M419" i="36" a="1"/>
  <c r="M419" i="36" s="1"/>
  <c r="M420" i="36" a="1"/>
  <c r="M420" i="36" s="1"/>
  <c r="M421" i="36" a="1"/>
  <c r="M421" i="36"/>
  <c r="M422" i="36" a="1"/>
  <c r="M422" i="36"/>
  <c r="M423" i="36" a="1"/>
  <c r="M423" i="36"/>
  <c r="M424" i="36" a="1"/>
  <c r="M424" i="36" s="1"/>
  <c r="M425" i="36" a="1"/>
  <c r="M425" i="36" s="1"/>
  <c r="M426" i="36" a="1"/>
  <c r="M426" i="36" s="1"/>
  <c r="M427" i="36" a="1"/>
  <c r="M427" i="36" s="1"/>
  <c r="M428" i="36" a="1"/>
  <c r="M428" i="36" s="1"/>
  <c r="M429" i="36" a="1"/>
  <c r="M429" i="36" s="1"/>
  <c r="M430" i="36" a="1"/>
  <c r="M430" i="36"/>
  <c r="M431" i="36" a="1"/>
  <c r="M431" i="36"/>
  <c r="M432" i="36" a="1"/>
  <c r="M432" i="36" s="1"/>
  <c r="M433" i="36" a="1"/>
  <c r="M433" i="36" s="1"/>
  <c r="M434" i="36" a="1"/>
  <c r="M434" i="36" s="1"/>
  <c r="M435" i="36" a="1"/>
  <c r="M435" i="36" s="1"/>
  <c r="M436" i="36" a="1"/>
  <c r="M436" i="36" s="1"/>
  <c r="M437" i="36" a="1"/>
  <c r="M437" i="36"/>
  <c r="M438" i="36" a="1"/>
  <c r="M438" i="36" s="1"/>
  <c r="M439" i="36" a="1"/>
  <c r="M439" i="36"/>
  <c r="M440" i="36" a="1"/>
  <c r="M440" i="36" s="1"/>
  <c r="M441" i="36" a="1"/>
  <c r="M441" i="36" s="1"/>
  <c r="M442" i="36" a="1"/>
  <c r="M442" i="36" s="1"/>
  <c r="M443" i="36" a="1"/>
  <c r="M443" i="36" s="1"/>
  <c r="M444" i="36" a="1"/>
  <c r="M444" i="36" s="1"/>
  <c r="M445" i="36" a="1"/>
  <c r="M445" i="36"/>
  <c r="M446" i="36" a="1"/>
  <c r="M446" i="36"/>
  <c r="M447" i="36" a="1"/>
  <c r="M447" i="36" s="1"/>
  <c r="M448" i="36" a="1"/>
  <c r="M448" i="36" s="1"/>
  <c r="M449" i="36" a="1"/>
  <c r="M449" i="36" s="1"/>
  <c r="M450" i="36" a="1"/>
  <c r="M450" i="36" s="1"/>
  <c r="M451" i="36" a="1"/>
  <c r="M451" i="36" s="1"/>
  <c r="M452" i="36" a="1"/>
  <c r="M452" i="36" s="1"/>
  <c r="M453" i="36" a="1"/>
  <c r="M453" i="36"/>
  <c r="M454" i="36" a="1"/>
  <c r="M454" i="36"/>
  <c r="M455" i="36" a="1"/>
  <c r="M455" i="36"/>
  <c r="M456" i="36" a="1"/>
  <c r="M456" i="36" s="1"/>
  <c r="M457" i="36" a="1"/>
  <c r="M457" i="36" s="1"/>
  <c r="M458" i="36" a="1"/>
  <c r="M458" i="36" s="1"/>
  <c r="M459" i="36" a="1"/>
  <c r="M459" i="36" s="1"/>
  <c r="M460" i="36" a="1"/>
  <c r="M460" i="36" s="1"/>
  <c r="M461" i="36" a="1"/>
  <c r="M461" i="36" s="1"/>
  <c r="M462" i="36" a="1"/>
  <c r="M462" i="36"/>
  <c r="M463" i="36" a="1"/>
  <c r="M463" i="36"/>
  <c r="M464" i="36" a="1"/>
  <c r="M464" i="36" s="1"/>
  <c r="M465" i="36" a="1"/>
  <c r="M465" i="36" s="1"/>
  <c r="M466" i="36" a="1"/>
  <c r="M466" i="36" s="1"/>
  <c r="M467" i="36" a="1"/>
  <c r="M467" i="36" s="1"/>
  <c r="M468" i="36" a="1"/>
  <c r="M468" i="36" s="1"/>
  <c r="M469" i="36" a="1"/>
  <c r="M469" i="36"/>
  <c r="M470" i="36" a="1"/>
  <c r="M470" i="36" s="1"/>
  <c r="M471" i="36" a="1"/>
  <c r="M471" i="36"/>
  <c r="M472" i="36" a="1"/>
  <c r="M472" i="36" s="1"/>
  <c r="M473" i="36" a="1"/>
  <c r="M473" i="36" s="1"/>
  <c r="M474" i="36" a="1"/>
  <c r="M474" i="36" s="1"/>
  <c r="M475" i="36" a="1"/>
  <c r="M475" i="36" s="1"/>
  <c r="M476" i="36" a="1"/>
  <c r="M476" i="36" s="1"/>
  <c r="M477" i="36" a="1"/>
  <c r="M477" i="36"/>
  <c r="M478" i="36" a="1"/>
  <c r="M478" i="36"/>
  <c r="M479" i="36" a="1"/>
  <c r="M479" i="36" s="1"/>
  <c r="M480" i="36" a="1"/>
  <c r="M480" i="36" s="1"/>
  <c r="M481" i="36" a="1"/>
  <c r="M481" i="36" s="1"/>
  <c r="M482" i="36" a="1"/>
  <c r="M482" i="36" s="1"/>
  <c r="M483" i="36" a="1"/>
  <c r="M483" i="36" s="1"/>
  <c r="M484" i="36" a="1"/>
  <c r="M484" i="36" s="1"/>
  <c r="M485" i="36" a="1"/>
  <c r="M485" i="36"/>
  <c r="M486" i="36" a="1"/>
  <c r="M486" i="36"/>
  <c r="M487" i="36" a="1"/>
  <c r="M487" i="36"/>
  <c r="M488" i="36" a="1"/>
  <c r="M488" i="36" s="1"/>
  <c r="M489" i="36" a="1"/>
  <c r="M489" i="36" s="1"/>
  <c r="M490" i="36" a="1"/>
  <c r="M490" i="36" s="1"/>
  <c r="M491" i="36" a="1"/>
  <c r="M491" i="36" s="1"/>
  <c r="M492" i="36" a="1"/>
  <c r="M492" i="36" s="1"/>
  <c r="M493" i="36" a="1"/>
  <c r="M493" i="36" s="1"/>
  <c r="M494" i="36" a="1"/>
  <c r="M494" i="36"/>
  <c r="M495" i="36" a="1"/>
  <c r="M495" i="36"/>
  <c r="M496" i="36" a="1"/>
  <c r="M496" i="36" s="1"/>
  <c r="M497" i="36" a="1"/>
  <c r="M497" i="36" s="1"/>
  <c r="M498" i="36" a="1"/>
  <c r="M498" i="36" s="1"/>
  <c r="M499" i="36" a="1"/>
  <c r="M499" i="36" s="1"/>
  <c r="M500" i="36" a="1"/>
  <c r="M500" i="36" s="1"/>
  <c r="M501" i="36" a="1"/>
  <c r="M501" i="36"/>
  <c r="M502" i="36" a="1"/>
  <c r="M502" i="36" s="1"/>
  <c r="M503" i="36" a="1"/>
  <c r="M503" i="36"/>
  <c r="M504" i="36" a="1"/>
  <c r="M504" i="36" s="1"/>
  <c r="M505" i="36" a="1"/>
  <c r="M505" i="36" s="1"/>
  <c r="M506" i="36" a="1"/>
  <c r="M506" i="36" s="1"/>
  <c r="M507" i="36" a="1"/>
  <c r="M507" i="36" s="1"/>
  <c r="M508" i="36" a="1"/>
  <c r="M508" i="36" s="1"/>
  <c r="M509" i="36" a="1"/>
  <c r="M509" i="36"/>
  <c r="M510" i="36" a="1"/>
  <c r="M510" i="36"/>
  <c r="M511" i="36" a="1"/>
  <c r="M511" i="36" s="1"/>
  <c r="M512" i="36" a="1"/>
  <c r="M512" i="36" s="1"/>
  <c r="M513" i="36" a="1"/>
  <c r="M513" i="36" s="1"/>
  <c r="M514" i="36" a="1"/>
  <c r="M514" i="36" s="1"/>
  <c r="M515" i="36" a="1"/>
  <c r="M515" i="36" s="1"/>
  <c r="M516" i="36" a="1"/>
  <c r="M516" i="36" s="1"/>
  <c r="M517" i="36" a="1"/>
  <c r="M517" i="36"/>
  <c r="M518" i="36" a="1"/>
  <c r="M518" i="36"/>
  <c r="M519" i="36" a="1"/>
  <c r="M519" i="36"/>
  <c r="M520" i="36" a="1"/>
  <c r="M520" i="36" s="1"/>
  <c r="M521" i="36" a="1"/>
  <c r="M521" i="36" s="1"/>
  <c r="M522" i="36" a="1"/>
  <c r="M522" i="36" s="1"/>
  <c r="M523" i="36" a="1"/>
  <c r="M523" i="36" s="1"/>
  <c r="M524" i="36" a="1"/>
  <c r="M524" i="36" s="1"/>
  <c r="M525" i="36" a="1"/>
  <c r="M525" i="36" s="1"/>
  <c r="M526" i="36" a="1"/>
  <c r="M526" i="36"/>
  <c r="M527" i="36" a="1"/>
  <c r="M527" i="36"/>
  <c r="M528" i="36" a="1"/>
  <c r="M528" i="36" s="1"/>
  <c r="M529" i="36" a="1"/>
  <c r="M529" i="36" s="1"/>
  <c r="M530" i="36" a="1"/>
  <c r="M530" i="36" s="1"/>
  <c r="M531" i="36" a="1"/>
  <c r="M531" i="36" s="1"/>
  <c r="M532" i="36" a="1"/>
  <c r="M532" i="36" s="1"/>
  <c r="M533" i="36" a="1"/>
  <c r="M533" i="36"/>
  <c r="M534" i="36" a="1"/>
  <c r="M534" i="36" s="1"/>
  <c r="M535" i="36" a="1"/>
  <c r="M535" i="36"/>
  <c r="M536" i="36" a="1"/>
  <c r="M536" i="36" s="1"/>
  <c r="M537" i="36" a="1"/>
  <c r="M537" i="36" s="1"/>
  <c r="M538" i="36" a="1"/>
  <c r="M538" i="36" s="1"/>
  <c r="M539" i="36" a="1"/>
  <c r="M539" i="36" s="1"/>
  <c r="M540" i="36" a="1"/>
  <c r="M540" i="36" s="1"/>
  <c r="M541" i="36" a="1"/>
  <c r="M541" i="36"/>
  <c r="M542" i="36" a="1"/>
  <c r="M542" i="36"/>
  <c r="M543" i="36" a="1"/>
  <c r="M543" i="36" s="1"/>
  <c r="M544" i="36" a="1"/>
  <c r="M544" i="36" s="1"/>
  <c r="M545" i="36" a="1"/>
  <c r="M545" i="36" s="1"/>
  <c r="M546" i="36" a="1"/>
  <c r="M546" i="36" s="1"/>
  <c r="M547" i="36" a="1"/>
  <c r="M547" i="36" s="1"/>
  <c r="M548" i="36" a="1"/>
  <c r="M548" i="36" s="1"/>
  <c r="M549" i="36" a="1"/>
  <c r="M549" i="36"/>
  <c r="M550" i="36" a="1"/>
  <c r="M550" i="36"/>
  <c r="M551" i="36" a="1"/>
  <c r="M551" i="36"/>
  <c r="M552" i="36" a="1"/>
  <c r="M552" i="36" s="1"/>
  <c r="M553" i="36" a="1"/>
  <c r="M553" i="36"/>
  <c r="M554" i="36" a="1"/>
  <c r="M554" i="36" s="1"/>
  <c r="M555" i="36" a="1"/>
  <c r="M555" i="36" s="1"/>
  <c r="M556" i="36" a="1"/>
  <c r="M556" i="36" s="1"/>
  <c r="M557" i="36" a="1"/>
  <c r="M557" i="36" s="1"/>
  <c r="M558" i="36" a="1"/>
  <c r="M558" i="36"/>
  <c r="M559" i="36" a="1"/>
  <c r="M559" i="36"/>
  <c r="M560" i="36" a="1"/>
  <c r="M560" i="36" s="1"/>
  <c r="M561" i="36" a="1"/>
  <c r="M561" i="36" s="1"/>
  <c r="M562" i="36" a="1"/>
  <c r="M562" i="36"/>
  <c r="M563" i="36" a="1"/>
  <c r="M563" i="36" s="1"/>
  <c r="M564" i="36" a="1"/>
  <c r="M564" i="36" s="1"/>
  <c r="M565" i="36" a="1"/>
  <c r="M565" i="36"/>
  <c r="M566" i="36" a="1"/>
  <c r="M566" i="36" s="1"/>
  <c r="M567" i="36" a="1"/>
  <c r="M567" i="36"/>
  <c r="M568" i="36" a="1"/>
  <c r="M568" i="36" s="1"/>
  <c r="M569" i="36" a="1"/>
  <c r="M569" i="36" s="1"/>
  <c r="M570" i="36" a="1"/>
  <c r="M570" i="36" s="1"/>
  <c r="M571" i="36" a="1"/>
  <c r="M571" i="36"/>
  <c r="M572" i="36" a="1"/>
  <c r="M572" i="36" s="1"/>
  <c r="M573" i="36" a="1"/>
  <c r="M573" i="36"/>
  <c r="M574" i="36" a="1"/>
  <c r="M574" i="36"/>
  <c r="M575" i="36" a="1"/>
  <c r="M575" i="36" s="1"/>
  <c r="M576" i="36" a="1"/>
  <c r="M576" i="36" s="1"/>
  <c r="M577" i="36" a="1"/>
  <c r="M577" i="36" s="1"/>
  <c r="M578" i="36" a="1"/>
  <c r="M578" i="36" s="1"/>
  <c r="M579" i="36" a="1"/>
  <c r="M579" i="36" s="1"/>
  <c r="M580" i="36" a="1"/>
  <c r="M580" i="36" s="1"/>
  <c r="M581" i="36" a="1"/>
  <c r="M581" i="36"/>
  <c r="M582" i="36" a="1"/>
  <c r="M582" i="36" s="1"/>
  <c r="M583" i="36" a="1"/>
  <c r="M583" i="36"/>
  <c r="M584" i="36" a="1"/>
  <c r="M584" i="36" s="1"/>
  <c r="M585" i="36" a="1"/>
  <c r="M585" i="36"/>
  <c r="M586" i="36" a="1"/>
  <c r="M586" i="36" s="1"/>
  <c r="M587" i="36" a="1"/>
  <c r="M587" i="36" s="1"/>
  <c r="M588" i="36" a="1"/>
  <c r="M588" i="36" s="1"/>
  <c r="M589" i="36" a="1"/>
  <c r="M589" i="36" s="1"/>
  <c r="M590" i="36" a="1"/>
  <c r="M590" i="36"/>
  <c r="M591" i="36" a="1"/>
  <c r="M591" i="36"/>
  <c r="M592" i="36" a="1"/>
  <c r="M592" i="36" s="1"/>
  <c r="M593" i="36" a="1"/>
  <c r="M593" i="36" s="1"/>
  <c r="M594" i="36" a="1"/>
  <c r="M594" i="36"/>
  <c r="M595" i="36" a="1"/>
  <c r="M595" i="36" s="1"/>
  <c r="M596" i="36" a="1"/>
  <c r="M596" i="36" s="1"/>
  <c r="M597" i="36" a="1"/>
  <c r="M597" i="36" s="1"/>
  <c r="M598" i="36" a="1"/>
  <c r="M598" i="36"/>
  <c r="M599" i="36" a="1"/>
  <c r="M599" i="36" s="1"/>
  <c r="M600" i="36" a="1"/>
  <c r="M600" i="36" s="1"/>
  <c r="M601" i="36" a="1"/>
  <c r="M601" i="36" s="1"/>
  <c r="M602" i="36" a="1"/>
  <c r="M602" i="36" s="1"/>
  <c r="M603" i="36" a="1"/>
  <c r="M603" i="36" s="1"/>
  <c r="M604" i="36" a="1"/>
  <c r="M604" i="36" s="1"/>
  <c r="M605" i="36" a="1"/>
  <c r="M605" i="36" s="1"/>
  <c r="M606" i="36" a="1"/>
  <c r="M606" i="36" s="1"/>
  <c r="M607" i="36" a="1"/>
  <c r="M607" i="36" s="1"/>
  <c r="M608" i="36" a="1"/>
  <c r="M608" i="36" s="1"/>
  <c r="M609" i="36" a="1"/>
  <c r="M609" i="36" s="1"/>
  <c r="M610" i="36" a="1"/>
  <c r="M610" i="36" s="1"/>
  <c r="M611" i="36" a="1"/>
  <c r="M611" i="36" s="1"/>
  <c r="M612" i="36" a="1"/>
  <c r="M612" i="36" s="1"/>
  <c r="M613" i="36" a="1"/>
  <c r="M613" i="36" s="1"/>
  <c r="M614" i="36" a="1"/>
  <c r="M614" i="36"/>
  <c r="M615" i="36" a="1"/>
  <c r="M615" i="36" s="1"/>
  <c r="M616" i="36" a="1"/>
  <c r="M616" i="36" s="1"/>
  <c r="M617" i="36" a="1"/>
  <c r="M617" i="36" s="1"/>
  <c r="M618" i="36" a="1"/>
  <c r="M618" i="36" s="1"/>
  <c r="M619" i="36" a="1"/>
  <c r="M619" i="36" s="1"/>
  <c r="M620" i="36" a="1"/>
  <c r="M620" i="36" s="1"/>
  <c r="M621" i="36" a="1"/>
  <c r="M621" i="36" s="1"/>
  <c r="M622" i="36" a="1"/>
  <c r="M622" i="36" s="1"/>
  <c r="M623" i="36" a="1"/>
  <c r="M623" i="36" s="1"/>
  <c r="M624" i="36" a="1"/>
  <c r="M624" i="36" s="1"/>
  <c r="M625" i="36" a="1"/>
  <c r="M625" i="36" s="1"/>
  <c r="M626" i="36" a="1"/>
  <c r="M626" i="36" s="1"/>
  <c r="M627" i="36" a="1"/>
  <c r="M627" i="36" s="1"/>
  <c r="M628" i="36" a="1"/>
  <c r="M628" i="36" s="1"/>
  <c r="M629" i="36" a="1"/>
  <c r="M629" i="36" s="1"/>
  <c r="M630" i="36" a="1"/>
  <c r="M630" i="36" s="1"/>
  <c r="M631" i="36" a="1"/>
  <c r="M631" i="36" s="1"/>
  <c r="M632" i="36" a="1"/>
  <c r="M632" i="36" s="1"/>
  <c r="M633" i="36" a="1"/>
  <c r="M633" i="36" s="1"/>
  <c r="M634" i="36" a="1"/>
  <c r="M634" i="36" s="1"/>
  <c r="M635" i="36" a="1"/>
  <c r="M635" i="36" s="1"/>
  <c r="M636" i="36" a="1"/>
  <c r="M636" i="36" s="1"/>
  <c r="M637" i="36" a="1"/>
  <c r="M637" i="36" s="1"/>
  <c r="M638" i="36" a="1"/>
  <c r="M638" i="36" s="1"/>
  <c r="M639" i="36" a="1"/>
  <c r="M639" i="36" s="1"/>
  <c r="M640" i="36" a="1"/>
  <c r="M640" i="36" s="1"/>
  <c r="M641" i="36" a="1"/>
  <c r="M641" i="36" s="1"/>
  <c r="M642" i="36" a="1"/>
  <c r="M642" i="36" s="1"/>
  <c r="M643" i="36" a="1"/>
  <c r="M643" i="36" s="1"/>
  <c r="M644" i="36" a="1"/>
  <c r="M644" i="36" s="1"/>
  <c r="M645" i="36" a="1"/>
  <c r="M645" i="36" s="1"/>
  <c r="M646" i="36" a="1"/>
  <c r="M646" i="36"/>
  <c r="M647" i="36" a="1"/>
  <c r="M647" i="36" s="1"/>
  <c r="M648" i="36" a="1"/>
  <c r="M648" i="36" s="1"/>
  <c r="M649" i="36" a="1"/>
  <c r="M649" i="36" s="1"/>
  <c r="M650" i="36" a="1"/>
  <c r="M650" i="36" s="1"/>
  <c r="M651" i="36" a="1"/>
  <c r="M651" i="36" s="1"/>
  <c r="M652" i="36" a="1"/>
  <c r="M652" i="36" s="1"/>
  <c r="M653" i="36" a="1"/>
  <c r="M653" i="36" s="1"/>
  <c r="M654" i="36" a="1"/>
  <c r="M654" i="36" s="1"/>
  <c r="M655" i="36" a="1"/>
  <c r="M655" i="36" s="1"/>
  <c r="M656" i="36" a="1"/>
  <c r="M656" i="36" s="1"/>
  <c r="M657" i="36" a="1"/>
  <c r="M657" i="36" s="1"/>
  <c r="M658" i="36" a="1"/>
  <c r="M658" i="36"/>
  <c r="M659" i="36" a="1"/>
  <c r="M659" i="36" s="1"/>
  <c r="M660" i="36" a="1"/>
  <c r="M660" i="36" s="1"/>
  <c r="M661" i="36" a="1"/>
  <c r="M661" i="36" s="1"/>
  <c r="M662" i="36" a="1"/>
  <c r="M662" i="36" s="1"/>
  <c r="M663" i="36" a="1"/>
  <c r="M663" i="36" s="1"/>
  <c r="M664" i="36" a="1"/>
  <c r="M664" i="36" s="1"/>
  <c r="M665" i="36" a="1"/>
  <c r="M665" i="36" s="1"/>
  <c r="M666" i="36" a="1"/>
  <c r="M666" i="36" s="1"/>
  <c r="M667" i="36" a="1"/>
  <c r="M667" i="36" s="1"/>
  <c r="M668" i="36" a="1"/>
  <c r="M668" i="36" s="1"/>
  <c r="M669" i="36" a="1"/>
  <c r="M669" i="36" s="1"/>
  <c r="M670" i="36" a="1"/>
  <c r="M670" i="36" s="1"/>
  <c r="M671" i="36" a="1"/>
  <c r="M671" i="36" s="1"/>
  <c r="M672" i="36" a="1"/>
  <c r="M672" i="36" s="1"/>
  <c r="M673" i="36" a="1"/>
  <c r="M673" i="36" s="1"/>
  <c r="M674" i="36" a="1"/>
  <c r="M674" i="36" s="1"/>
  <c r="M675" i="36" a="1"/>
  <c r="M675" i="36" s="1"/>
  <c r="M676" i="36" a="1"/>
  <c r="M676" i="36" s="1"/>
  <c r="M677" i="36" a="1"/>
  <c r="M677" i="36" s="1"/>
  <c r="M678" i="36" a="1"/>
  <c r="M678" i="36" s="1"/>
  <c r="M679" i="36" a="1"/>
  <c r="M679" i="36" s="1"/>
  <c r="M680" i="36" a="1"/>
  <c r="M680" i="36" s="1"/>
  <c r="M681" i="36" a="1"/>
  <c r="M681" i="36" s="1"/>
  <c r="M682" i="36" a="1"/>
  <c r="M682" i="36" s="1"/>
  <c r="M683" i="36" a="1"/>
  <c r="M683" i="36" s="1"/>
  <c r="M684" i="36" a="1"/>
  <c r="M684" i="36" s="1"/>
  <c r="M685" i="36" a="1"/>
  <c r="M685" i="36" s="1"/>
  <c r="M686" i="36" a="1"/>
  <c r="M686" i="36" s="1"/>
  <c r="M687" i="36" a="1"/>
  <c r="M687" i="36" s="1"/>
  <c r="M688" i="36" a="1"/>
  <c r="M688" i="36" s="1"/>
  <c r="M689" i="36" a="1"/>
  <c r="M689" i="36" s="1"/>
  <c r="M690" i="36" a="1"/>
  <c r="M690" i="36"/>
  <c r="M691" i="36" a="1"/>
  <c r="M691" i="36" s="1"/>
  <c r="M692" i="36" a="1"/>
  <c r="M692" i="36" s="1"/>
  <c r="M693" i="36" a="1"/>
  <c r="M693" i="36" s="1"/>
  <c r="M694" i="36" a="1"/>
  <c r="M694" i="36"/>
  <c r="M695" i="36" a="1"/>
  <c r="M695" i="36" s="1"/>
  <c r="M696" i="36" a="1"/>
  <c r="M696" i="36" s="1"/>
  <c r="M697" i="36" a="1"/>
  <c r="M697" i="36" s="1"/>
  <c r="M698" i="36" a="1"/>
  <c r="M698" i="36" s="1"/>
  <c r="M699" i="36" a="1"/>
  <c r="M699" i="36" s="1"/>
  <c r="M700" i="36" a="1"/>
  <c r="M700" i="36" s="1"/>
  <c r="M701" i="36" a="1"/>
  <c r="M701" i="36" s="1"/>
  <c r="M702" i="36" a="1"/>
  <c r="M702" i="36" s="1"/>
  <c r="M703" i="36" a="1"/>
  <c r="M703" i="36" s="1"/>
  <c r="M704" i="36" a="1"/>
  <c r="M704" i="36" s="1"/>
  <c r="M705" i="36" a="1"/>
  <c r="M705" i="36" s="1"/>
  <c r="M706" i="36" a="1"/>
  <c r="M706" i="36" s="1"/>
  <c r="M707" i="36" a="1"/>
  <c r="M707" i="36" s="1"/>
  <c r="M708" i="36" a="1"/>
  <c r="M708" i="36" s="1"/>
  <c r="M709" i="36" a="1"/>
  <c r="M709" i="36" s="1"/>
  <c r="M710" i="36" a="1"/>
  <c r="M710" i="36" s="1"/>
  <c r="M711" i="36" a="1"/>
  <c r="M711" i="36" s="1"/>
  <c r="M712" i="36" a="1"/>
  <c r="M712" i="36" s="1"/>
  <c r="M713" i="36" a="1"/>
  <c r="M713" i="36" s="1"/>
  <c r="M714" i="36" a="1"/>
  <c r="M714" i="36" s="1"/>
  <c r="M715" i="36" a="1"/>
  <c r="M715" i="36" s="1"/>
  <c r="M716" i="36" a="1"/>
  <c r="M716" i="36" s="1"/>
  <c r="M717" i="36" a="1"/>
  <c r="M717" i="36" s="1"/>
  <c r="M718" i="36" a="1"/>
  <c r="M718" i="36" s="1"/>
  <c r="M719" i="36" a="1"/>
  <c r="M719" i="36" s="1"/>
  <c r="M720" i="36" a="1"/>
  <c r="M720" i="36" s="1"/>
  <c r="M721" i="36" a="1"/>
  <c r="M721" i="36" s="1"/>
  <c r="M722" i="36" a="1"/>
  <c r="M722" i="36" s="1"/>
  <c r="M723" i="36" a="1"/>
  <c r="M723" i="36" s="1"/>
  <c r="M724" i="36" a="1"/>
  <c r="M724" i="36" s="1"/>
  <c r="M725" i="36" a="1"/>
  <c r="M725" i="36" s="1"/>
  <c r="M726" i="36" a="1"/>
  <c r="M726" i="36" s="1"/>
  <c r="M727" i="36" a="1"/>
  <c r="M727" i="36" s="1"/>
  <c r="M728" i="36" a="1"/>
  <c r="M728" i="36" s="1"/>
  <c r="M729" i="36" a="1"/>
  <c r="M729" i="36" s="1"/>
  <c r="M730" i="36" a="1"/>
  <c r="M730" i="36"/>
  <c r="M731" i="36" a="1"/>
  <c r="M731" i="36" s="1"/>
  <c r="M732" i="36" a="1"/>
  <c r="M732" i="36" s="1"/>
  <c r="M733" i="36" a="1"/>
  <c r="M733" i="36" s="1"/>
  <c r="M734" i="36" a="1"/>
  <c r="M734" i="36" s="1"/>
  <c r="M735" i="36" a="1"/>
  <c r="M735" i="36" s="1"/>
  <c r="M736" i="36" a="1"/>
  <c r="M736" i="36" s="1"/>
  <c r="M737" i="36" a="1"/>
  <c r="M737" i="36" s="1"/>
  <c r="M738" i="36" a="1"/>
  <c r="M738" i="36" s="1"/>
  <c r="M739" i="36" a="1"/>
  <c r="M739" i="36" s="1"/>
  <c r="M740" i="36" a="1"/>
  <c r="M740" i="36" s="1"/>
  <c r="M741" i="36" a="1"/>
  <c r="M741" i="36" s="1"/>
  <c r="M742" i="36" a="1"/>
  <c r="M742" i="36"/>
  <c r="M743" i="36" a="1"/>
  <c r="M743" i="36" s="1"/>
  <c r="M744" i="36" a="1"/>
  <c r="M744" i="36" s="1"/>
  <c r="M745" i="36" a="1"/>
  <c r="M745" i="36" s="1"/>
  <c r="M746" i="36" a="1"/>
  <c r="M746" i="36" s="1"/>
  <c r="M747" i="36" a="1"/>
  <c r="M747" i="36" s="1"/>
  <c r="M748" i="36" a="1"/>
  <c r="M748" i="36" s="1"/>
  <c r="M749" i="36" a="1"/>
  <c r="M749" i="36" s="1"/>
  <c r="M750" i="36" a="1"/>
  <c r="M750" i="36" s="1"/>
  <c r="M751" i="36" a="1"/>
  <c r="M751" i="36" s="1"/>
  <c r="M752" i="36" a="1"/>
  <c r="M752" i="36" s="1"/>
  <c r="M753" i="36" a="1"/>
  <c r="M753" i="36" s="1"/>
  <c r="M754" i="36" a="1"/>
  <c r="M754" i="36" s="1"/>
  <c r="M755" i="36" a="1"/>
  <c r="M755" i="36" s="1"/>
  <c r="M756" i="36" a="1"/>
  <c r="M756" i="36" s="1"/>
  <c r="M757" i="36" a="1"/>
  <c r="M757" i="36" s="1"/>
  <c r="M758" i="36" a="1"/>
  <c r="M758" i="36" s="1"/>
  <c r="M759" i="36" a="1"/>
  <c r="M759" i="36" s="1"/>
  <c r="M760" i="36" a="1"/>
  <c r="M760" i="36" s="1"/>
  <c r="M761" i="36" a="1"/>
  <c r="M761" i="36" s="1"/>
  <c r="M762" i="36" a="1"/>
  <c r="M762" i="36" s="1"/>
  <c r="M763" i="36" a="1"/>
  <c r="M763" i="36" s="1"/>
  <c r="M764" i="36" a="1"/>
  <c r="M764" i="36" s="1"/>
  <c r="M765" i="36" a="1"/>
  <c r="M765" i="36" s="1"/>
  <c r="M766" i="36" a="1"/>
  <c r="M766" i="36" s="1"/>
  <c r="M767" i="36" a="1"/>
  <c r="M767" i="36" s="1"/>
  <c r="M768" i="36" a="1"/>
  <c r="M768" i="36" s="1"/>
  <c r="M769" i="36" a="1"/>
  <c r="M769" i="36" s="1"/>
  <c r="M770" i="36" a="1"/>
  <c r="M770" i="36" s="1"/>
  <c r="M771" i="36" a="1"/>
  <c r="M771" i="36" s="1"/>
  <c r="M772" i="36" a="1"/>
  <c r="M772" i="36" s="1"/>
  <c r="M773" i="36" a="1"/>
  <c r="M773" i="36" s="1"/>
  <c r="M774" i="36" a="1"/>
  <c r="M774" i="36"/>
  <c r="M775" i="36" a="1"/>
  <c r="M775" i="36" s="1"/>
  <c r="M776" i="36" a="1"/>
  <c r="M776" i="36" s="1"/>
  <c r="M777" i="36" a="1"/>
  <c r="M777" i="36" s="1"/>
  <c r="M778" i="36" a="1"/>
  <c r="M778" i="36"/>
  <c r="M779" i="36" a="1"/>
  <c r="M779" i="36" s="1"/>
  <c r="M780" i="36" a="1"/>
  <c r="M780" i="36" s="1"/>
  <c r="M781" i="36" a="1"/>
  <c r="M781" i="36" s="1"/>
  <c r="M782" i="36" a="1"/>
  <c r="M782" i="36" s="1"/>
  <c r="M783" i="36" a="1"/>
  <c r="M783" i="36" s="1"/>
  <c r="M784" i="36" a="1"/>
  <c r="M784" i="36" s="1"/>
  <c r="M785" i="36" a="1"/>
  <c r="M785" i="36" s="1"/>
  <c r="M786" i="36" a="1"/>
  <c r="M786" i="36" s="1"/>
  <c r="M787" i="36" a="1"/>
  <c r="M787" i="36" s="1"/>
  <c r="M788" i="36" a="1"/>
  <c r="M788" i="36" s="1"/>
  <c r="M789" i="36" a="1"/>
  <c r="M789" i="36" s="1"/>
  <c r="M790" i="36" a="1"/>
  <c r="M790" i="36" s="1"/>
  <c r="M791" i="36" a="1"/>
  <c r="M791" i="36" s="1"/>
  <c r="M792" i="36" a="1"/>
  <c r="M792" i="36" s="1"/>
  <c r="M793" i="36" a="1"/>
  <c r="M793" i="36" s="1"/>
  <c r="M794" i="36" a="1"/>
  <c r="M794" i="36" s="1"/>
  <c r="M795" i="36" a="1"/>
  <c r="M795" i="36" s="1"/>
  <c r="M796" i="36" a="1"/>
  <c r="M796" i="36" s="1"/>
  <c r="M797" i="36" a="1"/>
  <c r="M797" i="36" s="1"/>
  <c r="M798" i="36" a="1"/>
  <c r="M798" i="36" s="1"/>
  <c r="M799" i="36" a="1"/>
  <c r="M799" i="36" s="1"/>
  <c r="M800" i="36" a="1"/>
  <c r="M800" i="36" s="1"/>
  <c r="M801" i="36" a="1"/>
  <c r="M801" i="36" s="1"/>
  <c r="M802" i="36" a="1"/>
  <c r="M802" i="36" s="1"/>
  <c r="M803" i="36" a="1"/>
  <c r="M803" i="36" s="1"/>
  <c r="M804" i="36" a="1"/>
  <c r="M804" i="36" s="1"/>
  <c r="M805" i="36" a="1"/>
  <c r="M805" i="36" s="1"/>
  <c r="M806" i="36" a="1"/>
  <c r="M806" i="36" s="1"/>
  <c r="M807" i="36" a="1"/>
  <c r="M807" i="36" s="1"/>
  <c r="M808" i="36" a="1"/>
  <c r="M808" i="36" s="1"/>
  <c r="M809" i="36" a="1"/>
  <c r="M809" i="36" s="1"/>
  <c r="M810" i="36" a="1"/>
  <c r="M810" i="36"/>
  <c r="M811" i="36" a="1"/>
  <c r="M811" i="36" s="1"/>
  <c r="M812" i="36" a="1"/>
  <c r="M812" i="36" s="1"/>
  <c r="M813" i="36" a="1"/>
  <c r="M813" i="36" s="1"/>
  <c r="M814" i="36" a="1"/>
  <c r="M814" i="36" s="1"/>
  <c r="M815" i="36" a="1"/>
  <c r="M815" i="36" s="1"/>
  <c r="M816" i="36" a="1"/>
  <c r="M816" i="36" s="1"/>
  <c r="M817" i="36" a="1"/>
  <c r="M817" i="36" s="1"/>
  <c r="M818" i="36" a="1"/>
  <c r="M818" i="36" s="1"/>
  <c r="M819" i="36" a="1"/>
  <c r="M819" i="36" s="1"/>
  <c r="M820" i="36" a="1"/>
  <c r="M820" i="36" s="1"/>
  <c r="M821" i="36" a="1"/>
  <c r="M821" i="36" s="1"/>
  <c r="M822" i="36" a="1"/>
  <c r="M822" i="36" s="1"/>
  <c r="M823" i="36" a="1"/>
  <c r="M823" i="36" s="1"/>
  <c r="M824" i="36" a="1"/>
  <c r="M824" i="36" s="1"/>
  <c r="M825" i="36" a="1"/>
  <c r="M825" i="36" s="1"/>
  <c r="M826" i="36" a="1"/>
  <c r="M826" i="36" s="1"/>
  <c r="M827" i="36" a="1"/>
  <c r="M827" i="36" s="1"/>
  <c r="M828" i="36" a="1"/>
  <c r="M828" i="36" s="1"/>
  <c r="M829" i="36" a="1"/>
  <c r="M829" i="36" s="1"/>
  <c r="M830" i="36" a="1"/>
  <c r="M830" i="36" s="1"/>
  <c r="M831" i="36" a="1"/>
  <c r="M831" i="36" s="1"/>
  <c r="M832" i="36" a="1"/>
  <c r="M832" i="36" s="1"/>
  <c r="M833" i="36" a="1"/>
  <c r="M833" i="36" s="1"/>
  <c r="M834" i="36" a="1"/>
  <c r="M834" i="36" s="1"/>
  <c r="M835" i="36" a="1"/>
  <c r="M835" i="36" s="1"/>
  <c r="M836" i="36" a="1"/>
  <c r="M836" i="36" s="1"/>
  <c r="M837" i="36" a="1"/>
  <c r="M837" i="36" s="1"/>
  <c r="M838" i="36" a="1"/>
  <c r="M838" i="36" s="1"/>
  <c r="M839" i="36" a="1"/>
  <c r="M839" i="36" s="1"/>
  <c r="M840" i="36" a="1"/>
  <c r="M840" i="36" s="1"/>
  <c r="M841" i="36" a="1"/>
  <c r="M841" i="36" s="1"/>
  <c r="M842" i="36" a="1"/>
  <c r="M842" i="36" s="1"/>
  <c r="M843" i="36" a="1"/>
  <c r="M843" i="36" s="1"/>
  <c r="M844" i="36" a="1"/>
  <c r="M844" i="36" s="1"/>
  <c r="M845" i="36" a="1"/>
  <c r="M845" i="36" s="1"/>
  <c r="M846" i="36" a="1"/>
  <c r="M846" i="36" s="1"/>
  <c r="M847" i="36" a="1"/>
  <c r="M847" i="36" s="1"/>
  <c r="M848" i="36" a="1"/>
  <c r="M848" i="36" s="1"/>
  <c r="M849" i="36" a="1"/>
  <c r="M849" i="36" s="1"/>
  <c r="M850" i="36" a="1"/>
  <c r="M850" i="36" s="1"/>
  <c r="M851" i="36" a="1"/>
  <c r="M851" i="36" s="1"/>
  <c r="M852" i="36" a="1"/>
  <c r="M852" i="36" s="1"/>
  <c r="M853" i="36" a="1"/>
  <c r="M853" i="36" s="1"/>
  <c r="M854" i="36" a="1"/>
  <c r="M854" i="36" s="1"/>
  <c r="M855" i="36" a="1"/>
  <c r="M855" i="36" s="1"/>
  <c r="M856" i="36" a="1"/>
  <c r="M856" i="36" s="1"/>
  <c r="M857" i="36" a="1"/>
  <c r="M857" i="36" s="1"/>
  <c r="M858" i="36" a="1"/>
  <c r="M858" i="36" s="1"/>
  <c r="M859" i="36" a="1"/>
  <c r="M859" i="36" s="1"/>
  <c r="M860" i="36" a="1"/>
  <c r="M860" i="36" s="1"/>
  <c r="M861" i="36" a="1"/>
  <c r="M861" i="36" s="1"/>
  <c r="M862" i="36" a="1"/>
  <c r="M862" i="36" s="1"/>
  <c r="M863" i="36" a="1"/>
  <c r="M863" i="36" s="1"/>
  <c r="M864" i="36" a="1"/>
  <c r="M864" i="36" s="1"/>
  <c r="M865" i="36" a="1"/>
  <c r="M865" i="36" s="1"/>
  <c r="M866" i="36" a="1"/>
  <c r="M866" i="36" s="1"/>
  <c r="M867" i="36" a="1"/>
  <c r="M867" i="36" s="1"/>
  <c r="M868" i="36" a="1"/>
  <c r="M868" i="36" s="1"/>
  <c r="M869" i="36" a="1"/>
  <c r="M869" i="36" s="1"/>
  <c r="M870" i="36" a="1"/>
  <c r="M870" i="36" s="1"/>
  <c r="M871" i="36" a="1"/>
  <c r="M871" i="36" s="1"/>
  <c r="M872" i="36" a="1"/>
  <c r="M872" i="36" s="1"/>
  <c r="M873" i="36" a="1"/>
  <c r="M873" i="36" s="1"/>
  <c r="M874" i="36" a="1"/>
  <c r="M874" i="36" s="1"/>
  <c r="M875" i="36" a="1"/>
  <c r="M875" i="36" s="1"/>
  <c r="M876" i="36" a="1"/>
  <c r="M876" i="36" s="1"/>
  <c r="M877" i="36" a="1"/>
  <c r="M877" i="36" s="1"/>
  <c r="M878" i="36" a="1"/>
  <c r="M878" i="36" s="1"/>
  <c r="M879" i="36" a="1"/>
  <c r="M879" i="36" s="1"/>
  <c r="M2" i="36" a="1"/>
  <c r="M2" i="36" s="1"/>
  <c r="P23" i="43" a="1"/>
  <c r="P23" i="43" s="1"/>
  <c r="P24" i="43" a="1"/>
  <c r="P24" i="43" s="1"/>
  <c r="P25" i="43" a="1"/>
  <c r="P25" i="43" s="1"/>
  <c r="P26" i="43" a="1"/>
  <c r="P26" i="43" s="1"/>
  <c r="P27" i="43" a="1"/>
  <c r="P27" i="43"/>
  <c r="P28" i="43" a="1"/>
  <c r="P28" i="43" s="1"/>
  <c r="M882" i="36"/>
  <c r="M883" i="36" a="1"/>
  <c r="M883" i="36" s="1"/>
  <c r="N882" i="36"/>
  <c r="D882" i="36"/>
  <c r="C882" i="36"/>
  <c r="B882" i="36"/>
  <c r="E2" i="43" a="1"/>
  <c r="E2" i="43" s="1"/>
  <c r="G5" i="43" a="1"/>
  <c r="G5" i="43" s="1"/>
  <c r="D824" i="36"/>
  <c r="C2" i="45"/>
  <c r="C3" i="45"/>
  <c r="C4" i="45"/>
  <c r="C5" i="45"/>
  <c r="C6" i="45"/>
  <c r="C7" i="45"/>
  <c r="C1" i="45"/>
  <c r="D3" i="36"/>
  <c r="D4" i="36"/>
  <c r="D5" i="36"/>
  <c r="D6" i="36"/>
  <c r="D7" i="36"/>
  <c r="D8" i="36"/>
  <c r="D9" i="36"/>
  <c r="D10" i="36"/>
  <c r="D11" i="36"/>
  <c r="D12" i="36"/>
  <c r="D13" i="36"/>
  <c r="D14" i="36"/>
  <c r="D15" i="36"/>
  <c r="D16" i="36"/>
  <c r="D17" i="36"/>
  <c r="D18" i="36"/>
  <c r="D19" i="36"/>
  <c r="D20" i="36"/>
  <c r="D21" i="36"/>
  <c r="D22" i="36"/>
  <c r="D23" i="36"/>
  <c r="D24" i="36"/>
  <c r="D25" i="36"/>
  <c r="D26" i="36"/>
  <c r="D27" i="36"/>
  <c r="D28" i="36"/>
  <c r="D29" i="36"/>
  <c r="D30" i="36"/>
  <c r="D31" i="36"/>
  <c r="D32" i="36"/>
  <c r="D33" i="36"/>
  <c r="D34" i="36"/>
  <c r="D35" i="36"/>
  <c r="D36" i="36"/>
  <c r="D37" i="36"/>
  <c r="D38" i="36"/>
  <c r="D39" i="36"/>
  <c r="D40" i="36"/>
  <c r="D41" i="36"/>
  <c r="D42" i="36"/>
  <c r="D43" i="36"/>
  <c r="D44" i="36"/>
  <c r="D45" i="36"/>
  <c r="D46" i="36"/>
  <c r="D47" i="36"/>
  <c r="D48" i="36"/>
  <c r="D49" i="36"/>
  <c r="D50" i="36"/>
  <c r="D51" i="36"/>
  <c r="D52" i="36"/>
  <c r="D53" i="36"/>
  <c r="D54" i="36"/>
  <c r="D55" i="36"/>
  <c r="D56" i="36"/>
  <c r="D57" i="36"/>
  <c r="D58" i="36"/>
  <c r="D59" i="36"/>
  <c r="D60" i="36"/>
  <c r="D61" i="36"/>
  <c r="D62" i="36"/>
  <c r="D63" i="36"/>
  <c r="D64" i="36"/>
  <c r="D65" i="36"/>
  <c r="D66" i="36"/>
  <c r="D67" i="36"/>
  <c r="D68" i="36"/>
  <c r="D69" i="36"/>
  <c r="D70" i="36"/>
  <c r="D71" i="36"/>
  <c r="D72" i="36"/>
  <c r="D73" i="36"/>
  <c r="D74" i="36"/>
  <c r="D75" i="36"/>
  <c r="D76" i="36"/>
  <c r="D77" i="36"/>
  <c r="D78" i="36"/>
  <c r="D79" i="36"/>
  <c r="D80" i="36"/>
  <c r="D81" i="36"/>
  <c r="D82" i="36"/>
  <c r="D83" i="36"/>
  <c r="D84" i="36"/>
  <c r="D85" i="36"/>
  <c r="D86" i="36"/>
  <c r="D87" i="36"/>
  <c r="D88" i="36"/>
  <c r="D89" i="36"/>
  <c r="D90" i="36"/>
  <c r="D91" i="36"/>
  <c r="D92" i="36"/>
  <c r="D93" i="36"/>
  <c r="D94" i="36"/>
  <c r="D95" i="36"/>
  <c r="D96" i="36"/>
  <c r="D97" i="36"/>
  <c r="D98" i="36"/>
  <c r="D99" i="36"/>
  <c r="D100" i="36"/>
  <c r="D101" i="36"/>
  <c r="D102" i="36"/>
  <c r="D103" i="36"/>
  <c r="D104" i="36"/>
  <c r="D105" i="36"/>
  <c r="D106" i="36"/>
  <c r="D107" i="36"/>
  <c r="D108" i="36"/>
  <c r="D109" i="36"/>
  <c r="D110" i="36"/>
  <c r="D111" i="36"/>
  <c r="D112" i="36"/>
  <c r="D113" i="36"/>
  <c r="D114" i="36"/>
  <c r="D115" i="36"/>
  <c r="D116" i="36"/>
  <c r="D117" i="36"/>
  <c r="D118" i="36"/>
  <c r="D119" i="36"/>
  <c r="D120" i="36"/>
  <c r="D121" i="36"/>
  <c r="D122" i="36"/>
  <c r="D123" i="36"/>
  <c r="D124" i="36"/>
  <c r="D125" i="36"/>
  <c r="D126" i="36"/>
  <c r="D127" i="36"/>
  <c r="D128" i="36"/>
  <c r="D129" i="36"/>
  <c r="D130" i="36"/>
  <c r="D131" i="36"/>
  <c r="D132" i="36"/>
  <c r="D133" i="36"/>
  <c r="D134" i="36"/>
  <c r="D135" i="36"/>
  <c r="D136" i="36"/>
  <c r="D137" i="36"/>
  <c r="D138" i="36"/>
  <c r="D139" i="36"/>
  <c r="D140" i="36"/>
  <c r="D141" i="36"/>
  <c r="D142" i="36"/>
  <c r="D143" i="36"/>
  <c r="D144" i="36"/>
  <c r="D145" i="36"/>
  <c r="D146" i="36"/>
  <c r="D147" i="36"/>
  <c r="D148" i="36"/>
  <c r="D149" i="36"/>
  <c r="D150" i="36"/>
  <c r="D151" i="36"/>
  <c r="D152" i="36"/>
  <c r="D153" i="36"/>
  <c r="D154" i="36"/>
  <c r="D155" i="36"/>
  <c r="D156" i="36"/>
  <c r="D157" i="36"/>
  <c r="D158" i="36"/>
  <c r="D159" i="36"/>
  <c r="D160" i="36"/>
  <c r="D161" i="36"/>
  <c r="D162" i="36"/>
  <c r="D163" i="36"/>
  <c r="D164" i="36"/>
  <c r="D165" i="36"/>
  <c r="D166" i="36"/>
  <c r="D167" i="36"/>
  <c r="D168" i="36"/>
  <c r="D169" i="36"/>
  <c r="D170" i="36"/>
  <c r="D171" i="36"/>
  <c r="D172" i="36"/>
  <c r="D173" i="36"/>
  <c r="D174" i="36"/>
  <c r="D175" i="36"/>
  <c r="D176" i="36"/>
  <c r="D177" i="36"/>
  <c r="D178" i="36"/>
  <c r="D179" i="36"/>
  <c r="D180" i="36"/>
  <c r="D181" i="36"/>
  <c r="D182" i="36"/>
  <c r="D183" i="36"/>
  <c r="D184" i="36"/>
  <c r="D185" i="36"/>
  <c r="D186" i="36"/>
  <c r="D187" i="36"/>
  <c r="D188" i="36"/>
  <c r="D189" i="36"/>
  <c r="D190" i="36"/>
  <c r="D191" i="36"/>
  <c r="D192" i="36"/>
  <c r="D193" i="36"/>
  <c r="D194" i="36"/>
  <c r="D195" i="36"/>
  <c r="D196" i="36"/>
  <c r="D197" i="36"/>
  <c r="D198" i="36"/>
  <c r="D199" i="36"/>
  <c r="D200" i="36"/>
  <c r="D201" i="36"/>
  <c r="D202" i="36"/>
  <c r="D203" i="36"/>
  <c r="D204" i="36"/>
  <c r="D205" i="36"/>
  <c r="D206" i="36"/>
  <c r="D207" i="36"/>
  <c r="D208" i="36"/>
  <c r="D209" i="36"/>
  <c r="D210" i="36"/>
  <c r="D211" i="36"/>
  <c r="D212" i="36"/>
  <c r="D213" i="36"/>
  <c r="D214" i="36"/>
  <c r="D215" i="36"/>
  <c r="D216" i="36"/>
  <c r="D217" i="36"/>
  <c r="D218" i="36"/>
  <c r="D219" i="36"/>
  <c r="D220" i="36"/>
  <c r="D221" i="36"/>
  <c r="D222" i="36"/>
  <c r="D223" i="36"/>
  <c r="D224" i="36"/>
  <c r="D225" i="36"/>
  <c r="D226" i="36"/>
  <c r="D227" i="36"/>
  <c r="D228" i="36"/>
  <c r="D229" i="36"/>
  <c r="D230" i="36"/>
  <c r="D231" i="36"/>
  <c r="D232" i="36"/>
  <c r="D233" i="36"/>
  <c r="D234" i="36"/>
  <c r="D235" i="36"/>
  <c r="D236" i="36"/>
  <c r="D237" i="36"/>
  <c r="D238" i="36"/>
  <c r="D239" i="36"/>
  <c r="D240" i="36"/>
  <c r="D241" i="36"/>
  <c r="D242" i="36"/>
  <c r="D243" i="36"/>
  <c r="D244" i="36"/>
  <c r="D245" i="36"/>
  <c r="D246" i="36"/>
  <c r="D247" i="36"/>
  <c r="D248" i="36"/>
  <c r="D249" i="36"/>
  <c r="D250" i="36"/>
  <c r="D251" i="36"/>
  <c r="D252" i="36"/>
  <c r="D253" i="36"/>
  <c r="D254" i="36"/>
  <c r="D255" i="36"/>
  <c r="D256" i="36"/>
  <c r="D257" i="36"/>
  <c r="D258" i="36"/>
  <c r="D259" i="36"/>
  <c r="D260" i="36"/>
  <c r="D261" i="36"/>
  <c r="D262" i="36"/>
  <c r="D263" i="36"/>
  <c r="D264" i="36"/>
  <c r="D265" i="36"/>
  <c r="D266" i="36"/>
  <c r="D267" i="36"/>
  <c r="D268" i="36"/>
  <c r="D269" i="36"/>
  <c r="D270" i="36"/>
  <c r="D271" i="36"/>
  <c r="D272" i="36"/>
  <c r="D273" i="36"/>
  <c r="D274" i="36"/>
  <c r="D275" i="36"/>
  <c r="D276" i="36"/>
  <c r="D277" i="36"/>
  <c r="D278" i="36"/>
  <c r="D279" i="36"/>
  <c r="D280" i="36"/>
  <c r="D281" i="36"/>
  <c r="D282" i="36"/>
  <c r="D283" i="36"/>
  <c r="D284" i="36"/>
  <c r="D285" i="36"/>
  <c r="D286" i="36"/>
  <c r="D287" i="36"/>
  <c r="D288" i="36"/>
  <c r="D289" i="36"/>
  <c r="D290" i="36"/>
  <c r="D291" i="36"/>
  <c r="D292" i="36"/>
  <c r="D293" i="36"/>
  <c r="D294" i="36"/>
  <c r="D295" i="36"/>
  <c r="D296" i="36"/>
  <c r="D297" i="36"/>
  <c r="D298" i="36"/>
  <c r="D299" i="36"/>
  <c r="D300" i="36"/>
  <c r="D301" i="36"/>
  <c r="D302" i="36"/>
  <c r="D303" i="36"/>
  <c r="D304" i="36"/>
  <c r="D305" i="36"/>
  <c r="D306" i="36"/>
  <c r="D307" i="36"/>
  <c r="D308" i="36"/>
  <c r="D309" i="36"/>
  <c r="D310" i="36"/>
  <c r="D311" i="36"/>
  <c r="D312" i="36"/>
  <c r="D313" i="36"/>
  <c r="D314" i="36"/>
  <c r="D315" i="36"/>
  <c r="D316" i="36"/>
  <c r="D317" i="36"/>
  <c r="D318" i="36"/>
  <c r="D319" i="36"/>
  <c r="D320" i="36"/>
  <c r="D321" i="36"/>
  <c r="D322" i="36"/>
  <c r="D323" i="36"/>
  <c r="D324" i="36"/>
  <c r="D325" i="36"/>
  <c r="D326" i="36"/>
  <c r="D327" i="36"/>
  <c r="D328" i="36"/>
  <c r="D329" i="36"/>
  <c r="D330" i="36"/>
  <c r="D331" i="36"/>
  <c r="D332" i="36"/>
  <c r="D333" i="36"/>
  <c r="D334" i="36"/>
  <c r="D335" i="36"/>
  <c r="D336" i="36"/>
  <c r="D337" i="36"/>
  <c r="D338" i="36"/>
  <c r="D339" i="36"/>
  <c r="D340" i="36"/>
  <c r="D341" i="36"/>
  <c r="D342" i="36"/>
  <c r="D343" i="36"/>
  <c r="D344" i="36"/>
  <c r="D345" i="36"/>
  <c r="D346" i="36"/>
  <c r="D347" i="36"/>
  <c r="D348" i="36"/>
  <c r="D349" i="36"/>
  <c r="D350" i="36"/>
  <c r="D351" i="36"/>
  <c r="D352" i="36"/>
  <c r="D353" i="36"/>
  <c r="D354" i="36"/>
  <c r="D355" i="36"/>
  <c r="D356" i="36"/>
  <c r="D357" i="36"/>
  <c r="D358" i="36"/>
  <c r="D359" i="36"/>
  <c r="D360" i="36"/>
  <c r="D361" i="36"/>
  <c r="D362" i="36"/>
  <c r="D363" i="36"/>
  <c r="D364" i="36"/>
  <c r="D365" i="36"/>
  <c r="D366" i="36"/>
  <c r="D367" i="36"/>
  <c r="D368" i="36"/>
  <c r="D369" i="36"/>
  <c r="D370" i="36"/>
  <c r="D371" i="36"/>
  <c r="D372" i="36"/>
  <c r="D373" i="36"/>
  <c r="D374" i="36"/>
  <c r="D375" i="36"/>
  <c r="D376" i="36"/>
  <c r="D377" i="36"/>
  <c r="D378" i="36"/>
  <c r="D379" i="36"/>
  <c r="D380" i="36"/>
  <c r="D381" i="36"/>
  <c r="D382" i="36"/>
  <c r="D383" i="36"/>
  <c r="D384" i="36"/>
  <c r="D385" i="36"/>
  <c r="D386" i="36"/>
  <c r="D387" i="36"/>
  <c r="D388" i="36"/>
  <c r="D389" i="36"/>
  <c r="D390" i="36"/>
  <c r="D391" i="36"/>
  <c r="D392" i="36"/>
  <c r="D393" i="36"/>
  <c r="D394" i="36"/>
  <c r="D395" i="36"/>
  <c r="D396" i="36"/>
  <c r="D397" i="36"/>
  <c r="D398" i="36"/>
  <c r="D399" i="36"/>
  <c r="D400" i="36"/>
  <c r="D401" i="36"/>
  <c r="D402" i="36"/>
  <c r="D403" i="36"/>
  <c r="D404" i="36"/>
  <c r="D405" i="36"/>
  <c r="D406" i="36"/>
  <c r="D407" i="36"/>
  <c r="D408" i="36"/>
  <c r="D409" i="36"/>
  <c r="D410" i="36"/>
  <c r="D411" i="36"/>
  <c r="D412" i="36"/>
  <c r="D413" i="36"/>
  <c r="D414" i="36"/>
  <c r="D415" i="36"/>
  <c r="D416" i="36"/>
  <c r="D417" i="36"/>
  <c r="D418" i="36"/>
  <c r="D419" i="36"/>
  <c r="D420" i="36"/>
  <c r="D421" i="36"/>
  <c r="D422" i="36"/>
  <c r="D423" i="36"/>
  <c r="D424" i="36"/>
  <c r="D425" i="36"/>
  <c r="D426" i="36"/>
  <c r="D427" i="36"/>
  <c r="D428" i="36"/>
  <c r="D429" i="36"/>
  <c r="D430" i="36"/>
  <c r="D431" i="36"/>
  <c r="D432" i="36"/>
  <c r="D433" i="36"/>
  <c r="D434" i="36"/>
  <c r="D435" i="36"/>
  <c r="D436" i="36"/>
  <c r="D437" i="36"/>
  <c r="D438" i="36"/>
  <c r="D439" i="36"/>
  <c r="D440" i="36"/>
  <c r="D441" i="36"/>
  <c r="D442" i="36"/>
  <c r="D443" i="36"/>
  <c r="D444" i="36"/>
  <c r="D445" i="36"/>
  <c r="D446" i="36"/>
  <c r="D447" i="36"/>
  <c r="D448" i="36"/>
  <c r="D449" i="36"/>
  <c r="D450" i="36"/>
  <c r="D451" i="36"/>
  <c r="D452" i="36"/>
  <c r="D453" i="36"/>
  <c r="D454" i="36"/>
  <c r="D455" i="36"/>
  <c r="D456" i="36"/>
  <c r="D457" i="36"/>
  <c r="D458" i="36"/>
  <c r="D459" i="36"/>
  <c r="D460" i="36"/>
  <c r="D461" i="36"/>
  <c r="D462" i="36"/>
  <c r="D463" i="36"/>
  <c r="D464" i="36"/>
  <c r="D465" i="36"/>
  <c r="D466" i="36"/>
  <c r="D467" i="36"/>
  <c r="D468" i="36"/>
  <c r="D469" i="36"/>
  <c r="D470" i="36"/>
  <c r="D471" i="36"/>
  <c r="D472" i="36"/>
  <c r="D473" i="36"/>
  <c r="D474" i="36"/>
  <c r="D475" i="36"/>
  <c r="D476" i="36"/>
  <c r="D477" i="36"/>
  <c r="D478" i="36"/>
  <c r="D479" i="36"/>
  <c r="D480" i="36"/>
  <c r="D481" i="36"/>
  <c r="D482" i="36"/>
  <c r="D483" i="36"/>
  <c r="D484" i="36"/>
  <c r="D485" i="36"/>
  <c r="D486" i="36"/>
  <c r="D487" i="36"/>
  <c r="D488" i="36"/>
  <c r="D489" i="36"/>
  <c r="D490" i="36"/>
  <c r="D491" i="36"/>
  <c r="D492" i="36"/>
  <c r="D493" i="36"/>
  <c r="D494" i="36"/>
  <c r="D495" i="36"/>
  <c r="D496" i="36"/>
  <c r="D497" i="36"/>
  <c r="D498" i="36"/>
  <c r="D499" i="36"/>
  <c r="D500" i="36"/>
  <c r="D501" i="36"/>
  <c r="D502" i="36"/>
  <c r="D503" i="36"/>
  <c r="D504" i="36"/>
  <c r="D505" i="36"/>
  <c r="D506" i="36"/>
  <c r="D507" i="36"/>
  <c r="D508" i="36"/>
  <c r="D509" i="36"/>
  <c r="D510" i="36"/>
  <c r="D511" i="36"/>
  <c r="D512" i="36"/>
  <c r="D513" i="36"/>
  <c r="D514" i="36"/>
  <c r="D515" i="36"/>
  <c r="D516" i="36"/>
  <c r="D517" i="36"/>
  <c r="D518" i="36"/>
  <c r="D519" i="36"/>
  <c r="D520" i="36"/>
  <c r="D521" i="36"/>
  <c r="D522" i="36"/>
  <c r="D523" i="36"/>
  <c r="D524" i="36"/>
  <c r="D525" i="36"/>
  <c r="D526" i="36"/>
  <c r="D527" i="36"/>
  <c r="D528" i="36"/>
  <c r="D529" i="36"/>
  <c r="D530" i="36"/>
  <c r="D531" i="36"/>
  <c r="D532" i="36"/>
  <c r="D533" i="36"/>
  <c r="D534" i="36"/>
  <c r="D535" i="36"/>
  <c r="D536" i="36"/>
  <c r="D537" i="36"/>
  <c r="D538" i="36"/>
  <c r="D539" i="36"/>
  <c r="D540" i="36"/>
  <c r="D541" i="36"/>
  <c r="D542" i="36"/>
  <c r="D543" i="36"/>
  <c r="D544" i="36"/>
  <c r="D545" i="36"/>
  <c r="D546" i="36"/>
  <c r="D547" i="36"/>
  <c r="D548" i="36"/>
  <c r="D549" i="36"/>
  <c r="D550" i="36"/>
  <c r="D551" i="36"/>
  <c r="D552" i="36"/>
  <c r="D553" i="36"/>
  <c r="D554" i="36"/>
  <c r="D555" i="36"/>
  <c r="D556" i="36"/>
  <c r="D557" i="36"/>
  <c r="D558" i="36"/>
  <c r="D559" i="36"/>
  <c r="D560" i="36"/>
  <c r="D561" i="36"/>
  <c r="D562" i="36"/>
  <c r="D563" i="36"/>
  <c r="D564" i="36"/>
  <c r="D565" i="36"/>
  <c r="D566" i="36"/>
  <c r="D567" i="36"/>
  <c r="D568" i="36"/>
  <c r="D569" i="36"/>
  <c r="D570" i="36"/>
  <c r="D571" i="36"/>
  <c r="D572" i="36"/>
  <c r="D573" i="36"/>
  <c r="D574" i="36"/>
  <c r="D575" i="36"/>
  <c r="D576" i="36"/>
  <c r="D577" i="36"/>
  <c r="D578" i="36"/>
  <c r="D579" i="36"/>
  <c r="D580" i="36"/>
  <c r="D581" i="36"/>
  <c r="D582" i="36"/>
  <c r="D583" i="36"/>
  <c r="D584" i="36"/>
  <c r="D585" i="36"/>
  <c r="D586" i="36"/>
  <c r="D587" i="36"/>
  <c r="D588" i="36"/>
  <c r="D589" i="36"/>
  <c r="D590" i="36"/>
  <c r="D591" i="36"/>
  <c r="D592" i="36"/>
  <c r="D593" i="36"/>
  <c r="D594" i="36"/>
  <c r="D595" i="36"/>
  <c r="D596" i="36"/>
  <c r="D597" i="36"/>
  <c r="D598" i="36"/>
  <c r="D599" i="36"/>
  <c r="D600" i="36"/>
  <c r="D601" i="36"/>
  <c r="D602" i="36"/>
  <c r="D603" i="36"/>
  <c r="D604" i="36"/>
  <c r="D605" i="36"/>
  <c r="D606" i="36"/>
  <c r="D607" i="36"/>
  <c r="D608" i="36"/>
  <c r="D609" i="36"/>
  <c r="D610" i="36"/>
  <c r="D611" i="36"/>
  <c r="D612" i="36"/>
  <c r="D613" i="36"/>
  <c r="D614" i="36"/>
  <c r="D615" i="36"/>
  <c r="D616" i="36"/>
  <c r="D617" i="36"/>
  <c r="D618" i="36"/>
  <c r="D619" i="36"/>
  <c r="D620" i="36"/>
  <c r="D621" i="36"/>
  <c r="D622" i="36"/>
  <c r="D623" i="36"/>
  <c r="D624" i="36"/>
  <c r="D625" i="36"/>
  <c r="D626" i="36"/>
  <c r="D627" i="36"/>
  <c r="D628" i="36"/>
  <c r="D629" i="36"/>
  <c r="D630" i="36"/>
  <c r="D631" i="36"/>
  <c r="D632" i="36"/>
  <c r="D633" i="36"/>
  <c r="D634" i="36"/>
  <c r="D635" i="36"/>
  <c r="D636" i="36"/>
  <c r="D637" i="36"/>
  <c r="D638" i="36"/>
  <c r="D639" i="36"/>
  <c r="D640" i="36"/>
  <c r="D641" i="36"/>
  <c r="D642" i="36"/>
  <c r="D643" i="36"/>
  <c r="D644" i="36"/>
  <c r="D645" i="36"/>
  <c r="D646" i="36"/>
  <c r="D647" i="36"/>
  <c r="D648" i="36"/>
  <c r="D649" i="36"/>
  <c r="D650" i="36"/>
  <c r="D651" i="36"/>
  <c r="D652" i="36"/>
  <c r="D653" i="36"/>
  <c r="D654" i="36"/>
  <c r="D655" i="36"/>
  <c r="D656" i="36"/>
  <c r="D657" i="36"/>
  <c r="D658" i="36"/>
  <c r="D659" i="36"/>
  <c r="D660" i="36"/>
  <c r="D661" i="36"/>
  <c r="D662" i="36"/>
  <c r="D663" i="36"/>
  <c r="D664" i="36"/>
  <c r="D665" i="36"/>
  <c r="D666" i="36"/>
  <c r="D667" i="36"/>
  <c r="D668" i="36"/>
  <c r="D669" i="36"/>
  <c r="D670" i="36"/>
  <c r="D671" i="36"/>
  <c r="D672" i="36"/>
  <c r="D673" i="36"/>
  <c r="D674" i="36"/>
  <c r="D675" i="36"/>
  <c r="D676" i="36"/>
  <c r="D677" i="36"/>
  <c r="D678" i="36"/>
  <c r="D679" i="36"/>
  <c r="D680" i="36"/>
  <c r="D681" i="36"/>
  <c r="D682" i="36"/>
  <c r="D683" i="36"/>
  <c r="D684" i="36"/>
  <c r="D685" i="36"/>
  <c r="D686" i="36"/>
  <c r="D687" i="36"/>
  <c r="D688" i="36"/>
  <c r="D689" i="36"/>
  <c r="D690" i="36"/>
  <c r="D691" i="36"/>
  <c r="D692" i="36"/>
  <c r="D693" i="36"/>
  <c r="D694" i="36"/>
  <c r="D695" i="36"/>
  <c r="D696" i="36"/>
  <c r="D697" i="36"/>
  <c r="D698" i="36"/>
  <c r="D699" i="36"/>
  <c r="D700" i="36"/>
  <c r="D701" i="36"/>
  <c r="D702" i="36"/>
  <c r="D703" i="36"/>
  <c r="D704" i="36"/>
  <c r="D705" i="36"/>
  <c r="D706" i="36"/>
  <c r="D707" i="36"/>
  <c r="D708" i="36"/>
  <c r="D709" i="36"/>
  <c r="D710" i="36"/>
  <c r="D711" i="36"/>
  <c r="D712" i="36"/>
  <c r="D713" i="36"/>
  <c r="D714" i="36"/>
  <c r="D715" i="36"/>
  <c r="D716" i="36"/>
  <c r="D717" i="36"/>
  <c r="D718" i="36"/>
  <c r="D719" i="36"/>
  <c r="D720" i="36"/>
  <c r="D721" i="36"/>
  <c r="D722" i="36"/>
  <c r="D723" i="36"/>
  <c r="D724" i="36"/>
  <c r="D725" i="36"/>
  <c r="D726" i="36"/>
  <c r="D727" i="36"/>
  <c r="D728" i="36"/>
  <c r="D729" i="36"/>
  <c r="D730" i="36"/>
  <c r="D731" i="36"/>
  <c r="D732" i="36"/>
  <c r="D733" i="36"/>
  <c r="D734" i="36"/>
  <c r="D735" i="36"/>
  <c r="D736" i="36"/>
  <c r="D737" i="36"/>
  <c r="D738" i="36"/>
  <c r="D739" i="36"/>
  <c r="D740" i="36"/>
  <c r="D741" i="36"/>
  <c r="D742" i="36"/>
  <c r="D743" i="36"/>
  <c r="D744" i="36"/>
  <c r="D745" i="36"/>
  <c r="D746" i="36"/>
  <c r="D747" i="36"/>
  <c r="D748" i="36"/>
  <c r="D749" i="36"/>
  <c r="D750" i="36"/>
  <c r="D751" i="36"/>
  <c r="D752" i="36"/>
  <c r="D753" i="36"/>
  <c r="D754" i="36"/>
  <c r="D755" i="36"/>
  <c r="D756" i="36"/>
  <c r="D757" i="36"/>
  <c r="D758" i="36"/>
  <c r="D759" i="36"/>
  <c r="D760" i="36"/>
  <c r="D761" i="36"/>
  <c r="D762" i="36"/>
  <c r="D763" i="36"/>
  <c r="D764" i="36"/>
  <c r="D765" i="36"/>
  <c r="D766" i="36"/>
  <c r="D767" i="36"/>
  <c r="D768" i="36"/>
  <c r="D769" i="36"/>
  <c r="D770" i="36"/>
  <c r="D771" i="36"/>
  <c r="D772" i="36"/>
  <c r="D773" i="36"/>
  <c r="D774" i="36"/>
  <c r="D775" i="36"/>
  <c r="D776" i="36"/>
  <c r="D777" i="36"/>
  <c r="D778" i="36"/>
  <c r="D779" i="36"/>
  <c r="D780" i="36"/>
  <c r="D781" i="36"/>
  <c r="D782" i="36"/>
  <c r="D783" i="36"/>
  <c r="D784" i="36"/>
  <c r="D785" i="36"/>
  <c r="D786" i="36"/>
  <c r="D787" i="36"/>
  <c r="D788" i="36"/>
  <c r="D789" i="36"/>
  <c r="D790" i="36"/>
  <c r="D791" i="36"/>
  <c r="D792" i="36"/>
  <c r="D793" i="36"/>
  <c r="D794" i="36"/>
  <c r="D795" i="36"/>
  <c r="D796" i="36"/>
  <c r="D797" i="36"/>
  <c r="D798" i="36"/>
  <c r="D799" i="36"/>
  <c r="D800" i="36"/>
  <c r="D801" i="36"/>
  <c r="D802" i="36"/>
  <c r="D803" i="36"/>
  <c r="D804" i="36"/>
  <c r="D805" i="36"/>
  <c r="D806" i="36"/>
  <c r="D807" i="36"/>
  <c r="D808" i="36"/>
  <c r="D809" i="36"/>
  <c r="D810" i="36"/>
  <c r="D811" i="36"/>
  <c r="D812" i="36"/>
  <c r="D813" i="36"/>
  <c r="D814" i="36"/>
  <c r="D815" i="36"/>
  <c r="D816" i="36"/>
  <c r="D817" i="36"/>
  <c r="D818" i="36"/>
  <c r="D819" i="36"/>
  <c r="D820" i="36"/>
  <c r="D821" i="36"/>
  <c r="D822" i="36"/>
  <c r="D823" i="36"/>
  <c r="D825" i="36"/>
  <c r="D826" i="36"/>
  <c r="D827" i="36"/>
  <c r="D828" i="36"/>
  <c r="D829" i="36"/>
  <c r="D830" i="36"/>
  <c r="D831" i="36"/>
  <c r="D832" i="36"/>
  <c r="D833" i="36"/>
  <c r="D834" i="36"/>
  <c r="D835" i="36"/>
  <c r="D836" i="36"/>
  <c r="D837" i="36"/>
  <c r="D838" i="36"/>
  <c r="D839" i="36"/>
  <c r="D840" i="36"/>
  <c r="D841" i="36"/>
  <c r="D2" i="36"/>
  <c r="C2" i="36"/>
  <c r="C3" i="36"/>
  <c r="C4" i="36"/>
  <c r="C5" i="36"/>
  <c r="C6" i="36"/>
  <c r="C7" i="36"/>
  <c r="C8" i="36"/>
  <c r="C9" i="36"/>
  <c r="C10" i="36"/>
  <c r="C11" i="36"/>
  <c r="C12" i="36"/>
  <c r="C13" i="36"/>
  <c r="C14" i="36"/>
  <c r="C15" i="36"/>
  <c r="C16" i="36"/>
  <c r="C17" i="36"/>
  <c r="C18" i="36"/>
  <c r="C19" i="36"/>
  <c r="C20" i="36"/>
  <c r="C21" i="36"/>
  <c r="C22" i="36"/>
  <c r="C23" i="36"/>
  <c r="C24" i="36"/>
  <c r="C25" i="36"/>
  <c r="C26" i="36"/>
  <c r="C27" i="36"/>
  <c r="C28" i="36"/>
  <c r="C29" i="36"/>
  <c r="C30" i="36"/>
  <c r="C31" i="36"/>
  <c r="C32" i="36"/>
  <c r="C33" i="36"/>
  <c r="C34" i="36"/>
  <c r="C35" i="36"/>
  <c r="C36" i="36"/>
  <c r="C37" i="36"/>
  <c r="C38" i="36"/>
  <c r="C39" i="36"/>
  <c r="C40" i="36"/>
  <c r="C41" i="36"/>
  <c r="C42" i="36"/>
  <c r="C43" i="36"/>
  <c r="C44" i="36"/>
  <c r="C45" i="36"/>
  <c r="C46" i="36"/>
  <c r="C47" i="36"/>
  <c r="C48" i="36"/>
  <c r="C49" i="36"/>
  <c r="C50" i="36"/>
  <c r="C51" i="36"/>
  <c r="C52" i="36"/>
  <c r="C53" i="36"/>
  <c r="C54" i="36"/>
  <c r="C55" i="36"/>
  <c r="C56" i="36"/>
  <c r="C57" i="36"/>
  <c r="C58" i="36"/>
  <c r="C59" i="36"/>
  <c r="C60" i="36"/>
  <c r="C61" i="36"/>
  <c r="C62" i="36"/>
  <c r="C63" i="36"/>
  <c r="C64" i="36"/>
  <c r="C65" i="36"/>
  <c r="C66" i="36"/>
  <c r="C67" i="36"/>
  <c r="C68" i="36"/>
  <c r="C69" i="36"/>
  <c r="C70" i="36"/>
  <c r="C71" i="36"/>
  <c r="C72" i="36"/>
  <c r="C73" i="36"/>
  <c r="C74" i="36"/>
  <c r="C75" i="36"/>
  <c r="C76" i="36"/>
  <c r="C77" i="36"/>
  <c r="C78" i="36"/>
  <c r="C79" i="36"/>
  <c r="C80" i="36"/>
  <c r="C81" i="36"/>
  <c r="C82" i="36"/>
  <c r="C83" i="36"/>
  <c r="C84" i="36"/>
  <c r="C85" i="36"/>
  <c r="C86" i="36"/>
  <c r="C87" i="36"/>
  <c r="C88" i="36"/>
  <c r="C89" i="36"/>
  <c r="C90" i="36"/>
  <c r="C91" i="36"/>
  <c r="C92" i="36"/>
  <c r="C93" i="36"/>
  <c r="C94" i="36"/>
  <c r="C95" i="36"/>
  <c r="C96" i="36"/>
  <c r="C97" i="36"/>
  <c r="C98" i="36"/>
  <c r="C99" i="36"/>
  <c r="C100" i="36"/>
  <c r="C101" i="36"/>
  <c r="C102" i="36"/>
  <c r="C103" i="36"/>
  <c r="C104" i="36"/>
  <c r="C105" i="36"/>
  <c r="C106" i="36"/>
  <c r="C107" i="36"/>
  <c r="C108" i="36"/>
  <c r="C109" i="36"/>
  <c r="C110" i="36"/>
  <c r="C111" i="36"/>
  <c r="C112" i="36"/>
  <c r="C113" i="36"/>
  <c r="C114" i="36"/>
  <c r="C115" i="36"/>
  <c r="C116" i="36"/>
  <c r="C117" i="36"/>
  <c r="C118" i="36"/>
  <c r="C119" i="36"/>
  <c r="C120" i="36"/>
  <c r="C121" i="36"/>
  <c r="C122" i="36"/>
  <c r="C123" i="36"/>
  <c r="C124" i="36"/>
  <c r="C125" i="36"/>
  <c r="C126" i="36"/>
  <c r="C127" i="36"/>
  <c r="C128" i="36"/>
  <c r="C129" i="36"/>
  <c r="C130" i="36"/>
  <c r="C131" i="36"/>
  <c r="C132" i="36"/>
  <c r="C133" i="36"/>
  <c r="C134" i="36"/>
  <c r="C135" i="36"/>
  <c r="C136" i="36"/>
  <c r="C137" i="36"/>
  <c r="C138" i="36"/>
  <c r="C139" i="36"/>
  <c r="C140" i="36"/>
  <c r="C141" i="36"/>
  <c r="C142" i="36"/>
  <c r="C143" i="36"/>
  <c r="C144" i="36"/>
  <c r="C145" i="36"/>
  <c r="C146" i="36"/>
  <c r="C147" i="36"/>
  <c r="C148" i="36"/>
  <c r="C149" i="36"/>
  <c r="C150" i="36"/>
  <c r="C151" i="36"/>
  <c r="C152" i="36"/>
  <c r="C153" i="36"/>
  <c r="C154" i="36"/>
  <c r="C155" i="36"/>
  <c r="C156" i="36"/>
  <c r="C157" i="36"/>
  <c r="C158" i="36"/>
  <c r="C159" i="36"/>
  <c r="C160" i="36"/>
  <c r="C161" i="36"/>
  <c r="C162" i="36"/>
  <c r="C163" i="36"/>
  <c r="C164" i="36"/>
  <c r="C165" i="36"/>
  <c r="C166" i="36"/>
  <c r="C167" i="36"/>
  <c r="C168" i="36"/>
  <c r="C169" i="36"/>
  <c r="C170" i="36"/>
  <c r="C171" i="36"/>
  <c r="C172" i="36"/>
  <c r="C173" i="36"/>
  <c r="C174" i="36"/>
  <c r="C175" i="36"/>
  <c r="C176" i="36"/>
  <c r="C177" i="36"/>
  <c r="C178" i="36"/>
  <c r="C179" i="36"/>
  <c r="C180" i="36"/>
  <c r="C181" i="36"/>
  <c r="C182" i="36"/>
  <c r="C183" i="36"/>
  <c r="C184" i="36"/>
  <c r="C185" i="36"/>
  <c r="C186" i="36"/>
  <c r="C187" i="36"/>
  <c r="C188" i="36"/>
  <c r="C189" i="36"/>
  <c r="C190" i="36"/>
  <c r="C191" i="36"/>
  <c r="C192" i="36"/>
  <c r="C193" i="36"/>
  <c r="C194" i="36"/>
  <c r="C195" i="36"/>
  <c r="C196" i="36"/>
  <c r="C197" i="36"/>
  <c r="C198" i="36"/>
  <c r="C199" i="36"/>
  <c r="C200" i="36"/>
  <c r="C201" i="36"/>
  <c r="C202" i="36"/>
  <c r="C203" i="36"/>
  <c r="C204" i="36"/>
  <c r="C205" i="36"/>
  <c r="C206" i="36"/>
  <c r="C207" i="36"/>
  <c r="C208" i="36"/>
  <c r="C209" i="36"/>
  <c r="C210" i="36"/>
  <c r="C211" i="36"/>
  <c r="C212" i="36"/>
  <c r="C213" i="36"/>
  <c r="C214" i="36"/>
  <c r="C215" i="36"/>
  <c r="C216" i="36"/>
  <c r="C217" i="36"/>
  <c r="C218" i="36"/>
  <c r="C219" i="36"/>
  <c r="C220" i="36"/>
  <c r="C221" i="36"/>
  <c r="C222" i="36"/>
  <c r="C223" i="36"/>
  <c r="C224" i="36"/>
  <c r="C225" i="36"/>
  <c r="C226" i="36"/>
  <c r="C227" i="36"/>
  <c r="C228" i="36"/>
  <c r="C229" i="36"/>
  <c r="C230" i="36"/>
  <c r="C231" i="36"/>
  <c r="C232" i="36"/>
  <c r="C233" i="36"/>
  <c r="C234" i="36"/>
  <c r="C235" i="36"/>
  <c r="C236" i="36"/>
  <c r="C237" i="36"/>
  <c r="C238" i="36"/>
  <c r="C239" i="36"/>
  <c r="C240" i="36"/>
  <c r="C241" i="36"/>
  <c r="C242" i="36"/>
  <c r="C243" i="36"/>
  <c r="C244" i="36"/>
  <c r="C245" i="36"/>
  <c r="C246" i="36"/>
  <c r="C247" i="36"/>
  <c r="C248" i="36"/>
  <c r="C249" i="36"/>
  <c r="C250" i="36"/>
  <c r="C251" i="36"/>
  <c r="C252" i="36"/>
  <c r="C253" i="36"/>
  <c r="C254" i="36"/>
  <c r="C255" i="36"/>
  <c r="C256" i="36"/>
  <c r="C257" i="36"/>
  <c r="C258" i="36"/>
  <c r="C259" i="36"/>
  <c r="C260" i="36"/>
  <c r="C261" i="36"/>
  <c r="C262" i="36"/>
  <c r="C263" i="36"/>
  <c r="C264" i="36"/>
  <c r="C265" i="36"/>
  <c r="C266" i="36"/>
  <c r="C267" i="36"/>
  <c r="C268" i="36"/>
  <c r="C269" i="36"/>
  <c r="C270" i="36"/>
  <c r="C271" i="36"/>
  <c r="C272" i="36"/>
  <c r="C273" i="36"/>
  <c r="C274" i="36"/>
  <c r="C275" i="36"/>
  <c r="C276" i="36"/>
  <c r="C277" i="36"/>
  <c r="C278" i="36"/>
  <c r="C279" i="36"/>
  <c r="C280" i="36"/>
  <c r="C281" i="36"/>
  <c r="C282" i="36"/>
  <c r="C283" i="36"/>
  <c r="C284" i="36"/>
  <c r="C285" i="36"/>
  <c r="C286" i="36"/>
  <c r="C287" i="36"/>
  <c r="C288" i="36"/>
  <c r="C289" i="36"/>
  <c r="C290" i="36"/>
  <c r="C291" i="36"/>
  <c r="C292" i="36"/>
  <c r="C293" i="36"/>
  <c r="C294" i="36"/>
  <c r="C295" i="36"/>
  <c r="C296" i="36"/>
  <c r="C297" i="36"/>
  <c r="C298" i="36"/>
  <c r="C299" i="36"/>
  <c r="C300" i="36"/>
  <c r="C301" i="36"/>
  <c r="C302" i="36"/>
  <c r="C303" i="36"/>
  <c r="C304" i="36"/>
  <c r="C305" i="36"/>
  <c r="C306" i="36"/>
  <c r="C307" i="36"/>
  <c r="C308" i="36"/>
  <c r="C309" i="36"/>
  <c r="C310" i="36"/>
  <c r="C311" i="36"/>
  <c r="C312" i="36"/>
  <c r="C313" i="36"/>
  <c r="C314" i="36"/>
  <c r="C315" i="36"/>
  <c r="C316" i="36"/>
  <c r="C317" i="36"/>
  <c r="C318" i="36"/>
  <c r="C319" i="36"/>
  <c r="C320" i="36"/>
  <c r="C321" i="36"/>
  <c r="C322" i="36"/>
  <c r="C323" i="36"/>
  <c r="C324" i="36"/>
  <c r="C325" i="36"/>
  <c r="C326" i="36"/>
  <c r="C327" i="36"/>
  <c r="C328" i="36"/>
  <c r="C329" i="36"/>
  <c r="C330" i="36"/>
  <c r="C331" i="36"/>
  <c r="C332" i="36"/>
  <c r="C333" i="36"/>
  <c r="C334" i="36"/>
  <c r="C335" i="36"/>
  <c r="C336" i="36"/>
  <c r="C337" i="36"/>
  <c r="C338" i="36"/>
  <c r="C339" i="36"/>
  <c r="C340" i="36"/>
  <c r="C341" i="36"/>
  <c r="C342" i="36"/>
  <c r="C343" i="36"/>
  <c r="C344" i="36"/>
  <c r="C345" i="36"/>
  <c r="C346" i="36"/>
  <c r="C347" i="36"/>
  <c r="C348" i="36"/>
  <c r="C349" i="36"/>
  <c r="C350" i="36"/>
  <c r="C351" i="36"/>
  <c r="C352" i="36"/>
  <c r="C353" i="36"/>
  <c r="C354" i="36"/>
  <c r="C355" i="36"/>
  <c r="C356" i="36"/>
  <c r="C357" i="36"/>
  <c r="C358" i="36"/>
  <c r="C359" i="36"/>
  <c r="C360" i="36"/>
  <c r="C361" i="36"/>
  <c r="C362" i="36"/>
  <c r="C363" i="36"/>
  <c r="C364" i="36"/>
  <c r="C365" i="36"/>
  <c r="C366" i="36"/>
  <c r="C367" i="36"/>
  <c r="C368" i="36"/>
  <c r="C369" i="36"/>
  <c r="C370" i="36"/>
  <c r="C371" i="36"/>
  <c r="C372" i="36"/>
  <c r="C373" i="36"/>
  <c r="C374" i="36"/>
  <c r="C375" i="36"/>
  <c r="C376" i="36"/>
  <c r="C377" i="36"/>
  <c r="C378" i="36"/>
  <c r="C379" i="36"/>
  <c r="C380" i="36"/>
  <c r="C381" i="36"/>
  <c r="C382" i="36"/>
  <c r="C383" i="36"/>
  <c r="C384" i="36"/>
  <c r="C385" i="36"/>
  <c r="C386" i="36"/>
  <c r="C387" i="36"/>
  <c r="C388" i="36"/>
  <c r="C389" i="36"/>
  <c r="C390" i="36"/>
  <c r="C391" i="36"/>
  <c r="C392" i="36"/>
  <c r="C393" i="36"/>
  <c r="C394" i="36"/>
  <c r="C395" i="36"/>
  <c r="C396" i="36"/>
  <c r="C397" i="36"/>
  <c r="C398" i="36"/>
  <c r="C399" i="36"/>
  <c r="C400" i="36"/>
  <c r="C401" i="36"/>
  <c r="C402" i="36"/>
  <c r="C403" i="36"/>
  <c r="C404" i="36"/>
  <c r="C405" i="36"/>
  <c r="C406" i="36"/>
  <c r="C407" i="36"/>
  <c r="C408" i="36"/>
  <c r="C409" i="36"/>
  <c r="C410" i="36"/>
  <c r="C411" i="36"/>
  <c r="C412" i="36"/>
  <c r="C413" i="36"/>
  <c r="C414" i="36"/>
  <c r="C415" i="36"/>
  <c r="C416" i="36"/>
  <c r="C417" i="36"/>
  <c r="C418" i="36"/>
  <c r="C419" i="36"/>
  <c r="C420" i="36"/>
  <c r="C421" i="36"/>
  <c r="C422" i="36"/>
  <c r="C423" i="36"/>
  <c r="C424" i="36"/>
  <c r="C425" i="36"/>
  <c r="C426" i="36"/>
  <c r="C427" i="36"/>
  <c r="C428" i="36"/>
  <c r="C429" i="36"/>
  <c r="C430" i="36"/>
  <c r="C431" i="36"/>
  <c r="C432" i="36"/>
  <c r="C433" i="36"/>
  <c r="C434" i="36"/>
  <c r="C435" i="36"/>
  <c r="C436" i="36"/>
  <c r="C437" i="36"/>
  <c r="C438" i="36"/>
  <c r="C439" i="36"/>
  <c r="C440" i="36"/>
  <c r="C441" i="36"/>
  <c r="C442" i="36"/>
  <c r="C443" i="36"/>
  <c r="C444" i="36"/>
  <c r="C445" i="36"/>
  <c r="C446" i="36"/>
  <c r="C447" i="36"/>
  <c r="C448" i="36"/>
  <c r="C449" i="36"/>
  <c r="C450" i="36"/>
  <c r="C451" i="36"/>
  <c r="C452" i="36"/>
  <c r="C453" i="36"/>
  <c r="C454" i="36"/>
  <c r="C455" i="36"/>
  <c r="C456" i="36"/>
  <c r="C457" i="36"/>
  <c r="C458" i="36"/>
  <c r="C459" i="36"/>
  <c r="C460" i="36"/>
  <c r="C461" i="36"/>
  <c r="C462" i="36"/>
  <c r="C463" i="36"/>
  <c r="C464" i="36"/>
  <c r="C465" i="36"/>
  <c r="C466" i="36"/>
  <c r="C467" i="36"/>
  <c r="C468" i="36"/>
  <c r="C469" i="36"/>
  <c r="C470" i="36"/>
  <c r="C471" i="36"/>
  <c r="C472" i="36"/>
  <c r="C473" i="36"/>
  <c r="C474" i="36"/>
  <c r="C475" i="36"/>
  <c r="C476" i="36"/>
  <c r="C477" i="36"/>
  <c r="C478" i="36"/>
  <c r="C479" i="36"/>
  <c r="C480" i="36"/>
  <c r="C481" i="36"/>
  <c r="C482" i="36"/>
  <c r="C483" i="36"/>
  <c r="C484" i="36"/>
  <c r="C485" i="36"/>
  <c r="C486" i="36"/>
  <c r="C487" i="36"/>
  <c r="C488" i="36"/>
  <c r="C489" i="36"/>
  <c r="C490" i="36"/>
  <c r="C491" i="36"/>
  <c r="C492" i="36"/>
  <c r="C493" i="36"/>
  <c r="C494" i="36"/>
  <c r="C495" i="36"/>
  <c r="C496" i="36"/>
  <c r="C497" i="36"/>
  <c r="C498" i="36"/>
  <c r="C499" i="36"/>
  <c r="C500" i="36"/>
  <c r="C501" i="36"/>
  <c r="C502" i="36"/>
  <c r="C503" i="36"/>
  <c r="C504" i="36"/>
  <c r="C505" i="36"/>
  <c r="C506" i="36"/>
  <c r="C507" i="36"/>
  <c r="C508" i="36"/>
  <c r="C509" i="36"/>
  <c r="C510" i="36"/>
  <c r="C511" i="36"/>
  <c r="C512" i="36"/>
  <c r="C513" i="36"/>
  <c r="C514" i="36"/>
  <c r="C515" i="36"/>
  <c r="C516" i="36"/>
  <c r="C517" i="36"/>
  <c r="C518" i="36"/>
  <c r="C519" i="36"/>
  <c r="C520" i="36"/>
  <c r="C521" i="36"/>
  <c r="C522" i="36"/>
  <c r="C523" i="36"/>
  <c r="C524" i="36"/>
  <c r="C525" i="36"/>
  <c r="C526" i="36"/>
  <c r="C527" i="36"/>
  <c r="C528" i="36"/>
  <c r="C529" i="36"/>
  <c r="C530" i="36"/>
  <c r="C531" i="36"/>
  <c r="C532" i="36"/>
  <c r="C533" i="36"/>
  <c r="C534" i="36"/>
  <c r="C535" i="36"/>
  <c r="C536" i="36"/>
  <c r="C537" i="36"/>
  <c r="C538" i="36"/>
  <c r="C539" i="36"/>
  <c r="C540" i="36"/>
  <c r="C541" i="36"/>
  <c r="C542" i="36"/>
  <c r="C543" i="36"/>
  <c r="C544" i="36"/>
  <c r="C545" i="36"/>
  <c r="C546" i="36"/>
  <c r="C547" i="36"/>
  <c r="C548" i="36"/>
  <c r="C549" i="36"/>
  <c r="C550" i="36"/>
  <c r="C551" i="36"/>
  <c r="C552" i="36"/>
  <c r="C553" i="36"/>
  <c r="C554" i="36"/>
  <c r="C555" i="36"/>
  <c r="C556" i="36"/>
  <c r="C557" i="36"/>
  <c r="C558" i="36"/>
  <c r="C559" i="36"/>
  <c r="C560" i="36"/>
  <c r="C561" i="36"/>
  <c r="C562" i="36"/>
  <c r="C563" i="36"/>
  <c r="C564" i="36"/>
  <c r="C565" i="36"/>
  <c r="C566" i="36"/>
  <c r="C567" i="36"/>
  <c r="C568" i="36"/>
  <c r="C569" i="36"/>
  <c r="C570" i="36"/>
  <c r="C571" i="36"/>
  <c r="C572" i="36"/>
  <c r="C573" i="36"/>
  <c r="C574" i="36"/>
  <c r="C575" i="36"/>
  <c r="C576" i="36"/>
  <c r="C577" i="36"/>
  <c r="C578" i="36"/>
  <c r="C579" i="36"/>
  <c r="C580" i="36"/>
  <c r="C581" i="36"/>
  <c r="C582" i="36"/>
  <c r="C583" i="36"/>
  <c r="C584" i="36"/>
  <c r="C585" i="36"/>
  <c r="C586" i="36"/>
  <c r="C587" i="36"/>
  <c r="C588" i="36"/>
  <c r="C589" i="36"/>
  <c r="C590" i="36"/>
  <c r="C591" i="36"/>
  <c r="C592" i="36"/>
  <c r="C593" i="36"/>
  <c r="C594" i="36"/>
  <c r="C595" i="36"/>
  <c r="C596" i="36"/>
  <c r="C597" i="36"/>
  <c r="C598" i="36"/>
  <c r="C599" i="36"/>
  <c r="C600" i="36"/>
  <c r="C601" i="36"/>
  <c r="C602" i="36"/>
  <c r="C603" i="36"/>
  <c r="C604" i="36"/>
  <c r="C605" i="36"/>
  <c r="C606" i="36"/>
  <c r="C607" i="36"/>
  <c r="C608" i="36"/>
  <c r="C609" i="36"/>
  <c r="C610" i="36"/>
  <c r="C611" i="36"/>
  <c r="C612" i="36"/>
  <c r="C613" i="36"/>
  <c r="C614" i="36"/>
  <c r="C615" i="36"/>
  <c r="C616" i="36"/>
  <c r="C617" i="36"/>
  <c r="C618" i="36"/>
  <c r="C619" i="36"/>
  <c r="C620" i="36"/>
  <c r="C621" i="36"/>
  <c r="C622" i="36"/>
  <c r="C623" i="36"/>
  <c r="C624" i="36"/>
  <c r="C625" i="36"/>
  <c r="C626" i="36"/>
  <c r="C627" i="36"/>
  <c r="C628" i="36"/>
  <c r="C629" i="36"/>
  <c r="C630" i="36"/>
  <c r="C631" i="36"/>
  <c r="C632" i="36"/>
  <c r="C633" i="36"/>
  <c r="C634" i="36"/>
  <c r="C635" i="36"/>
  <c r="C636" i="36"/>
  <c r="C637" i="36"/>
  <c r="C638" i="36"/>
  <c r="C639" i="36"/>
  <c r="C640" i="36"/>
  <c r="C641" i="36"/>
  <c r="C642" i="36"/>
  <c r="C643" i="36"/>
  <c r="C644" i="36"/>
  <c r="C645" i="36"/>
  <c r="C646" i="36"/>
  <c r="C647" i="36"/>
  <c r="C648" i="36"/>
  <c r="C649" i="36"/>
  <c r="C650" i="36"/>
  <c r="C651" i="36"/>
  <c r="C652" i="36"/>
  <c r="C653" i="36"/>
  <c r="C654" i="36"/>
  <c r="C655" i="36"/>
  <c r="C656" i="36"/>
  <c r="C657" i="36"/>
  <c r="C658" i="36"/>
  <c r="C659" i="36"/>
  <c r="C660" i="36"/>
  <c r="C661" i="36"/>
  <c r="C662" i="36"/>
  <c r="C663" i="36"/>
  <c r="C664" i="36"/>
  <c r="C665" i="36"/>
  <c r="C666" i="36"/>
  <c r="C667" i="36"/>
  <c r="C668" i="36"/>
  <c r="C669" i="36"/>
  <c r="C670" i="36"/>
  <c r="C671" i="36"/>
  <c r="C672" i="36"/>
  <c r="C673" i="36"/>
  <c r="C674" i="36"/>
  <c r="C675" i="36"/>
  <c r="C676" i="36"/>
  <c r="C677" i="36"/>
  <c r="C678" i="36"/>
  <c r="C679" i="36"/>
  <c r="C680" i="36"/>
  <c r="C681" i="36"/>
  <c r="C682" i="36"/>
  <c r="C683" i="36"/>
  <c r="C684" i="36"/>
  <c r="C685" i="36"/>
  <c r="C686" i="36"/>
  <c r="C687" i="36"/>
  <c r="C688" i="36"/>
  <c r="C689" i="36"/>
  <c r="C690" i="36"/>
  <c r="C691" i="36"/>
  <c r="C692" i="36"/>
  <c r="C693" i="36"/>
  <c r="C694" i="36"/>
  <c r="C695" i="36"/>
  <c r="C696" i="36"/>
  <c r="C697" i="36"/>
  <c r="C698" i="36"/>
  <c r="C699" i="36"/>
  <c r="C700" i="36"/>
  <c r="C701" i="36"/>
  <c r="C702" i="36"/>
  <c r="C703" i="36"/>
  <c r="C704" i="36"/>
  <c r="C705" i="36"/>
  <c r="C706" i="36"/>
  <c r="C707" i="36"/>
  <c r="C708" i="36"/>
  <c r="C709" i="36"/>
  <c r="C710" i="36"/>
  <c r="C711" i="36"/>
  <c r="C712" i="36"/>
  <c r="C713" i="36"/>
  <c r="C714" i="36"/>
  <c r="C715" i="36"/>
  <c r="C716" i="36"/>
  <c r="C717" i="36"/>
  <c r="C718" i="36"/>
  <c r="C719" i="36"/>
  <c r="C720" i="36"/>
  <c r="C721" i="36"/>
  <c r="C722" i="36"/>
  <c r="C723" i="36"/>
  <c r="C724" i="36"/>
  <c r="C725" i="36"/>
  <c r="C726" i="36"/>
  <c r="C727" i="36"/>
  <c r="C728" i="36"/>
  <c r="C729" i="36"/>
  <c r="C730" i="36"/>
  <c r="C731" i="36"/>
  <c r="C732" i="36"/>
  <c r="C733" i="36"/>
  <c r="C734" i="36"/>
  <c r="C735" i="36"/>
  <c r="C736" i="36"/>
  <c r="C737" i="36"/>
  <c r="C738" i="36"/>
  <c r="C739" i="36"/>
  <c r="C740" i="36"/>
  <c r="C741" i="36"/>
  <c r="C742" i="36"/>
  <c r="C743" i="36"/>
  <c r="C744" i="36"/>
  <c r="C745" i="36"/>
  <c r="C746" i="36"/>
  <c r="C747" i="36"/>
  <c r="C748" i="36"/>
  <c r="C749" i="36"/>
  <c r="C750" i="36"/>
  <c r="C751" i="36"/>
  <c r="C752" i="36"/>
  <c r="C753" i="36"/>
  <c r="C754" i="36"/>
  <c r="C755" i="36"/>
  <c r="C756" i="36"/>
  <c r="C757" i="36"/>
  <c r="C758" i="36"/>
  <c r="C759" i="36"/>
  <c r="C760" i="36"/>
  <c r="C761" i="36"/>
  <c r="C762" i="36"/>
  <c r="C763" i="36"/>
  <c r="C764" i="36"/>
  <c r="C765" i="36"/>
  <c r="C766" i="36"/>
  <c r="C767" i="36"/>
  <c r="C768" i="36"/>
  <c r="C769" i="36"/>
  <c r="C770" i="36"/>
  <c r="C771" i="36"/>
  <c r="C772" i="36"/>
  <c r="C773" i="36"/>
  <c r="C774" i="36"/>
  <c r="C775" i="36"/>
  <c r="C776" i="36"/>
  <c r="C777" i="36"/>
  <c r="C778" i="36"/>
  <c r="C779" i="36"/>
  <c r="C780" i="36"/>
  <c r="C781" i="36"/>
  <c r="C782" i="36"/>
  <c r="C783" i="36"/>
  <c r="C784" i="36"/>
  <c r="C785" i="36"/>
  <c r="C786" i="36"/>
  <c r="C787" i="36"/>
  <c r="C788" i="36"/>
  <c r="C789" i="36"/>
  <c r="C790" i="36"/>
  <c r="C791" i="36"/>
  <c r="C792" i="36"/>
  <c r="C793" i="36"/>
  <c r="C794" i="36"/>
  <c r="C795" i="36"/>
  <c r="C796" i="36"/>
  <c r="C797" i="36"/>
  <c r="C798" i="36"/>
  <c r="C799" i="36"/>
  <c r="C800" i="36"/>
  <c r="C801" i="36"/>
  <c r="C802" i="36"/>
  <c r="C803" i="36"/>
  <c r="C804" i="36"/>
  <c r="C805" i="36"/>
  <c r="C806" i="36"/>
  <c r="C807" i="36"/>
  <c r="C808" i="36"/>
  <c r="C809" i="36"/>
  <c r="C810" i="36"/>
  <c r="C811" i="36"/>
  <c r="C812" i="36"/>
  <c r="C813" i="36"/>
  <c r="C814" i="36"/>
  <c r="C815" i="36"/>
  <c r="C816" i="36"/>
  <c r="C817" i="36"/>
  <c r="C818" i="36"/>
  <c r="C819" i="36"/>
  <c r="C820" i="36"/>
  <c r="C821" i="36"/>
  <c r="C822" i="36"/>
  <c r="C823" i="36"/>
  <c r="C824" i="36"/>
  <c r="C825" i="36"/>
  <c r="C826" i="36"/>
  <c r="C827" i="36"/>
  <c r="C828" i="36"/>
  <c r="C829" i="36"/>
  <c r="C830" i="36"/>
  <c r="C831" i="36"/>
  <c r="C832" i="36"/>
  <c r="C833" i="36"/>
  <c r="C834" i="36"/>
  <c r="C835" i="36"/>
  <c r="C836" i="36"/>
  <c r="C837" i="36"/>
  <c r="C838" i="36"/>
  <c r="C839" i="36"/>
  <c r="C840" i="36"/>
  <c r="C841"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2" i="36"/>
  <c r="E3" i="43" a="1"/>
  <c r="E3" i="43" s="1"/>
  <c r="E4" i="43" a="1"/>
  <c r="E4" i="43" s="1"/>
  <c r="E5" i="43" a="1"/>
  <c r="E5" i="43" s="1"/>
  <c r="E6" i="43" a="1"/>
  <c r="E6" i="43" s="1"/>
  <c r="E7" i="43" a="1"/>
  <c r="E7" i="43" s="1"/>
  <c r="D2" i="43" a="1"/>
  <c r="D2" i="43" s="1"/>
  <c r="N823" i="36"/>
  <c r="N824" i="36"/>
  <c r="N825" i="36"/>
  <c r="N826" i="36"/>
  <c r="N827" i="36"/>
  <c r="N828" i="36"/>
  <c r="N829" i="36"/>
  <c r="N830" i="36"/>
  <c r="N831" i="36"/>
  <c r="N832" i="36"/>
  <c r="N833" i="36"/>
  <c r="N834" i="36"/>
  <c r="N835" i="36"/>
  <c r="N836" i="36"/>
  <c r="N837" i="36"/>
  <c r="N838" i="36"/>
  <c r="N839" i="36"/>
  <c r="N840" i="36"/>
  <c r="N822" i="36" l="1"/>
  <c r="N821" i="36"/>
  <c r="N820" i="36"/>
  <c r="N819" i="36"/>
  <c r="N818" i="36"/>
  <c r="N817" i="36"/>
  <c r="N815" i="36"/>
  <c r="N816" i="36"/>
  <c r="N624" i="36"/>
  <c r="N810" i="36"/>
  <c r="N811" i="36"/>
  <c r="N812" i="36"/>
  <c r="N813" i="36"/>
  <c r="N814" i="36"/>
  <c r="N791" i="36"/>
  <c r="N792" i="36"/>
  <c r="N793" i="36"/>
  <c r="N794" i="36"/>
  <c r="N795" i="36"/>
  <c r="N796" i="36"/>
  <c r="N797" i="36"/>
  <c r="N798" i="36"/>
  <c r="N799" i="36"/>
  <c r="N800" i="36"/>
  <c r="N801" i="36"/>
  <c r="N802" i="36"/>
  <c r="N803" i="36"/>
  <c r="N804" i="36"/>
  <c r="N805" i="36"/>
  <c r="N806" i="36"/>
  <c r="N807" i="36"/>
  <c r="N808" i="36"/>
  <c r="N809" i="36"/>
  <c r="N790" i="36"/>
  <c r="N789" i="36"/>
  <c r="N788" i="36"/>
  <c r="N787" i="36"/>
  <c r="N779" i="36"/>
  <c r="N780" i="36"/>
  <c r="N781" i="36"/>
  <c r="N782" i="36"/>
  <c r="N783" i="36"/>
  <c r="N784" i="36"/>
  <c r="N785" i="36"/>
  <c r="N786" i="36"/>
  <c r="N778" i="36"/>
  <c r="N777" i="36"/>
  <c r="N776" i="36"/>
  <c r="N765" i="36"/>
  <c r="N766" i="36"/>
  <c r="N767" i="36"/>
  <c r="N768" i="36"/>
  <c r="N769" i="36"/>
  <c r="N770" i="36"/>
  <c r="N771" i="36"/>
  <c r="N772" i="36"/>
  <c r="N773" i="36"/>
  <c r="N774" i="36"/>
  <c r="N775" i="36"/>
  <c r="N764" i="36"/>
  <c r="N752" i="36" l="1"/>
  <c r="N763" i="36"/>
  <c r="N762" i="36"/>
  <c r="N761" i="36"/>
  <c r="N760" i="36"/>
  <c r="N749" i="36"/>
  <c r="N750" i="36"/>
  <c r="N751" i="36"/>
  <c r="N753" i="36"/>
  <c r="N754" i="36"/>
  <c r="N755" i="36"/>
  <c r="N756" i="36"/>
  <c r="N757" i="36"/>
  <c r="N758" i="36"/>
  <c r="N743" i="36"/>
  <c r="N744" i="36"/>
  <c r="N745" i="36"/>
  <c r="N746" i="36"/>
  <c r="N747" i="36"/>
  <c r="N738" i="36"/>
  <c r="N739" i="36"/>
  <c r="N740" i="36"/>
  <c r="N741" i="36"/>
  <c r="N759" i="36"/>
  <c r="N748" i="36"/>
  <c r="N742" i="36"/>
  <c r="N737" i="36"/>
  <c r="N736" i="36"/>
  <c r="N735" i="36"/>
  <c r="N734" i="36"/>
  <c r="N733" i="36"/>
  <c r="N732" i="36"/>
  <c r="N731" i="36"/>
  <c r="N730" i="36"/>
  <c r="N729" i="36"/>
  <c r="N728" i="36"/>
  <c r="N727" i="36"/>
  <c r="N726" i="36"/>
  <c r="N725" i="36"/>
  <c r="N724" i="36"/>
  <c r="N723" i="36"/>
  <c r="N722" i="36"/>
  <c r="N721" i="36"/>
  <c r="N720" i="36"/>
  <c r="N719" i="36"/>
  <c r="N718" i="36"/>
  <c r="N717" i="36"/>
  <c r="N716" i="36"/>
  <c r="N715" i="36" l="1"/>
  <c r="N714" i="36"/>
  <c r="N713" i="36"/>
  <c r="N712" i="36"/>
  <c r="N711" i="36"/>
  <c r="N710" i="36"/>
  <c r="N709" i="36"/>
  <c r="N708" i="36"/>
  <c r="N707" i="36"/>
  <c r="N706" i="36"/>
  <c r="N705" i="36"/>
  <c r="N703" i="36"/>
  <c r="N702" i="36"/>
  <c r="N701" i="36"/>
  <c r="N700" i="36"/>
  <c r="N699" i="36"/>
  <c r="N704" i="36"/>
  <c r="N698" i="36"/>
  <c r="N697" i="36"/>
  <c r="N696" i="36"/>
  <c r="N695" i="36"/>
  <c r="N694" i="36"/>
  <c r="N693" i="36"/>
  <c r="N692" i="36"/>
  <c r="N691" i="36"/>
  <c r="N690" i="36"/>
  <c r="N689" i="36"/>
  <c r="N688" i="36"/>
  <c r="N687" i="36"/>
  <c r="N686" i="36"/>
  <c r="N685" i="36"/>
  <c r="N684" i="36"/>
  <c r="N677" i="36"/>
  <c r="N678" i="36"/>
  <c r="N679" i="36"/>
  <c r="N680" i="36"/>
  <c r="N681" i="36"/>
  <c r="N682" i="36"/>
  <c r="N672" i="36"/>
  <c r="N673" i="36"/>
  <c r="N674" i="36"/>
  <c r="N675" i="36"/>
  <c r="N676" i="36"/>
  <c r="N667" i="36"/>
  <c r="N668" i="36"/>
  <c r="N669" i="36"/>
  <c r="N670" i="36"/>
  <c r="N671" i="36"/>
  <c r="N666" i="36"/>
  <c r="N659" i="36"/>
  <c r="N660" i="36"/>
  <c r="N661" i="36"/>
  <c r="N662" i="36"/>
  <c r="N663" i="36"/>
  <c r="N664" i="36"/>
  <c r="N665" i="36"/>
  <c r="N658" i="36"/>
  <c r="N657" i="36"/>
  <c r="N656" i="36"/>
  <c r="N655" i="36"/>
  <c r="N654" i="36"/>
  <c r="N653" i="36"/>
  <c r="N652" i="36"/>
  <c r="N648" i="36"/>
  <c r="N649" i="36"/>
  <c r="N650" i="36"/>
  <c r="N651" i="36"/>
  <c r="N647" i="36"/>
  <c r="N646" i="36"/>
  <c r="N642" i="36"/>
  <c r="N643" i="36"/>
  <c r="N644" i="36"/>
  <c r="N645" i="36"/>
  <c r="N638" i="36"/>
  <c r="N639" i="36"/>
  <c r="N640" i="36"/>
  <c r="N641" i="36"/>
  <c r="N635" i="36"/>
  <c r="N636" i="36"/>
  <c r="N637" i="36"/>
  <c r="N627" i="36" l="1"/>
  <c r="N628" i="36"/>
  <c r="N629" i="36"/>
  <c r="N630" i="36"/>
  <c r="N631" i="36"/>
  <c r="N632" i="36"/>
  <c r="N633" i="36"/>
  <c r="N634" i="36"/>
  <c r="N626" i="36"/>
  <c r="N625" i="36"/>
  <c r="N623" i="36"/>
  <c r="N622" i="36"/>
  <c r="N621" i="36"/>
  <c r="N620" i="36"/>
  <c r="N617" i="36"/>
  <c r="N618" i="36"/>
  <c r="N619" i="36"/>
  <c r="N611" i="36"/>
  <c r="N609" i="36"/>
  <c r="N610" i="36"/>
  <c r="N612" i="36"/>
  <c r="N614" i="36"/>
  <c r="N615" i="36"/>
  <c r="N616" i="36"/>
  <c r="N613" i="36"/>
  <c r="N608" i="36"/>
  <c r="N14" i="36"/>
  <c r="N15" i="36"/>
  <c r="N16" i="36"/>
  <c r="N17" i="36"/>
  <c r="N73" i="36"/>
  <c r="N74" i="36"/>
  <c r="N503" i="36"/>
  <c r="N361" i="36"/>
  <c r="N541" i="36"/>
  <c r="N504" i="36"/>
  <c r="N419" i="36"/>
  <c r="N505" i="36"/>
  <c r="N362" i="36"/>
  <c r="N506" i="36"/>
  <c r="N507" i="36"/>
  <c r="N508" i="36"/>
  <c r="N509" i="36"/>
  <c r="N420" i="36"/>
  <c r="N421" i="36"/>
  <c r="N422" i="36"/>
  <c r="N510" i="36"/>
  <c r="N190" i="36"/>
  <c r="N423" i="36"/>
  <c r="N100" i="36"/>
  <c r="N108" i="36"/>
  <c r="N101" i="36"/>
  <c r="N424" i="36"/>
  <c r="N511" i="36"/>
  <c r="N363" i="36"/>
  <c r="N102" i="36"/>
  <c r="N103" i="36"/>
  <c r="N512" i="36"/>
  <c r="N184" i="36"/>
  <c r="N198" i="36"/>
  <c r="N104" i="36"/>
  <c r="N109" i="36"/>
  <c r="N364" i="36"/>
  <c r="N426" i="36"/>
  <c r="N425" i="36"/>
  <c r="N202" i="36"/>
  <c r="N110" i="36"/>
  <c r="N366" i="36"/>
  <c r="N34" i="36"/>
  <c r="N201" i="36"/>
  <c r="N427" i="36"/>
  <c r="N513" i="36"/>
  <c r="N116" i="36"/>
  <c r="N203" i="36"/>
  <c r="N519" i="36"/>
  <c r="N468" i="36"/>
  <c r="N481" i="36"/>
  <c r="N35" i="36"/>
  <c r="N542" i="36"/>
  <c r="N111" i="36"/>
  <c r="N545" i="36"/>
  <c r="N207" i="36"/>
  <c r="N367" i="36"/>
  <c r="N369" i="36"/>
  <c r="N371" i="36"/>
  <c r="N105" i="36"/>
  <c r="N204" i="36"/>
  <c r="N186" i="36"/>
  <c r="N514" i="36"/>
  <c r="N191" i="36"/>
  <c r="N374" i="36"/>
  <c r="N36" i="36"/>
  <c r="N205" i="36"/>
  <c r="N515" i="36"/>
  <c r="N593" i="36"/>
  <c r="N213" i="36"/>
  <c r="N219" i="36"/>
  <c r="N192" i="36"/>
  <c r="N516" i="36"/>
  <c r="N543" i="36"/>
  <c r="N546" i="36"/>
  <c r="N208" i="36"/>
  <c r="N372" i="36"/>
  <c r="N193" i="36"/>
  <c r="N375" i="36"/>
  <c r="N106" i="36"/>
  <c r="N206" i="36"/>
  <c r="N187" i="36"/>
  <c r="N376" i="36"/>
  <c r="N37" i="36"/>
  <c r="N63" i="36"/>
  <c r="N607" i="36"/>
  <c r="N112" i="36"/>
  <c r="N117" i="36"/>
  <c r="N194" i="36"/>
  <c r="N188" i="36"/>
  <c r="N38" i="36"/>
  <c r="N113" i="36"/>
  <c r="N118" i="36"/>
  <c r="N195" i="36"/>
  <c r="N209" i="36"/>
  <c r="N199" i="36"/>
  <c r="N210" i="36"/>
  <c r="N520" i="36"/>
  <c r="N529" i="36"/>
  <c r="N378" i="36"/>
  <c r="N196" i="36"/>
  <c r="N521" i="36"/>
  <c r="N517" i="36"/>
  <c r="N530" i="36"/>
  <c r="N211" i="36"/>
  <c r="N200" i="36"/>
  <c r="N88" i="36"/>
  <c r="N483" i="36"/>
  <c r="N469" i="36"/>
  <c r="N485" i="36"/>
  <c r="N548" i="36"/>
  <c r="N558" i="36"/>
  <c r="N470" i="36"/>
  <c r="N471" i="36"/>
  <c r="N472" i="36"/>
  <c r="N549" i="36"/>
  <c r="N559" i="36"/>
  <c r="N224" i="36"/>
  <c r="N486" i="36"/>
  <c r="N482" i="36"/>
  <c r="N379" i="36"/>
  <c r="N473" i="36"/>
  <c r="N380" i="36"/>
  <c r="N381" i="36"/>
  <c r="N487" i="36"/>
  <c r="N522" i="36"/>
  <c r="N214" i="36"/>
  <c r="N220" i="36"/>
  <c r="N226" i="36"/>
  <c r="N189" i="36"/>
  <c r="N429" i="36"/>
  <c r="N215" i="36"/>
  <c r="N216" i="36"/>
  <c r="N550" i="36"/>
  <c r="N560" i="36"/>
  <c r="N244" i="36"/>
  <c r="N39" i="36"/>
  <c r="N120" i="36"/>
  <c r="N125" i="36"/>
  <c r="N440" i="36"/>
  <c r="N235" i="36"/>
  <c r="N385" i="36"/>
  <c r="N252" i="36"/>
  <c r="N384" i="36"/>
  <c r="N474" i="36"/>
  <c r="N488" i="36"/>
  <c r="N18" i="36"/>
  <c r="N561" i="36"/>
  <c r="N121" i="36"/>
  <c r="N40" i="36"/>
  <c r="N225" i="36"/>
  <c r="N551" i="36"/>
  <c r="N132" i="36"/>
  <c r="N126" i="36"/>
  <c r="N236" i="36"/>
  <c r="N227" i="36"/>
  <c r="N245" i="36"/>
  <c r="N552" i="36"/>
  <c r="N562" i="36"/>
  <c r="N133" i="36"/>
  <c r="N41" i="36"/>
  <c r="N127" i="36"/>
  <c r="N253" i="36"/>
  <c r="N475" i="36"/>
  <c r="N489" i="36"/>
  <c r="N386" i="36"/>
  <c r="N387" i="36"/>
  <c r="N237" i="36"/>
  <c r="N441" i="36"/>
  <c r="N42" i="36"/>
  <c r="N128" i="36"/>
  <c r="N238" i="36"/>
  <c r="N476" i="36"/>
  <c r="N490" i="36"/>
  <c r="N388" i="36"/>
  <c r="N555" i="36"/>
  <c r="N565" i="36"/>
  <c r="N574" i="36"/>
  <c r="N587" i="36"/>
  <c r="N600" i="36"/>
  <c r="N539" i="36"/>
  <c r="N239" i="36"/>
  <c r="N258" i="36"/>
  <c r="N266" i="36"/>
  <c r="N47" i="36"/>
  <c r="N64" i="36"/>
  <c r="N254" i="36"/>
  <c r="N221" i="36"/>
  <c r="N273" i="36"/>
  <c r="N43" i="36"/>
  <c r="N48" i="36"/>
  <c r="N114" i="36"/>
  <c r="N553" i="36"/>
  <c r="N563" i="36"/>
  <c r="N122" i="36"/>
  <c r="N134" i="36"/>
  <c r="N228" i="36"/>
  <c r="N246" i="36"/>
  <c r="N259" i="36"/>
  <c r="N267" i="36"/>
  <c r="N129" i="36"/>
  <c r="N240" i="36"/>
  <c r="N274" i="36"/>
  <c r="N442" i="36"/>
  <c r="N477" i="36"/>
  <c r="N491" i="36"/>
  <c r="N389" i="36"/>
  <c r="N495" i="36"/>
  <c r="N229" i="36"/>
  <c r="N247" i="36"/>
  <c r="N260" i="36"/>
  <c r="N268" i="36"/>
  <c r="N392" i="36"/>
  <c r="N430" i="36"/>
  <c r="N230" i="36"/>
  <c r="N261" i="36"/>
  <c r="N44" i="36"/>
  <c r="N130" i="36"/>
  <c r="N135" i="36"/>
  <c r="N19" i="36"/>
  <c r="N138" i="36"/>
  <c r="N393" i="36"/>
  <c r="N255" i="36"/>
  <c r="N396" i="36"/>
  <c r="N397" i="36"/>
  <c r="N524" i="36"/>
  <c r="N401" i="36"/>
  <c r="N398" i="36"/>
  <c r="N65" i="36"/>
  <c r="N537" i="36"/>
  <c r="N231" i="36"/>
  <c r="N478" i="36"/>
  <c r="N492" i="36"/>
  <c r="N51" i="36"/>
  <c r="N294" i="36"/>
  <c r="N289" i="36"/>
  <c r="N451" i="36"/>
  <c r="N567" i="36"/>
  <c r="N580" i="36"/>
  <c r="N444" i="36"/>
  <c r="N4" i="36"/>
  <c r="N66" i="36"/>
  <c r="N433" i="36"/>
  <c r="N497" i="36"/>
  <c r="N402" i="36"/>
  <c r="N281" i="36"/>
  <c r="N52" i="36"/>
  <c r="N67" i="36"/>
  <c r="N243" i="36"/>
  <c r="N91" i="36"/>
  <c r="N405" i="36"/>
  <c r="N68" i="36"/>
  <c r="N295" i="36"/>
  <c r="N139" i="36"/>
  <c r="N146" i="36"/>
  <c r="N53" i="36"/>
  <c r="N275" i="36"/>
  <c r="N222" i="36"/>
  <c r="N554" i="36"/>
  <c r="N564" i="36"/>
  <c r="N568" i="36"/>
  <c r="N581" i="36"/>
  <c r="N594" i="36"/>
  <c r="N232" i="36"/>
  <c r="N248" i="36"/>
  <c r="N276" i="36"/>
  <c r="N262" i="36"/>
  <c r="N269" i="36"/>
  <c r="N434" i="36"/>
  <c r="N60" i="36"/>
  <c r="N249" i="36"/>
  <c r="N263" i="36"/>
  <c r="N270" i="36"/>
  <c r="N302" i="36"/>
  <c r="N305" i="36"/>
  <c r="N54" i="36"/>
  <c r="N299" i="36"/>
  <c r="N308" i="36"/>
  <c r="N406" i="36"/>
  <c r="N569" i="36"/>
  <c r="N582" i="36"/>
  <c r="N595" i="36"/>
  <c r="N290" i="36"/>
  <c r="N282" i="36"/>
  <c r="N75" i="36"/>
  <c r="N431" i="36"/>
  <c r="N435" i="36"/>
  <c r="N5" i="36"/>
  <c r="N6" i="36"/>
  <c r="N140" i="36"/>
  <c r="N525" i="36"/>
  <c r="N296" i="36"/>
  <c r="N123" i="36"/>
  <c r="N136" i="36"/>
  <c r="N147" i="36"/>
  <c r="N217" i="36"/>
  <c r="N256" i="36"/>
  <c r="N297" i="36"/>
  <c r="N233" i="36"/>
  <c r="N250" i="36"/>
  <c r="N277" i="36"/>
  <c r="N264" i="36"/>
  <c r="N271" i="36"/>
  <c r="N303" i="36"/>
  <c r="N306" i="36"/>
  <c r="N291" i="36"/>
  <c r="N382" i="36"/>
  <c r="N390" i="36"/>
  <c r="N394" i="36"/>
  <c r="N399" i="36"/>
  <c r="N403" i="36"/>
  <c r="N407" i="36"/>
  <c r="N20" i="36"/>
  <c r="N45" i="36"/>
  <c r="N49" i="36"/>
  <c r="N55" i="36"/>
  <c r="N61" i="36"/>
  <c r="N69" i="36"/>
  <c r="N241" i="36"/>
  <c r="N300" i="36"/>
  <c r="N283" i="36"/>
  <c r="N309" i="36"/>
  <c r="N533" i="36"/>
  <c r="N310" i="36"/>
  <c r="N538" i="36"/>
  <c r="N572" i="36"/>
  <c r="N585" i="36"/>
  <c r="N598" i="36"/>
  <c r="N93" i="36"/>
  <c r="N526" i="36"/>
  <c r="N534" i="36"/>
  <c r="N141" i="36"/>
  <c r="N498" i="36"/>
  <c r="N570" i="36"/>
  <c r="N583" i="36"/>
  <c r="N596" i="36"/>
  <c r="N311" i="36"/>
  <c r="N409" i="36"/>
  <c r="N21" i="36"/>
  <c r="N142" i="36"/>
  <c r="N571" i="36"/>
  <c r="N584" i="36"/>
  <c r="N597" i="36"/>
  <c r="N445" i="36"/>
  <c r="N92" i="36"/>
  <c r="N319" i="36"/>
  <c r="N325" i="36"/>
  <c r="N292" i="36"/>
  <c r="N446" i="36"/>
  <c r="N56" i="36"/>
  <c r="N143" i="36"/>
  <c r="N7" i="36"/>
  <c r="N22" i="36"/>
  <c r="N312" i="36"/>
  <c r="N148" i="36"/>
  <c r="N573" i="36"/>
  <c r="N586" i="36"/>
  <c r="N599" i="36"/>
  <c r="N284" i="36"/>
  <c r="N76" i="36"/>
  <c r="N70" i="36"/>
  <c r="N144" i="36"/>
  <c r="N313" i="36"/>
  <c r="N8" i="36"/>
  <c r="N410" i="36"/>
  <c r="N94" i="36"/>
  <c r="N223" i="36"/>
  <c r="N479" i="36"/>
  <c r="N493" i="36"/>
  <c r="N499" i="36"/>
  <c r="N278" i="36"/>
  <c r="N527" i="36"/>
  <c r="N185" i="36"/>
  <c r="N453" i="36"/>
  <c r="N23" i="36"/>
  <c r="N411" i="36"/>
  <c r="N314" i="36"/>
  <c r="N234" i="36"/>
  <c r="N251" i="36"/>
  <c r="N279" i="36"/>
  <c r="N265" i="36"/>
  <c r="N272" i="36"/>
  <c r="N304" i="36"/>
  <c r="N307" i="36"/>
  <c r="N412" i="36"/>
  <c r="N151" i="36"/>
  <c r="N320" i="36"/>
  <c r="N24" i="36"/>
  <c r="N331" i="36"/>
  <c r="N341" i="36"/>
  <c r="N344" i="36"/>
  <c r="N575" i="36"/>
  <c r="N588" i="36"/>
  <c r="N601" i="36"/>
  <c r="N455" i="36"/>
  <c r="N461" i="36"/>
  <c r="N25" i="36"/>
  <c r="N535" i="36"/>
  <c r="N436" i="36"/>
  <c r="N447" i="36"/>
  <c r="N500" i="36"/>
  <c r="N456" i="36"/>
  <c r="N315" i="36"/>
  <c r="N413" i="36"/>
  <c r="N152" i="36"/>
  <c r="N71" i="36"/>
  <c r="N95" i="36"/>
  <c r="N280" i="36"/>
  <c r="N321" i="36"/>
  <c r="N285" i="36"/>
  <c r="N326" i="36"/>
  <c r="N153" i="36"/>
  <c r="N57" i="36"/>
  <c r="N28" i="36"/>
  <c r="N9" i="36"/>
  <c r="N96" i="36"/>
  <c r="N322" i="36"/>
  <c r="N536" i="36"/>
  <c r="N323" i="36"/>
  <c r="N327" i="36"/>
  <c r="N457" i="36"/>
  <c r="N97" i="36"/>
  <c r="N286" i="36"/>
  <c r="N29" i="36"/>
  <c r="N77" i="36"/>
  <c r="N163" i="36"/>
  <c r="N154" i="36"/>
  <c r="N414" i="36"/>
  <c r="N576" i="36"/>
  <c r="N589" i="36"/>
  <c r="N602" i="36"/>
  <c r="N448" i="36"/>
  <c r="N316" i="36"/>
  <c r="N328" i="36"/>
  <c r="N10" i="36"/>
  <c r="N11" i="36"/>
  <c r="N30" i="36"/>
  <c r="N78" i="36"/>
  <c r="N458" i="36"/>
  <c r="N79" i="36"/>
  <c r="N462" i="36"/>
  <c r="N31" i="36"/>
  <c r="N528" i="36"/>
  <c r="N149" i="36"/>
  <c r="N324" i="36"/>
  <c r="N329" i="36"/>
  <c r="N26" i="36"/>
  <c r="N32" i="36"/>
  <c r="N58" i="36"/>
  <c r="N164" i="36"/>
  <c r="N98" i="36"/>
  <c r="N155" i="36"/>
  <c r="N12" i="36"/>
  <c r="N81" i="36"/>
  <c r="N83" i="36"/>
  <c r="N156" i="36"/>
  <c r="N72" i="36"/>
  <c r="N287" i="36"/>
  <c r="N437" i="36"/>
  <c r="N449" i="36"/>
  <c r="N501" i="36"/>
  <c r="N459" i="36"/>
  <c r="N80" i="36"/>
  <c r="N556" i="36"/>
  <c r="N566" i="36"/>
  <c r="N577" i="36"/>
  <c r="N590" i="36"/>
  <c r="N603" i="36"/>
  <c r="N99" i="36"/>
  <c r="N82" i="36"/>
  <c r="N317" i="36"/>
  <c r="N415" i="36"/>
  <c r="N332" i="36"/>
  <c r="N342" i="36"/>
  <c r="N345" i="36"/>
  <c r="N166" i="36"/>
  <c r="N107" i="36"/>
  <c r="N124" i="36"/>
  <c r="N137" i="36"/>
  <c r="N150" i="36"/>
  <c r="N145" i="36"/>
  <c r="N365" i="36"/>
  <c r="N212" i="36"/>
  <c r="N218" i="36"/>
  <c r="N257" i="36"/>
  <c r="N298" i="36"/>
  <c r="N293" i="36"/>
  <c r="N368" i="36"/>
  <c r="N377" i="36"/>
  <c r="N370" i="36"/>
  <c r="N428" i="36"/>
  <c r="N373" i="36"/>
  <c r="N383" i="36"/>
  <c r="N391" i="36"/>
  <c r="N395" i="36"/>
  <c r="N400" i="36"/>
  <c r="N404" i="36"/>
  <c r="N408" i="36"/>
  <c r="N27" i="36"/>
  <c r="N33" i="36"/>
  <c r="N46" i="36"/>
  <c r="N50" i="36"/>
  <c r="N59" i="36"/>
  <c r="N62" i="36"/>
  <c r="N115" i="36"/>
  <c r="N119" i="36"/>
  <c r="N131" i="36"/>
  <c r="N165" i="36"/>
  <c r="N197" i="36"/>
  <c r="N242" i="36"/>
  <c r="N301" i="36"/>
  <c r="N432" i="36"/>
  <c r="N443" i="36"/>
  <c r="N452" i="36"/>
  <c r="N518" i="36"/>
  <c r="N484" i="36"/>
  <c r="N496" i="36"/>
  <c r="N480" i="36"/>
  <c r="N494" i="36"/>
  <c r="N454" i="36"/>
  <c r="N438" i="36"/>
  <c r="N502" i="36"/>
  <c r="N460" i="36"/>
  <c r="N13" i="36"/>
  <c r="N333" i="36"/>
  <c r="N346" i="36"/>
  <c r="N288" i="36"/>
  <c r="N2" i="36"/>
  <c r="N330" i="36"/>
  <c r="N578" i="36"/>
  <c r="N591" i="36"/>
  <c r="N604" i="36"/>
  <c r="N84" i="36"/>
  <c r="N157" i="36"/>
  <c r="N334" i="36"/>
  <c r="N335" i="36"/>
  <c r="N85" i="36"/>
  <c r="N336" i="36"/>
  <c r="N349" i="36"/>
  <c r="N439" i="36"/>
  <c r="N347" i="36"/>
  <c r="N337" i="36"/>
  <c r="N350" i="36"/>
  <c r="N579" i="36"/>
  <c r="N592" i="36"/>
  <c r="N605" i="36"/>
  <c r="N318" i="36"/>
  <c r="N416" i="36"/>
  <c r="N86" i="36"/>
  <c r="N158" i="36"/>
  <c r="N338" i="36"/>
  <c r="N351" i="36"/>
  <c r="N167" i="36"/>
  <c r="N176" i="36"/>
  <c r="N175" i="36"/>
  <c r="N339" i="36"/>
  <c r="N352" i="36"/>
  <c r="N343" i="36"/>
  <c r="N348" i="36"/>
  <c r="N450" i="36"/>
  <c r="N3" i="36"/>
  <c r="N340" i="36"/>
  <c r="N353" i="36"/>
  <c r="N463" i="36"/>
  <c r="N159" i="36"/>
  <c r="N87" i="36"/>
  <c r="N464" i="36"/>
  <c r="N160" i="36"/>
  <c r="N417" i="36"/>
  <c r="N354" i="36"/>
  <c r="N357" i="36"/>
  <c r="N170" i="36"/>
  <c r="N179" i="36"/>
  <c r="N161" i="36"/>
  <c r="N418" i="36"/>
  <c r="N355" i="36"/>
  <c r="N358" i="36"/>
  <c r="N171" i="36"/>
  <c r="N180" i="36"/>
  <c r="N531" i="36"/>
  <c r="N465" i="36"/>
  <c r="N466" i="36"/>
  <c r="N356" i="36"/>
  <c r="N359" i="36"/>
  <c r="N172" i="36"/>
  <c r="N181" i="36"/>
  <c r="N89" i="36"/>
  <c r="N168" i="36"/>
  <c r="N177" i="36"/>
  <c r="N173" i="36"/>
  <c r="N182" i="36"/>
  <c r="N540" i="36"/>
  <c r="N523" i="36"/>
  <c r="N532" i="36"/>
  <c r="N90" i="36"/>
  <c r="N162" i="36"/>
  <c r="N467" i="36"/>
  <c r="N169" i="36"/>
  <c r="N178" i="36"/>
  <c r="N174" i="36"/>
  <c r="N183" i="36"/>
  <c r="N544" i="36"/>
  <c r="N547" i="36"/>
  <c r="N557" i="36"/>
  <c r="N606" i="36"/>
  <c r="N360" i="36"/>
  <c r="A3" i="38" l="1"/>
  <c r="A11" i="38"/>
  <c r="A19" i="38"/>
  <c r="A27" i="38"/>
  <c r="A35" i="38"/>
  <c r="A43" i="38"/>
  <c r="A51" i="38"/>
  <c r="A59" i="38"/>
  <c r="A67" i="38"/>
  <c r="A75" i="38"/>
  <c r="A83" i="38"/>
  <c r="A91" i="38"/>
  <c r="A99" i="38"/>
  <c r="A107" i="38"/>
  <c r="A115" i="38"/>
  <c r="A123" i="38"/>
  <c r="A131" i="38"/>
  <c r="A139" i="38"/>
  <c r="A147" i="38"/>
  <c r="A155" i="38"/>
  <c r="A163" i="38"/>
  <c r="A171" i="38"/>
  <c r="A179" i="38"/>
  <c r="A187" i="38"/>
  <c r="A195" i="38"/>
  <c r="A203" i="38"/>
  <c r="A211" i="38"/>
  <c r="A219" i="38"/>
  <c r="A227" i="38"/>
  <c r="A235" i="38"/>
  <c r="A243" i="38"/>
  <c r="A251" i="38"/>
  <c r="A259" i="38"/>
  <c r="A267" i="38"/>
  <c r="A275" i="38"/>
  <c r="A283" i="38"/>
  <c r="A291" i="38"/>
  <c r="A299" i="38"/>
  <c r="A307" i="38"/>
  <c r="A315" i="38"/>
  <c r="A323" i="38"/>
  <c r="A331" i="38"/>
  <c r="A339" i="38"/>
  <c r="A347" i="38"/>
  <c r="A355" i="38"/>
  <c r="A363" i="38"/>
  <c r="A371" i="38"/>
  <c r="A379" i="38"/>
  <c r="A387" i="38"/>
  <c r="A395" i="38"/>
  <c r="A403" i="38"/>
  <c r="A411" i="38"/>
  <c r="A419" i="38"/>
  <c r="A427" i="38"/>
  <c r="A435" i="38"/>
  <c r="A443" i="38"/>
  <c r="A451" i="38"/>
  <c r="A459" i="38"/>
  <c r="A467" i="38"/>
  <c r="A475" i="38"/>
  <c r="A483" i="38"/>
  <c r="A491" i="38"/>
  <c r="A499" i="38"/>
  <c r="A507" i="38"/>
  <c r="A515" i="38"/>
  <c r="A523" i="38"/>
  <c r="A531" i="38"/>
  <c r="A539" i="38"/>
  <c r="A547" i="38"/>
  <c r="A555" i="38"/>
  <c r="A563" i="38"/>
  <c r="A571" i="38"/>
  <c r="A579" i="38"/>
  <c r="A587" i="38"/>
  <c r="A595" i="38"/>
  <c r="A603" i="38"/>
  <c r="A611" i="38"/>
  <c r="A619" i="38"/>
  <c r="A627" i="38"/>
  <c r="A635" i="38"/>
  <c r="A643" i="38"/>
  <c r="A651" i="38"/>
  <c r="A659" i="38"/>
  <c r="A667" i="38"/>
  <c r="A675" i="38"/>
  <c r="A4" i="38"/>
  <c r="A12" i="38"/>
  <c r="A20" i="38"/>
  <c r="A28" i="38"/>
  <c r="A36" i="38"/>
  <c r="A44" i="38"/>
  <c r="A52" i="38"/>
  <c r="A60" i="38"/>
  <c r="A68" i="38"/>
  <c r="A76" i="38"/>
  <c r="A84" i="38"/>
  <c r="A92" i="38"/>
  <c r="A100" i="38"/>
  <c r="A108" i="38"/>
  <c r="A116" i="38"/>
  <c r="A124" i="38"/>
  <c r="A132" i="38"/>
  <c r="A140" i="38"/>
  <c r="A148" i="38"/>
  <c r="A156" i="38"/>
  <c r="A164" i="38"/>
  <c r="A172" i="38"/>
  <c r="A180" i="38"/>
  <c r="A188" i="38"/>
  <c r="A196" i="38"/>
  <c r="A204" i="38"/>
  <c r="A212" i="38"/>
  <c r="A220" i="38"/>
  <c r="A228" i="38"/>
  <c r="A236" i="38"/>
  <c r="A244" i="38"/>
  <c r="A252" i="38"/>
  <c r="A260" i="38"/>
  <c r="A268" i="38"/>
  <c r="A276" i="38"/>
  <c r="A284" i="38"/>
  <c r="A292" i="38"/>
  <c r="A300" i="38"/>
  <c r="A308" i="38"/>
  <c r="A316" i="38"/>
  <c r="A324" i="38"/>
  <c r="A332" i="38"/>
  <c r="A340" i="38"/>
  <c r="A348" i="38"/>
  <c r="A356" i="38"/>
  <c r="A364" i="38"/>
  <c r="A372" i="38"/>
  <c r="A380" i="38"/>
  <c r="A388" i="38"/>
  <c r="A396" i="38"/>
  <c r="A404" i="38"/>
  <c r="A412" i="38"/>
  <c r="A420" i="38"/>
  <c r="A428" i="38"/>
  <c r="A436" i="38"/>
  <c r="A444" i="38"/>
  <c r="A452" i="38"/>
  <c r="A460" i="38"/>
  <c r="A468" i="38"/>
  <c r="A476" i="38"/>
  <c r="A484" i="38"/>
  <c r="A492" i="38"/>
  <c r="A500" i="38"/>
  <c r="A508" i="38"/>
  <c r="A516" i="38"/>
  <c r="A524" i="38"/>
  <c r="A532" i="38"/>
  <c r="A540" i="38"/>
  <c r="A548" i="38"/>
  <c r="A556" i="38"/>
  <c r="A564" i="38"/>
  <c r="A572" i="38"/>
  <c r="A580" i="38"/>
  <c r="A588" i="38"/>
  <c r="A596" i="38"/>
  <c r="A604" i="38"/>
  <c r="A612" i="38"/>
  <c r="A620" i="38"/>
  <c r="A628" i="38"/>
  <c r="A636" i="38"/>
  <c r="A644" i="38"/>
  <c r="A652" i="38"/>
  <c r="A660" i="38"/>
  <c r="A668" i="38"/>
  <c r="A676" i="38"/>
  <c r="A5" i="38"/>
  <c r="A13" i="38"/>
  <c r="A21" i="38"/>
  <c r="A29" i="38"/>
  <c r="A37" i="38"/>
  <c r="A45" i="38"/>
  <c r="A53" i="38"/>
  <c r="A61" i="38"/>
  <c r="A69" i="38"/>
  <c r="A77" i="38"/>
  <c r="A85" i="38"/>
  <c r="A93" i="38"/>
  <c r="A101" i="38"/>
  <c r="A109" i="38"/>
  <c r="A117" i="38"/>
  <c r="A125" i="38"/>
  <c r="A133" i="38"/>
  <c r="A141" i="38"/>
  <c r="A149" i="38"/>
  <c r="A157" i="38"/>
  <c r="A165" i="38"/>
  <c r="A173" i="38"/>
  <c r="A181" i="38"/>
  <c r="A189" i="38"/>
  <c r="A197" i="38"/>
  <c r="A205" i="38"/>
  <c r="A213" i="38"/>
  <c r="A221" i="38"/>
  <c r="A229" i="38"/>
  <c r="A237" i="38"/>
  <c r="A245" i="38"/>
  <c r="A253" i="38"/>
  <c r="A261" i="38"/>
  <c r="A269" i="38"/>
  <c r="A277" i="38"/>
  <c r="A285" i="38"/>
  <c r="A293" i="38"/>
  <c r="A301" i="38"/>
  <c r="A309" i="38"/>
  <c r="A317" i="38"/>
  <c r="A325" i="38"/>
  <c r="A333" i="38"/>
  <c r="A341" i="38"/>
  <c r="A349" i="38"/>
  <c r="A357" i="38"/>
  <c r="A365" i="38"/>
  <c r="A373" i="38"/>
  <c r="A381" i="38"/>
  <c r="A389" i="38"/>
  <c r="A397" i="38"/>
  <c r="A405" i="38"/>
  <c r="A413" i="38"/>
  <c r="A421" i="38"/>
  <c r="A429" i="38"/>
  <c r="A437" i="38"/>
  <c r="A445" i="38"/>
  <c r="A453" i="38"/>
  <c r="A461" i="38"/>
  <c r="A469" i="38"/>
  <c r="A477" i="38"/>
  <c r="A485" i="38"/>
  <c r="A493" i="38"/>
  <c r="A501" i="38"/>
  <c r="A509" i="38"/>
  <c r="A517" i="38"/>
  <c r="A525" i="38"/>
  <c r="A533" i="38"/>
  <c r="A541" i="38"/>
  <c r="A549" i="38"/>
  <c r="A557" i="38"/>
  <c r="A565" i="38"/>
  <c r="A573" i="38"/>
  <c r="A581" i="38"/>
  <c r="A589" i="38"/>
  <c r="A597" i="38"/>
  <c r="A605" i="38"/>
  <c r="A613" i="38"/>
  <c r="A621" i="38"/>
  <c r="A629" i="38"/>
  <c r="A637" i="38"/>
  <c r="A645" i="38"/>
  <c r="A653" i="38"/>
  <c r="A661" i="38"/>
  <c r="A669" i="38"/>
  <c r="A677" i="38"/>
  <c r="A6" i="38"/>
  <c r="A14" i="38"/>
  <c r="A22" i="38"/>
  <c r="A30" i="38"/>
  <c r="A38" i="38"/>
  <c r="A46" i="38"/>
  <c r="A54" i="38"/>
  <c r="A62" i="38"/>
  <c r="A70" i="38"/>
  <c r="A78" i="38"/>
  <c r="A86" i="38"/>
  <c r="A94" i="38"/>
  <c r="A102" i="38"/>
  <c r="A110" i="38"/>
  <c r="A118" i="38"/>
  <c r="A126" i="38"/>
  <c r="A134" i="38"/>
  <c r="A142" i="38"/>
  <c r="A150" i="38"/>
  <c r="A158" i="38"/>
  <c r="A166" i="38"/>
  <c r="A174" i="38"/>
  <c r="A182" i="38"/>
  <c r="A190" i="38"/>
  <c r="A198" i="38"/>
  <c r="A206" i="38"/>
  <c r="A214" i="38"/>
  <c r="A222" i="38"/>
  <c r="A230" i="38"/>
  <c r="A238" i="38"/>
  <c r="A246" i="38"/>
  <c r="A254" i="38"/>
  <c r="A262" i="38"/>
  <c r="A270" i="38"/>
  <c r="A278" i="38"/>
  <c r="A286" i="38"/>
  <c r="A294" i="38"/>
  <c r="A302" i="38"/>
  <c r="A310" i="38"/>
  <c r="A318" i="38"/>
  <c r="A326" i="38"/>
  <c r="A334" i="38"/>
  <c r="A342" i="38"/>
  <c r="A350" i="38"/>
  <c r="A358" i="38"/>
  <c r="A366" i="38"/>
  <c r="A374" i="38"/>
  <c r="A382" i="38"/>
  <c r="A390" i="38"/>
  <c r="A398" i="38"/>
  <c r="A406" i="38"/>
  <c r="A414" i="38"/>
  <c r="A422" i="38"/>
  <c r="A430" i="38"/>
  <c r="A438" i="38"/>
  <c r="A446" i="38"/>
  <c r="A454" i="38"/>
  <c r="A462" i="38"/>
  <c r="A470" i="38"/>
  <c r="A478" i="38"/>
  <c r="A486" i="38"/>
  <c r="A494" i="38"/>
  <c r="A502" i="38"/>
  <c r="A510" i="38"/>
  <c r="A518" i="38"/>
  <c r="A526" i="38"/>
  <c r="A534" i="38"/>
  <c r="A542" i="38"/>
  <c r="A550" i="38"/>
  <c r="A558" i="38"/>
  <c r="A566" i="38"/>
  <c r="A574" i="38"/>
  <c r="A582" i="38"/>
  <c r="A590" i="38"/>
  <c r="A598" i="38"/>
  <c r="A606" i="38"/>
  <c r="A614" i="38"/>
  <c r="A622" i="38"/>
  <c r="A7" i="38"/>
  <c r="A15" i="38"/>
  <c r="A23" i="38"/>
  <c r="A31" i="38"/>
  <c r="A39" i="38"/>
  <c r="A47" i="38"/>
  <c r="A55" i="38"/>
  <c r="A63" i="38"/>
  <c r="A71" i="38"/>
  <c r="A79" i="38"/>
  <c r="A87" i="38"/>
  <c r="A95" i="38"/>
  <c r="A103" i="38"/>
  <c r="A111" i="38"/>
  <c r="A119" i="38"/>
  <c r="A127" i="38"/>
  <c r="A135" i="38"/>
  <c r="A143" i="38"/>
  <c r="A151" i="38"/>
  <c r="A159" i="38"/>
  <c r="A167" i="38"/>
  <c r="A175" i="38"/>
  <c r="A183" i="38"/>
  <c r="A191" i="38"/>
  <c r="A199" i="38"/>
  <c r="A207" i="38"/>
  <c r="A215" i="38"/>
  <c r="A223" i="38"/>
  <c r="A231" i="38"/>
  <c r="A239" i="38"/>
  <c r="A247" i="38"/>
  <c r="A255" i="38"/>
  <c r="A263" i="38"/>
  <c r="A271" i="38"/>
  <c r="A279" i="38"/>
  <c r="A287" i="38"/>
  <c r="A295" i="38"/>
  <c r="A303" i="38"/>
  <c r="A311" i="38"/>
  <c r="A319" i="38"/>
  <c r="A327" i="38"/>
  <c r="A335" i="38"/>
  <c r="A343" i="38"/>
  <c r="A351" i="38"/>
  <c r="A359" i="38"/>
  <c r="A367" i="38"/>
  <c r="A375" i="38"/>
  <c r="A383" i="38"/>
  <c r="A391" i="38"/>
  <c r="A399" i="38"/>
  <c r="A407" i="38"/>
  <c r="A415" i="38"/>
  <c r="A423" i="38"/>
  <c r="A431" i="38"/>
  <c r="A439" i="38"/>
  <c r="A447" i="38"/>
  <c r="A455" i="38"/>
  <c r="A463" i="38"/>
  <c r="A471" i="38"/>
  <c r="A479" i="38"/>
  <c r="A487" i="38"/>
  <c r="A495" i="38"/>
  <c r="A503" i="38"/>
  <c r="A511" i="38"/>
  <c r="A519" i="38"/>
  <c r="A527" i="38"/>
  <c r="A535" i="38"/>
  <c r="A543" i="38"/>
  <c r="A551" i="38"/>
  <c r="A559" i="38"/>
  <c r="A567" i="38"/>
  <c r="A575" i="38"/>
  <c r="A583" i="38"/>
  <c r="A591" i="38"/>
  <c r="A599" i="38"/>
  <c r="A607" i="38"/>
  <c r="A615" i="38"/>
  <c r="A623" i="38"/>
  <c r="A631" i="38"/>
  <c r="A639" i="38"/>
  <c r="A647" i="38"/>
  <c r="A655" i="38"/>
  <c r="A663" i="38"/>
  <c r="A671" i="38"/>
  <c r="A8" i="38"/>
  <c r="A16" i="38"/>
  <c r="A24" i="38"/>
  <c r="A32" i="38"/>
  <c r="A40" i="38"/>
  <c r="A48" i="38"/>
  <c r="A56" i="38"/>
  <c r="A64" i="38"/>
  <c r="A72" i="38"/>
  <c r="A80" i="38"/>
  <c r="A88" i="38"/>
  <c r="A96" i="38"/>
  <c r="A104" i="38"/>
  <c r="A112" i="38"/>
  <c r="A120" i="38"/>
  <c r="A128" i="38"/>
  <c r="A136" i="38"/>
  <c r="A144" i="38"/>
  <c r="A152" i="38"/>
  <c r="A160" i="38"/>
  <c r="A168" i="38"/>
  <c r="A176" i="38"/>
  <c r="A184" i="38"/>
  <c r="A192" i="38"/>
  <c r="A200" i="38"/>
  <c r="A208" i="38"/>
  <c r="A216" i="38"/>
  <c r="A224" i="38"/>
  <c r="A232" i="38"/>
  <c r="A240" i="38"/>
  <c r="A248" i="38"/>
  <c r="A256" i="38"/>
  <c r="A264" i="38"/>
  <c r="A272" i="38"/>
  <c r="A280" i="38"/>
  <c r="A288" i="38"/>
  <c r="A296" i="38"/>
  <c r="A304" i="38"/>
  <c r="A312" i="38"/>
  <c r="A320" i="38"/>
  <c r="A328" i="38"/>
  <c r="A336" i="38"/>
  <c r="A344" i="38"/>
  <c r="A352" i="38"/>
  <c r="A360" i="38"/>
  <c r="A368" i="38"/>
  <c r="A376" i="38"/>
  <c r="A384" i="38"/>
  <c r="A392" i="38"/>
  <c r="A400" i="38"/>
  <c r="A408" i="38"/>
  <c r="A416" i="38"/>
  <c r="A424" i="38"/>
  <c r="A432" i="38"/>
  <c r="A440" i="38"/>
  <c r="A448" i="38"/>
  <c r="A456" i="38"/>
  <c r="A464" i="38"/>
  <c r="A472" i="38"/>
  <c r="A480" i="38"/>
  <c r="A488" i="38"/>
  <c r="A496" i="38"/>
  <c r="A504" i="38"/>
  <c r="A512" i="38"/>
  <c r="A520" i="38"/>
  <c r="A528" i="38"/>
  <c r="A536" i="38"/>
  <c r="A544" i="38"/>
  <c r="A552" i="38"/>
  <c r="A560" i="38"/>
  <c r="A568" i="38"/>
  <c r="A576" i="38"/>
  <c r="A584" i="38"/>
  <c r="A592" i="38"/>
  <c r="A600" i="38"/>
  <c r="A608" i="38"/>
  <c r="A616" i="38"/>
  <c r="A624" i="38"/>
  <c r="A632" i="38"/>
  <c r="A640" i="38"/>
  <c r="A648" i="38"/>
  <c r="A656" i="38"/>
  <c r="A664" i="38"/>
  <c r="A672" i="38"/>
  <c r="A680" i="38"/>
  <c r="A9" i="38"/>
  <c r="A17" i="38"/>
  <c r="A25" i="38"/>
  <c r="A33" i="38"/>
  <c r="A41" i="38"/>
  <c r="A49" i="38"/>
  <c r="A57" i="38"/>
  <c r="A65" i="38"/>
  <c r="A73" i="38"/>
  <c r="A81" i="38"/>
  <c r="A89" i="38"/>
  <c r="A97" i="38"/>
  <c r="A105" i="38"/>
  <c r="A113" i="38"/>
  <c r="A121" i="38"/>
  <c r="A129" i="38"/>
  <c r="A137" i="38"/>
  <c r="A145" i="38"/>
  <c r="A153" i="38"/>
  <c r="A161" i="38"/>
  <c r="A169" i="38"/>
  <c r="A177" i="38"/>
  <c r="A185" i="38"/>
  <c r="A193" i="38"/>
  <c r="A201" i="38"/>
  <c r="A209" i="38"/>
  <c r="A217" i="38"/>
  <c r="A225" i="38"/>
  <c r="A233" i="38"/>
  <c r="A241" i="38"/>
  <c r="A249" i="38"/>
  <c r="A257" i="38"/>
  <c r="A265" i="38"/>
  <c r="A273" i="38"/>
  <c r="A281" i="38"/>
  <c r="A289" i="38"/>
  <c r="A297" i="38"/>
  <c r="A305" i="38"/>
  <c r="A313" i="38"/>
  <c r="A321" i="38"/>
  <c r="A329" i="38"/>
  <c r="A337" i="38"/>
  <c r="A345" i="38"/>
  <c r="A353" i="38"/>
  <c r="A361" i="38"/>
  <c r="A369" i="38"/>
  <c r="A377" i="38"/>
  <c r="A385" i="38"/>
  <c r="A393" i="38"/>
  <c r="A401" i="38"/>
  <c r="A409" i="38"/>
  <c r="A417" i="38"/>
  <c r="A425" i="38"/>
  <c r="A433" i="38"/>
  <c r="A441" i="38"/>
  <c r="A449" i="38"/>
  <c r="A457" i="38"/>
  <c r="A465" i="38"/>
  <c r="A473" i="38"/>
  <c r="A481" i="38"/>
  <c r="A489" i="38"/>
  <c r="A497" i="38"/>
  <c r="A505" i="38"/>
  <c r="A513" i="38"/>
  <c r="A521" i="38"/>
  <c r="A529" i="38"/>
  <c r="A537" i="38"/>
  <c r="A545" i="38"/>
  <c r="A553" i="38"/>
  <c r="A561" i="38"/>
  <c r="A569" i="38"/>
  <c r="A577" i="38"/>
  <c r="A585" i="38"/>
  <c r="A593" i="38"/>
  <c r="A601" i="38"/>
  <c r="A609" i="38"/>
  <c r="A617" i="38"/>
  <c r="A625" i="38"/>
  <c r="A633" i="38"/>
  <c r="A641" i="38"/>
  <c r="A649" i="38"/>
  <c r="A657" i="38"/>
  <c r="A665" i="38"/>
  <c r="A673" i="38"/>
  <c r="A681" i="38"/>
  <c r="A10" i="38"/>
  <c r="A74" i="38"/>
  <c r="A138" i="38"/>
  <c r="A202" i="38"/>
  <c r="A266" i="38"/>
  <c r="A330" i="38"/>
  <c r="A394" i="38"/>
  <c r="A458" i="38"/>
  <c r="A522" i="38"/>
  <c r="A586" i="38"/>
  <c r="A638" i="38"/>
  <c r="A670" i="38"/>
  <c r="A686" i="38"/>
  <c r="A694" i="38"/>
  <c r="A702" i="38"/>
  <c r="A710" i="38"/>
  <c r="A718" i="38"/>
  <c r="A726" i="38"/>
  <c r="A734" i="38"/>
  <c r="A742" i="38"/>
  <c r="A750" i="38"/>
  <c r="A758" i="38"/>
  <c r="A766" i="38"/>
  <c r="A774" i="38"/>
  <c r="A782" i="38"/>
  <c r="A790" i="38"/>
  <c r="A798" i="38"/>
  <c r="A806" i="38"/>
  <c r="A814" i="38"/>
  <c r="A822" i="38"/>
  <c r="A830" i="38"/>
  <c r="A838" i="38"/>
  <c r="A846" i="38"/>
  <c r="A854" i="38"/>
  <c r="A862" i="38"/>
  <c r="A870" i="38"/>
  <c r="A878" i="38"/>
  <c r="A886" i="38"/>
  <c r="A894" i="38"/>
  <c r="A902" i="38"/>
  <c r="A910" i="38"/>
  <c r="A918" i="38"/>
  <c r="A926" i="38"/>
  <c r="A934" i="38"/>
  <c r="A942" i="38"/>
  <c r="A950" i="38"/>
  <c r="A958" i="38"/>
  <c r="A966" i="38"/>
  <c r="A974" i="38"/>
  <c r="A982" i="38"/>
  <c r="A990" i="38"/>
  <c r="A998" i="38"/>
  <c r="A1006" i="38"/>
  <c r="A1014" i="38"/>
  <c r="A1022" i="38"/>
  <c r="A1030" i="38"/>
  <c r="A1038" i="38"/>
  <c r="A1046" i="38"/>
  <c r="A1054" i="38"/>
  <c r="A1062" i="38"/>
  <c r="A1070" i="38"/>
  <c r="A1078" i="38"/>
  <c r="A1086" i="38"/>
  <c r="A1094" i="38"/>
  <c r="A1102" i="38"/>
  <c r="A1110" i="38"/>
  <c r="A1118" i="38"/>
  <c r="A1126" i="38"/>
  <c r="A1134" i="38"/>
  <c r="A1142" i="38"/>
  <c r="A1150" i="38"/>
  <c r="A1158" i="38"/>
  <c r="A1166" i="38"/>
  <c r="A1174" i="38"/>
  <c r="A1182" i="38"/>
  <c r="A1190" i="38"/>
  <c r="A1198" i="38"/>
  <c r="A1206" i="38"/>
  <c r="A1214" i="38"/>
  <c r="A1222" i="38"/>
  <c r="A1230" i="38"/>
  <c r="A1238" i="38"/>
  <c r="A1246" i="38"/>
  <c r="A1254" i="38"/>
  <c r="A1262" i="38"/>
  <c r="A1270" i="38"/>
  <c r="A1278" i="38"/>
  <c r="A1286" i="38"/>
  <c r="A1294" i="38"/>
  <c r="A18" i="38"/>
  <c r="A82" i="38"/>
  <c r="A146" i="38"/>
  <c r="A210" i="38"/>
  <c r="A274" i="38"/>
  <c r="A338" i="38"/>
  <c r="A402" i="38"/>
  <c r="A466" i="38"/>
  <c r="A530" i="38"/>
  <c r="A594" i="38"/>
  <c r="A642" i="38"/>
  <c r="A674" i="38"/>
  <c r="A687" i="38"/>
  <c r="A695" i="38"/>
  <c r="A703" i="38"/>
  <c r="A711" i="38"/>
  <c r="A719" i="38"/>
  <c r="A727" i="38"/>
  <c r="A735" i="38"/>
  <c r="A743" i="38"/>
  <c r="A751" i="38"/>
  <c r="A759" i="38"/>
  <c r="A767" i="38"/>
  <c r="A775" i="38"/>
  <c r="A783" i="38"/>
  <c r="A791" i="38"/>
  <c r="A799" i="38"/>
  <c r="A807" i="38"/>
  <c r="A815" i="38"/>
  <c r="A823" i="38"/>
  <c r="A831" i="38"/>
  <c r="A839" i="38"/>
  <c r="A847" i="38"/>
  <c r="A855" i="38"/>
  <c r="A863" i="38"/>
  <c r="A871" i="38"/>
  <c r="A879" i="38"/>
  <c r="A887" i="38"/>
  <c r="A895" i="38"/>
  <c r="A903" i="38"/>
  <c r="A911" i="38"/>
  <c r="A919" i="38"/>
  <c r="A927" i="38"/>
  <c r="A935" i="38"/>
  <c r="A943" i="38"/>
  <c r="A951" i="38"/>
  <c r="A959" i="38"/>
  <c r="A967" i="38"/>
  <c r="A975" i="38"/>
  <c r="A983" i="38"/>
  <c r="A991" i="38"/>
  <c r="A999" i="38"/>
  <c r="A1007" i="38"/>
  <c r="A1015" i="38"/>
  <c r="A1023" i="38"/>
  <c r="A1031" i="38"/>
  <c r="A1039" i="38"/>
  <c r="A1047" i="38"/>
  <c r="A1055" i="38"/>
  <c r="A1063" i="38"/>
  <c r="A1071" i="38"/>
  <c r="A1079" i="38"/>
  <c r="A1087" i="38"/>
  <c r="A1095" i="38"/>
  <c r="A1103" i="38"/>
  <c r="A1111" i="38"/>
  <c r="A1119" i="38"/>
  <c r="A1127" i="38"/>
  <c r="A1135" i="38"/>
  <c r="A1143" i="38"/>
  <c r="A1151" i="38"/>
  <c r="A1159" i="38"/>
  <c r="A1167" i="38"/>
  <c r="A1175" i="38"/>
  <c r="A1183" i="38"/>
  <c r="A1191" i="38"/>
  <c r="A1199" i="38"/>
  <c r="A1207" i="38"/>
  <c r="A1215" i="38"/>
  <c r="A1223" i="38"/>
  <c r="A1231" i="38"/>
  <c r="A1239" i="38"/>
  <c r="A1247" i="38"/>
  <c r="A1255" i="38"/>
  <c r="A1263" i="38"/>
  <c r="A26" i="38"/>
  <c r="A90" i="38"/>
  <c r="A154" i="38"/>
  <c r="A218" i="38"/>
  <c r="A282" i="38"/>
  <c r="A346" i="38"/>
  <c r="A410" i="38"/>
  <c r="A474" i="38"/>
  <c r="A538" i="38"/>
  <c r="A602" i="38"/>
  <c r="A646" i="38"/>
  <c r="A678" i="38"/>
  <c r="A688" i="38"/>
  <c r="A696" i="38"/>
  <c r="A704" i="38"/>
  <c r="A712" i="38"/>
  <c r="A720" i="38"/>
  <c r="A728" i="38"/>
  <c r="A736" i="38"/>
  <c r="A744" i="38"/>
  <c r="A752" i="38"/>
  <c r="A760" i="38"/>
  <c r="A768" i="38"/>
  <c r="A776" i="38"/>
  <c r="A784" i="38"/>
  <c r="A792" i="38"/>
  <c r="A800" i="38"/>
  <c r="A808" i="38"/>
  <c r="A816" i="38"/>
  <c r="A824" i="38"/>
  <c r="A832" i="38"/>
  <c r="A840" i="38"/>
  <c r="A848" i="38"/>
  <c r="A856" i="38"/>
  <c r="A864" i="38"/>
  <c r="A872" i="38"/>
  <c r="A880" i="38"/>
  <c r="A888" i="38"/>
  <c r="A896" i="38"/>
  <c r="A904" i="38"/>
  <c r="A912" i="38"/>
  <c r="A920" i="38"/>
  <c r="A928" i="38"/>
  <c r="A936" i="38"/>
  <c r="A944" i="38"/>
  <c r="A952" i="38"/>
  <c r="A960" i="38"/>
  <c r="A968" i="38"/>
  <c r="A976" i="38"/>
  <c r="A984" i="38"/>
  <c r="A992" i="38"/>
  <c r="A1000" i="38"/>
  <c r="A1008" i="38"/>
  <c r="A1016" i="38"/>
  <c r="A1024" i="38"/>
  <c r="A1032" i="38"/>
  <c r="A1040" i="38"/>
  <c r="A1048" i="38"/>
  <c r="A1056" i="38"/>
  <c r="A1064" i="38"/>
  <c r="A1072" i="38"/>
  <c r="A1080" i="38"/>
  <c r="A1088" i="38"/>
  <c r="A1096" i="38"/>
  <c r="A1104" i="38"/>
  <c r="A1112" i="38"/>
  <c r="A1120" i="38"/>
  <c r="A1128" i="38"/>
  <c r="A1136" i="38"/>
  <c r="A1144" i="38"/>
  <c r="A1152" i="38"/>
  <c r="A1160" i="38"/>
  <c r="A1168" i="38"/>
  <c r="A1176" i="38"/>
  <c r="A1184" i="38"/>
  <c r="A1192" i="38"/>
  <c r="A1200" i="38"/>
  <c r="A1208" i="38"/>
  <c r="A1216" i="38"/>
  <c r="A1224" i="38"/>
  <c r="A1232" i="38"/>
  <c r="A1240" i="38"/>
  <c r="A1248" i="38"/>
  <c r="A1256" i="38"/>
  <c r="A1264" i="38"/>
  <c r="A1272" i="38"/>
  <c r="A1280" i="38"/>
  <c r="A1288" i="38"/>
  <c r="A34" i="38"/>
  <c r="A98" i="38"/>
  <c r="A162" i="38"/>
  <c r="A226" i="38"/>
  <c r="A290" i="38"/>
  <c r="A354" i="38"/>
  <c r="A418" i="38"/>
  <c r="A482" i="38"/>
  <c r="A546" i="38"/>
  <c r="A610" i="38"/>
  <c r="A650" i="38"/>
  <c r="A679" i="38"/>
  <c r="A689" i="38"/>
  <c r="A697" i="38"/>
  <c r="A705" i="38"/>
  <c r="A713" i="38"/>
  <c r="A721" i="38"/>
  <c r="A729" i="38"/>
  <c r="A737" i="38"/>
  <c r="A745" i="38"/>
  <c r="A753" i="38"/>
  <c r="A761" i="38"/>
  <c r="A769" i="38"/>
  <c r="A777" i="38"/>
  <c r="A785" i="38"/>
  <c r="A793" i="38"/>
  <c r="A801" i="38"/>
  <c r="A809" i="38"/>
  <c r="A817" i="38"/>
  <c r="A825" i="38"/>
  <c r="A833" i="38"/>
  <c r="A841" i="38"/>
  <c r="A849" i="38"/>
  <c r="A857" i="38"/>
  <c r="A865" i="38"/>
  <c r="A873" i="38"/>
  <c r="A881" i="38"/>
  <c r="A889" i="38"/>
  <c r="A897" i="38"/>
  <c r="A905" i="38"/>
  <c r="A913" i="38"/>
  <c r="A921" i="38"/>
  <c r="A929" i="38"/>
  <c r="A937" i="38"/>
  <c r="A945" i="38"/>
  <c r="A953" i="38"/>
  <c r="A961" i="38"/>
  <c r="A969" i="38"/>
  <c r="A977" i="38"/>
  <c r="A985" i="38"/>
  <c r="A993" i="38"/>
  <c r="A1001" i="38"/>
  <c r="A1009" i="38"/>
  <c r="A1017" i="38"/>
  <c r="A1025" i="38"/>
  <c r="A1033" i="38"/>
  <c r="A1041" i="38"/>
  <c r="A1049" i="38"/>
  <c r="A1057" i="38"/>
  <c r="A1065" i="38"/>
  <c r="A1073" i="38"/>
  <c r="A1081" i="38"/>
  <c r="A1089" i="38"/>
  <c r="A1097" i="38"/>
  <c r="A1105" i="38"/>
  <c r="A1113" i="38"/>
  <c r="A1121" i="38"/>
  <c r="A1129" i="38"/>
  <c r="A1137" i="38"/>
  <c r="A1145" i="38"/>
  <c r="A1153" i="38"/>
  <c r="A1161" i="38"/>
  <c r="A1169" i="38"/>
  <c r="A1177" i="38"/>
  <c r="A1185" i="38"/>
  <c r="A1193" i="38"/>
  <c r="A1201" i="38"/>
  <c r="A1209" i="38"/>
  <c r="A1217" i="38"/>
  <c r="A1225" i="38"/>
  <c r="A1233" i="38"/>
  <c r="A42" i="38"/>
  <c r="A106" i="38"/>
  <c r="A170" i="38"/>
  <c r="A234" i="38"/>
  <c r="A298" i="38"/>
  <c r="A362" i="38"/>
  <c r="A426" i="38"/>
  <c r="A490" i="38"/>
  <c r="A554" i="38"/>
  <c r="A618" i="38"/>
  <c r="A654" i="38"/>
  <c r="A682" i="38"/>
  <c r="A690" i="38"/>
  <c r="A698" i="38"/>
  <c r="A706" i="38"/>
  <c r="A714" i="38"/>
  <c r="A722" i="38"/>
  <c r="A730" i="38"/>
  <c r="A738" i="38"/>
  <c r="A746" i="38"/>
  <c r="A754" i="38"/>
  <c r="A762" i="38"/>
  <c r="A770" i="38"/>
  <c r="A778" i="38"/>
  <c r="A786" i="38"/>
  <c r="A794" i="38"/>
  <c r="A802" i="38"/>
  <c r="A810" i="38"/>
  <c r="A818" i="38"/>
  <c r="A826" i="38"/>
  <c r="A834" i="38"/>
  <c r="A842" i="38"/>
  <c r="A850" i="38"/>
  <c r="A858" i="38"/>
  <c r="A866" i="38"/>
  <c r="A874" i="38"/>
  <c r="A882" i="38"/>
  <c r="A890" i="38"/>
  <c r="A898" i="38"/>
  <c r="A906" i="38"/>
  <c r="A914" i="38"/>
  <c r="A922" i="38"/>
  <c r="A930" i="38"/>
  <c r="A938" i="38"/>
  <c r="A946" i="38"/>
  <c r="A954" i="38"/>
  <c r="A962" i="38"/>
  <c r="A970" i="38"/>
  <c r="A978" i="38"/>
  <c r="A986" i="38"/>
  <c r="A994" i="38"/>
  <c r="A66" i="38"/>
  <c r="A130" i="38"/>
  <c r="A194" i="38"/>
  <c r="A258" i="38"/>
  <c r="A322" i="38"/>
  <c r="A386" i="38"/>
  <c r="A450" i="38"/>
  <c r="A514" i="38"/>
  <c r="A578" i="38"/>
  <c r="A634" i="38"/>
  <c r="A666" i="38"/>
  <c r="A685" i="38"/>
  <c r="A693" i="38"/>
  <c r="A701" i="38"/>
  <c r="A709" i="38"/>
  <c r="A717" i="38"/>
  <c r="A725" i="38"/>
  <c r="A733" i="38"/>
  <c r="A741" i="38"/>
  <c r="A749" i="38"/>
  <c r="A757" i="38"/>
  <c r="A765" i="38"/>
  <c r="A773" i="38"/>
  <c r="A781" i="38"/>
  <c r="A789" i="38"/>
  <c r="A797" i="38"/>
  <c r="A805" i="38"/>
  <c r="A813" i="38"/>
  <c r="A821" i="38"/>
  <c r="A829" i="38"/>
  <c r="A837" i="38"/>
  <c r="A845" i="38"/>
  <c r="A853" i="38"/>
  <c r="A861" i="38"/>
  <c r="A869" i="38"/>
  <c r="A877" i="38"/>
  <c r="A885" i="38"/>
  <c r="A893" i="38"/>
  <c r="A901" i="38"/>
  <c r="A909" i="38"/>
  <c r="A917" i="38"/>
  <c r="A925" i="38"/>
  <c r="A933" i="38"/>
  <c r="A941" i="38"/>
  <c r="A949" i="38"/>
  <c r="A957" i="38"/>
  <c r="A965" i="38"/>
  <c r="A973" i="38"/>
  <c r="A981" i="38"/>
  <c r="A989" i="38"/>
  <c r="A997" i="38"/>
  <c r="A1005" i="38"/>
  <c r="A1013" i="38"/>
  <c r="A1021" i="38"/>
  <c r="A1029" i="38"/>
  <c r="A1037" i="38"/>
  <c r="A1045" i="38"/>
  <c r="A1053" i="38"/>
  <c r="A1061" i="38"/>
  <c r="A1069" i="38"/>
  <c r="A1077" i="38"/>
  <c r="A1085" i="38"/>
  <c r="A1093" i="38"/>
  <c r="A1101" i="38"/>
  <c r="A1109" i="38"/>
  <c r="A1117" i="38"/>
  <c r="A1125" i="38"/>
  <c r="A1133" i="38"/>
  <c r="A1141" i="38"/>
  <c r="A1149" i="38"/>
  <c r="A1157" i="38"/>
  <c r="A1165" i="38"/>
  <c r="A1173" i="38"/>
  <c r="A1181" i="38"/>
  <c r="A50" i="38"/>
  <c r="A306" i="38"/>
  <c r="A562" i="38"/>
  <c r="A691" i="38"/>
  <c r="A723" i="38"/>
  <c r="A755" i="38"/>
  <c r="A787" i="38"/>
  <c r="A819" i="38"/>
  <c r="A851" i="38"/>
  <c r="A883" i="38"/>
  <c r="A915" i="38"/>
  <c r="A947" i="38"/>
  <c r="A979" i="38"/>
  <c r="A1004" i="38"/>
  <c r="A1027" i="38"/>
  <c r="A1050" i="38"/>
  <c r="A1068" i="38"/>
  <c r="A1091" i="38"/>
  <c r="A1114" i="38"/>
  <c r="A1132" i="38"/>
  <c r="A1155" i="38"/>
  <c r="A1178" i="38"/>
  <c r="A1195" i="38"/>
  <c r="A1211" i="38"/>
  <c r="A1227" i="38"/>
  <c r="A1242" i="38"/>
  <c r="A1253" i="38"/>
  <c r="A1267" i="38"/>
  <c r="A1277" i="38"/>
  <c r="A1289" i="38"/>
  <c r="A1298" i="38"/>
  <c r="A1306" i="38"/>
  <c r="A1314" i="38"/>
  <c r="A1322" i="38"/>
  <c r="A1330" i="38"/>
  <c r="A1338" i="38"/>
  <c r="A1346" i="38"/>
  <c r="A1354" i="38"/>
  <c r="A1362" i="38"/>
  <c r="A1370" i="38"/>
  <c r="A1378" i="38"/>
  <c r="A1386" i="38"/>
  <c r="A1394" i="38"/>
  <c r="A1402" i="38"/>
  <c r="A1410" i="38"/>
  <c r="A1418" i="38"/>
  <c r="A1426" i="38"/>
  <c r="A1434" i="38"/>
  <c r="A1442" i="38"/>
  <c r="A1450" i="38"/>
  <c r="A1458" i="38"/>
  <c r="A1466" i="38"/>
  <c r="A1474" i="38"/>
  <c r="A1482" i="38"/>
  <c r="A1490" i="38"/>
  <c r="A1498" i="38"/>
  <c r="A1506" i="38"/>
  <c r="A1514" i="38"/>
  <c r="A1522" i="38"/>
  <c r="A1530" i="38"/>
  <c r="A1538" i="38"/>
  <c r="A1546" i="38"/>
  <c r="A58" i="38"/>
  <c r="A314" i="38"/>
  <c r="A570" i="38"/>
  <c r="A692" i="38"/>
  <c r="A724" i="38"/>
  <c r="A756" i="38"/>
  <c r="A788" i="38"/>
  <c r="A820" i="38"/>
  <c r="A852" i="38"/>
  <c r="A884" i="38"/>
  <c r="A916" i="38"/>
  <c r="A948" i="38"/>
  <c r="A980" i="38"/>
  <c r="A1010" i="38"/>
  <c r="A1028" i="38"/>
  <c r="A1051" i="38"/>
  <c r="A1074" i="38"/>
  <c r="A1092" i="38"/>
  <c r="A1115" i="38"/>
  <c r="A1138" i="38"/>
  <c r="A1156" i="38"/>
  <c r="A1179" i="38"/>
  <c r="A1196" i="38"/>
  <c r="A1212" i="38"/>
  <c r="A1228" i="38"/>
  <c r="A1243" i="38"/>
  <c r="A1257" i="38"/>
  <c r="A1268" i="38"/>
  <c r="A1279" i="38"/>
  <c r="A1290" i="38"/>
  <c r="A1299" i="38"/>
  <c r="A1307" i="38"/>
  <c r="A1315" i="38"/>
  <c r="A1323" i="38"/>
  <c r="A1331" i="38"/>
  <c r="A1339" i="38"/>
  <c r="A1347" i="38"/>
  <c r="A1355" i="38"/>
  <c r="A1363" i="38"/>
  <c r="A1371" i="38"/>
  <c r="A1379" i="38"/>
  <c r="A1387" i="38"/>
  <c r="A1395" i="38"/>
  <c r="A1403" i="38"/>
  <c r="A1411" i="38"/>
  <c r="A1419" i="38"/>
  <c r="A1427" i="38"/>
  <c r="A1435" i="38"/>
  <c r="A1443" i="38"/>
  <c r="A1451" i="38"/>
  <c r="A1459" i="38"/>
  <c r="A1467" i="38"/>
  <c r="A1475" i="38"/>
  <c r="A1483" i="38"/>
  <c r="A1491" i="38"/>
  <c r="A1499" i="38"/>
  <c r="A1507" i="38"/>
  <c r="A1515" i="38"/>
  <c r="A1523" i="38"/>
  <c r="A1531" i="38"/>
  <c r="A1539" i="38"/>
  <c r="A1547" i="38"/>
  <c r="A114" i="38"/>
  <c r="A370" i="38"/>
  <c r="A626" i="38"/>
  <c r="A699" i="38"/>
  <c r="A731" i="38"/>
  <c r="A763" i="38"/>
  <c r="A795" i="38"/>
  <c r="A827" i="38"/>
  <c r="A859" i="38"/>
  <c r="A891" i="38"/>
  <c r="A923" i="38"/>
  <c r="A955" i="38"/>
  <c r="A987" i="38"/>
  <c r="A1011" i="38"/>
  <c r="A1034" i="38"/>
  <c r="A1052" i="38"/>
  <c r="A1075" i="38"/>
  <c r="A1098" i="38"/>
  <c r="A1116" i="38"/>
  <c r="A1139" i="38"/>
  <c r="A1162" i="38"/>
  <c r="A1180" i="38"/>
  <c r="A1197" i="38"/>
  <c r="A1213" i="38"/>
  <c r="A1229" i="38"/>
  <c r="A1244" i="38"/>
  <c r="A1258" i="38"/>
  <c r="A1269" i="38"/>
  <c r="A1281" i="38"/>
  <c r="A1291" i="38"/>
  <c r="A1300" i="38"/>
  <c r="A1308" i="38"/>
  <c r="A1316" i="38"/>
  <c r="A1324" i="38"/>
  <c r="A1332" i="38"/>
  <c r="A1340" i="38"/>
  <c r="A1348" i="38"/>
  <c r="A1356" i="38"/>
  <c r="A1364" i="38"/>
  <c r="A1372" i="38"/>
  <c r="A1380" i="38"/>
  <c r="A1388" i="38"/>
  <c r="A1396" i="38"/>
  <c r="A1404" i="38"/>
  <c r="A1412" i="38"/>
  <c r="A1420" i="38"/>
  <c r="A1428" i="38"/>
  <c r="A1436" i="38"/>
  <c r="A1444" i="38"/>
  <c r="A1452" i="38"/>
  <c r="A1460" i="38"/>
  <c r="A1468" i="38"/>
  <c r="A1476" i="38"/>
  <c r="A1484" i="38"/>
  <c r="A1492" i="38"/>
  <c r="A1500" i="38"/>
  <c r="A1508" i="38"/>
  <c r="A1516" i="38"/>
  <c r="A1524" i="38"/>
  <c r="A1532" i="38"/>
  <c r="A1540" i="38"/>
  <c r="A1548" i="38"/>
  <c r="A122" i="38"/>
  <c r="A378" i="38"/>
  <c r="A630" i="38"/>
  <c r="A700" i="38"/>
  <c r="A732" i="38"/>
  <c r="A764" i="38"/>
  <c r="A796" i="38"/>
  <c r="A828" i="38"/>
  <c r="A860" i="38"/>
  <c r="A892" i="38"/>
  <c r="A924" i="38"/>
  <c r="A956" i="38"/>
  <c r="A988" i="38"/>
  <c r="A1012" i="38"/>
  <c r="A1035" i="38"/>
  <c r="A1058" i="38"/>
  <c r="A1076" i="38"/>
  <c r="A1099" i="38"/>
  <c r="A1122" i="38"/>
  <c r="A1140" i="38"/>
  <c r="A1163" i="38"/>
  <c r="A1186" i="38"/>
  <c r="A1202" i="38"/>
  <c r="A1218" i="38"/>
  <c r="A1234" i="38"/>
  <c r="A1245" i="38"/>
  <c r="A1259" i="38"/>
  <c r="A1271" i="38"/>
  <c r="A1282" i="38"/>
  <c r="A1292" i="38"/>
  <c r="A1301" i="38"/>
  <c r="A1309" i="38"/>
  <c r="A1317" i="38"/>
  <c r="A1325" i="38"/>
  <c r="A1333" i="38"/>
  <c r="A1341" i="38"/>
  <c r="A1349" i="38"/>
  <c r="A1357" i="38"/>
  <c r="A1365" i="38"/>
  <c r="A1373" i="38"/>
  <c r="A1381" i="38"/>
  <c r="A1389" i="38"/>
  <c r="A1397" i="38"/>
  <c r="A1405" i="38"/>
  <c r="A1413" i="38"/>
  <c r="A1421" i="38"/>
  <c r="A1429" i="38"/>
  <c r="A1437" i="38"/>
  <c r="A1445" i="38"/>
  <c r="A1453" i="38"/>
  <c r="A1461" i="38"/>
  <c r="A1469" i="38"/>
  <c r="A1477" i="38"/>
  <c r="A1485" i="38"/>
  <c r="A1493" i="38"/>
  <c r="A1501" i="38"/>
  <c r="A1509" i="38"/>
  <c r="A1517" i="38"/>
  <c r="A1525" i="38"/>
  <c r="A1533" i="38"/>
  <c r="A1541" i="38"/>
  <c r="A2" i="38"/>
  <c r="A178" i="38"/>
  <c r="A434" i="38"/>
  <c r="A658" i="38"/>
  <c r="A707" i="38"/>
  <c r="A739" i="38"/>
  <c r="A771" i="38"/>
  <c r="A803" i="38"/>
  <c r="A835" i="38"/>
  <c r="A867" i="38"/>
  <c r="A899" i="38"/>
  <c r="A931" i="38"/>
  <c r="A963" i="38"/>
  <c r="A995" i="38"/>
  <c r="A1018" i="38"/>
  <c r="A1036" i="38"/>
  <c r="A1059" i="38"/>
  <c r="A1082" i="38"/>
  <c r="A1100" i="38"/>
  <c r="A1123" i="38"/>
  <c r="A1146" i="38"/>
  <c r="A1164" i="38"/>
  <c r="A1187" i="38"/>
  <c r="A1203" i="38"/>
  <c r="A1219" i="38"/>
  <c r="A1235" i="38"/>
  <c r="A1249" i="38"/>
  <c r="A1260" i="38"/>
  <c r="A1273" i="38"/>
  <c r="A1283" i="38"/>
  <c r="A1293" i="38"/>
  <c r="A1302" i="38"/>
  <c r="A1310" i="38"/>
  <c r="A1318" i="38"/>
  <c r="A1326" i="38"/>
  <c r="A1334" i="38"/>
  <c r="A1342" i="38"/>
  <c r="A1350" i="38"/>
  <c r="A1358" i="38"/>
  <c r="A1366" i="38"/>
  <c r="A1374" i="38"/>
  <c r="A1382" i="38"/>
  <c r="A1390" i="38"/>
  <c r="A1398" i="38"/>
  <c r="A1406" i="38"/>
  <c r="A1414" i="38"/>
  <c r="A1422" i="38"/>
  <c r="A1430" i="38"/>
  <c r="A1438" i="38"/>
  <c r="A1446" i="38"/>
  <c r="A1454" i="38"/>
  <c r="A1462" i="38"/>
  <c r="A1470" i="38"/>
  <c r="A1478" i="38"/>
  <c r="A1486" i="38"/>
  <c r="A1494" i="38"/>
  <c r="A1502" i="38"/>
  <c r="A1510" i="38"/>
  <c r="A1518" i="38"/>
  <c r="A1526" i="38"/>
  <c r="A1534" i="38"/>
  <c r="A1542" i="38"/>
  <c r="A186" i="38"/>
  <c r="A442" i="38"/>
  <c r="A662" i="38"/>
  <c r="A708" i="38"/>
  <c r="A740" i="38"/>
  <c r="A772" i="38"/>
  <c r="A804" i="38"/>
  <c r="A836" i="38"/>
  <c r="A868" i="38"/>
  <c r="A900" i="38"/>
  <c r="A932" i="38"/>
  <c r="A964" i="38"/>
  <c r="A996" i="38"/>
  <c r="A1019" i="38"/>
  <c r="A1042" i="38"/>
  <c r="A1060" i="38"/>
  <c r="A1083" i="38"/>
  <c r="A1106" i="38"/>
  <c r="A1124" i="38"/>
  <c r="A1147" i="38"/>
  <c r="A1170" i="38"/>
  <c r="A1188" i="38"/>
  <c r="A1204" i="38"/>
  <c r="A1220" i="38"/>
  <c r="A1236" i="38"/>
  <c r="A1250" i="38"/>
  <c r="A1261" i="38"/>
  <c r="A1274" i="38"/>
  <c r="A1284" i="38"/>
  <c r="A1295" i="38"/>
  <c r="A1303" i="38"/>
  <c r="A1311" i="38"/>
  <c r="A1319" i="38"/>
  <c r="A1327" i="38"/>
  <c r="A1335" i="38"/>
  <c r="A1343" i="38"/>
  <c r="A1351" i="38"/>
  <c r="A1359" i="38"/>
  <c r="A1367" i="38"/>
  <c r="A1375" i="38"/>
  <c r="A1383" i="38"/>
  <c r="A1391" i="38"/>
  <c r="A1399" i="38"/>
  <c r="A1407" i="38"/>
  <c r="A1415" i="38"/>
  <c r="A1423" i="38"/>
  <c r="A1431" i="38"/>
  <c r="A1439" i="38"/>
  <c r="A1447" i="38"/>
  <c r="A1455" i="38"/>
  <c r="A1463" i="38"/>
  <c r="A1471" i="38"/>
  <c r="A1479" i="38"/>
  <c r="A1487" i="38"/>
  <c r="A1495" i="38"/>
  <c r="A1503" i="38"/>
  <c r="A1511" i="38"/>
  <c r="A1519" i="38"/>
  <c r="A1527" i="38"/>
  <c r="A1535" i="38"/>
  <c r="A1543" i="38"/>
  <c r="A242" i="38"/>
  <c r="A498" i="38"/>
  <c r="A683" i="38"/>
  <c r="A715" i="38"/>
  <c r="A747" i="38"/>
  <c r="A779" i="38"/>
  <c r="A811" i="38"/>
  <c r="A843" i="38"/>
  <c r="A875" i="38"/>
  <c r="A907" i="38"/>
  <c r="A939" i="38"/>
  <c r="A971" i="38"/>
  <c r="A1002" i="38"/>
  <c r="A1020" i="38"/>
  <c r="A1043" i="38"/>
  <c r="A1066" i="38"/>
  <c r="A1084" i="38"/>
  <c r="A1107" i="38"/>
  <c r="A1130" i="38"/>
  <c r="A1148" i="38"/>
  <c r="A1171" i="38"/>
  <c r="A1189" i="38"/>
  <c r="A1205" i="38"/>
  <c r="A1221" i="38"/>
  <c r="A1237" i="38"/>
  <c r="A1251" i="38"/>
  <c r="A1265" i="38"/>
  <c r="A1275" i="38"/>
  <c r="A1285" i="38"/>
  <c r="A1296" i="38"/>
  <c r="A1304" i="38"/>
  <c r="A1312" i="38"/>
  <c r="A1320" i="38"/>
  <c r="A1328" i="38"/>
  <c r="A1336" i="38"/>
  <c r="A1344" i="38"/>
  <c r="A1352" i="38"/>
  <c r="A1360" i="38"/>
  <c r="A1368" i="38"/>
  <c r="A1376" i="38"/>
  <c r="A1384" i="38"/>
  <c r="A1392" i="38"/>
  <c r="A1400" i="38"/>
  <c r="A1408" i="38"/>
  <c r="A1416" i="38"/>
  <c r="A1424" i="38"/>
  <c r="A1432" i="38"/>
  <c r="A1440" i="38"/>
  <c r="A1448" i="38"/>
  <c r="A1456" i="38"/>
  <c r="A1464" i="38"/>
  <c r="A1472" i="38"/>
  <c r="A1480" i="38"/>
  <c r="A1488" i="38"/>
  <c r="A1496" i="38"/>
  <c r="A1504" i="38"/>
  <c r="A1512" i="38"/>
  <c r="A1520" i="38"/>
  <c r="A1528" i="38"/>
  <c r="A1536" i="38"/>
  <c r="A1544" i="38"/>
  <c r="A250" i="38"/>
  <c r="A506" i="38"/>
  <c r="A684" i="38"/>
  <c r="A716" i="38"/>
  <c r="A748" i="38"/>
  <c r="A780" i="38"/>
  <c r="A812" i="38"/>
  <c r="A844" i="38"/>
  <c r="A876" i="38"/>
  <c r="A908" i="38"/>
  <c r="A940" i="38"/>
  <c r="A972" i="38"/>
  <c r="A1003" i="38"/>
  <c r="A1026" i="38"/>
  <c r="A1044" i="38"/>
  <c r="A1067" i="38"/>
  <c r="A1090" i="38"/>
  <c r="A1108" i="38"/>
  <c r="A1131" i="38"/>
  <c r="A1154" i="38"/>
  <c r="A1172" i="38"/>
  <c r="A1194" i="38"/>
  <c r="A1210" i="38"/>
  <c r="A1226" i="38"/>
  <c r="A1241" i="38"/>
  <c r="A1252" i="38"/>
  <c r="A1266" i="38"/>
  <c r="A1276" i="38"/>
  <c r="A1287" i="38"/>
  <c r="A1297" i="38"/>
  <c r="A1305" i="38"/>
  <c r="A1313" i="38"/>
  <c r="A1321" i="38"/>
  <c r="A1329" i="38"/>
  <c r="A1337" i="38"/>
  <c r="A1345" i="38"/>
  <c r="A1353" i="38"/>
  <c r="A1361" i="38"/>
  <c r="A1369" i="38"/>
  <c r="A1377" i="38"/>
  <c r="A1385" i="38"/>
  <c r="A1393" i="38"/>
  <c r="A1401" i="38"/>
  <c r="A1409" i="38"/>
  <c r="A1417" i="38"/>
  <c r="A1425" i="38"/>
  <c r="A1433" i="38"/>
  <c r="A1441" i="38"/>
  <c r="A1449" i="38"/>
  <c r="A1457" i="38"/>
  <c r="A1465" i="38"/>
  <c r="A1473" i="38"/>
  <c r="A1481" i="38"/>
  <c r="A1489" i="38"/>
  <c r="A1497" i="38"/>
  <c r="A1505" i="38"/>
  <c r="A1513" i="38"/>
  <c r="A1521" i="38"/>
  <c r="A1529" i="38"/>
  <c r="A1537" i="38"/>
  <c r="A1545" i="38"/>
  <c r="H211" i="37"/>
  <c r="H236" i="37"/>
  <c r="H238" i="37"/>
  <c r="H248" i="37"/>
  <c r="H232" i="37"/>
  <c r="H215" i="37"/>
  <c r="H237" i="37"/>
  <c r="H216" i="37"/>
  <c r="H217" i="37"/>
  <c r="H239" i="37"/>
  <c r="H226" i="37"/>
  <c r="H254" i="37"/>
  <c r="H218" i="37"/>
  <c r="H240" i="37"/>
  <c r="H222" i="37"/>
  <c r="H253" i="37"/>
  <c r="H255" i="37"/>
  <c r="H219" i="37"/>
  <c r="H241" i="37"/>
  <c r="H244" i="37"/>
  <c r="H249" i="37"/>
  <c r="H233" i="37"/>
  <c r="H220" i="37"/>
  <c r="H242" i="37"/>
  <c r="H243" i="37"/>
  <c r="H221" i="37"/>
  <c r="H223" i="37"/>
  <c r="H245" i="37"/>
  <c r="H227" i="37"/>
  <c r="H228" i="37"/>
  <c r="H231" i="37"/>
  <c r="H234" i="37"/>
  <c r="H224" i="37"/>
  <c r="H246" i="37"/>
  <c r="H225" i="37"/>
  <c r="H247" i="37"/>
  <c r="H250" i="37"/>
  <c r="H235" i="37"/>
  <c r="H229" i="37"/>
  <c r="H251" i="37"/>
  <c r="H230" i="37"/>
  <c r="H252" i="37"/>
  <c r="H256" i="37"/>
  <c r="H210" i="37"/>
  <c r="H214" i="37"/>
  <c r="H213" i="37"/>
  <c r="H212" i="37"/>
  <c r="H209" i="37"/>
  <c r="H208" i="37"/>
  <c r="H3" i="37"/>
  <c r="H25" i="37"/>
  <c r="H47" i="37"/>
  <c r="H68" i="37"/>
  <c r="H90" i="37"/>
  <c r="H112" i="37"/>
  <c r="H134" i="37"/>
  <c r="H156" i="37"/>
  <c r="H178" i="37"/>
  <c r="H200" i="37"/>
  <c r="H4" i="37"/>
  <c r="H26" i="37"/>
  <c r="H48" i="37"/>
  <c r="H69" i="37"/>
  <c r="H91" i="37"/>
  <c r="H113" i="37"/>
  <c r="H135" i="37"/>
  <c r="H157" i="37"/>
  <c r="H179" i="37"/>
  <c r="H201" i="37"/>
  <c r="H5" i="37"/>
  <c r="H27" i="37"/>
  <c r="H49" i="37"/>
  <c r="H70" i="37"/>
  <c r="H92" i="37"/>
  <c r="H114" i="37"/>
  <c r="H136" i="37"/>
  <c r="H158" i="37"/>
  <c r="H180" i="37"/>
  <c r="H202" i="37"/>
  <c r="H6" i="37"/>
  <c r="H28" i="37"/>
  <c r="H50" i="37"/>
  <c r="H71" i="37"/>
  <c r="H93" i="37"/>
  <c r="H115" i="37"/>
  <c r="H137" i="37"/>
  <c r="H159" i="37"/>
  <c r="H181" i="37"/>
  <c r="H203" i="37"/>
  <c r="H9" i="37"/>
  <c r="H10" i="37"/>
  <c r="H32" i="37"/>
  <c r="H54" i="37"/>
  <c r="H75" i="37"/>
  <c r="H97" i="37"/>
  <c r="H119" i="37"/>
  <c r="H141" i="37"/>
  <c r="H163" i="37"/>
  <c r="H185" i="37"/>
  <c r="H207" i="37"/>
  <c r="H18" i="37"/>
  <c r="H40" i="37"/>
  <c r="H61" i="37"/>
  <c r="H83" i="37"/>
  <c r="H105" i="37"/>
  <c r="H127" i="37"/>
  <c r="H149" i="37"/>
  <c r="H171" i="37"/>
  <c r="H193" i="37"/>
  <c r="H19" i="37"/>
  <c r="H41" i="37"/>
  <c r="H62" i="37"/>
  <c r="H84" i="37"/>
  <c r="H106" i="37"/>
  <c r="H128" i="37"/>
  <c r="H150" i="37"/>
  <c r="H172" i="37"/>
  <c r="H194" i="37"/>
  <c r="H20" i="37"/>
  <c r="H42" i="37"/>
  <c r="H63" i="37"/>
  <c r="H85" i="37"/>
  <c r="H21" i="37"/>
  <c r="H43" i="37"/>
  <c r="H64" i="37"/>
  <c r="H7" i="37"/>
  <c r="H44" i="37"/>
  <c r="H79" i="37"/>
  <c r="H111" i="37"/>
  <c r="H145" i="37"/>
  <c r="H176" i="37"/>
  <c r="H8" i="37"/>
  <c r="H45" i="37"/>
  <c r="H80" i="37"/>
  <c r="H116" i="37"/>
  <c r="H146" i="37"/>
  <c r="H177" i="37"/>
  <c r="H11" i="37"/>
  <c r="H46" i="37"/>
  <c r="H81" i="37"/>
  <c r="H117" i="37"/>
  <c r="H147" i="37"/>
  <c r="H182" i="37"/>
  <c r="H12" i="37"/>
  <c r="H51" i="37"/>
  <c r="H82" i="37"/>
  <c r="H118" i="37"/>
  <c r="H148" i="37"/>
  <c r="H183" i="37"/>
  <c r="H13" i="37"/>
  <c r="H52" i="37"/>
  <c r="H86" i="37"/>
  <c r="H15" i="37"/>
  <c r="H55" i="37"/>
  <c r="H88" i="37"/>
  <c r="H122" i="37"/>
  <c r="H153" i="37"/>
  <c r="H187" i="37"/>
  <c r="H16" i="37"/>
  <c r="H56" i="37"/>
  <c r="H89" i="37"/>
  <c r="H123" i="37"/>
  <c r="H154" i="37"/>
  <c r="H188" i="37"/>
  <c r="H17" i="37"/>
  <c r="H57" i="37"/>
  <c r="H94" i="37"/>
  <c r="H124" i="37"/>
  <c r="H155" i="37"/>
  <c r="H189" i="37"/>
  <c r="H22" i="37"/>
  <c r="H58" i="37"/>
  <c r="H95" i="37"/>
  <c r="H125" i="37"/>
  <c r="H160" i="37"/>
  <c r="H190" i="37"/>
  <c r="H33" i="37"/>
  <c r="H67" i="37"/>
  <c r="H102" i="37"/>
  <c r="H133" i="37"/>
  <c r="H167" i="37"/>
  <c r="H198" i="37"/>
  <c r="H34" i="37"/>
  <c r="H72" i="37"/>
  <c r="H103" i="37"/>
  <c r="H138" i="37"/>
  <c r="H168" i="37"/>
  <c r="H199" i="37"/>
  <c r="H35" i="37"/>
  <c r="H73" i="37"/>
  <c r="H104" i="37"/>
  <c r="H139" i="37"/>
  <c r="H169" i="37"/>
  <c r="H204" i="37"/>
  <c r="H36" i="37"/>
  <c r="H74" i="37"/>
  <c r="H107" i="37"/>
  <c r="H14" i="37"/>
  <c r="H100" i="37"/>
  <c r="H166" i="37"/>
  <c r="H121" i="37"/>
  <c r="H23" i="37"/>
  <c r="H101" i="37"/>
  <c r="H170" i="37"/>
  <c r="H24" i="37"/>
  <c r="H108" i="37"/>
  <c r="H173" i="37"/>
  <c r="H29" i="37"/>
  <c r="H109" i="37"/>
  <c r="H174" i="37"/>
  <c r="H31" i="37"/>
  <c r="H120" i="37"/>
  <c r="H184" i="37"/>
  <c r="H186" i="37"/>
  <c r="H30" i="37"/>
  <c r="H110" i="37"/>
  <c r="H175" i="37"/>
  <c r="H37" i="37"/>
  <c r="H38" i="37"/>
  <c r="H126" i="37"/>
  <c r="H191" i="37"/>
  <c r="H39" i="37"/>
  <c r="H129" i="37"/>
  <c r="H192" i="37"/>
  <c r="H53" i="37"/>
  <c r="H130" i="37"/>
  <c r="H195" i="37"/>
  <c r="H65" i="37"/>
  <c r="H142" i="37"/>
  <c r="H206" i="37"/>
  <c r="H66" i="37"/>
  <c r="H143" i="37"/>
  <c r="H2" i="37"/>
  <c r="H76" i="37"/>
  <c r="H144" i="37"/>
  <c r="H77" i="37"/>
  <c r="H151" i="37"/>
  <c r="H78" i="37"/>
  <c r="H152" i="37"/>
  <c r="H87" i="37"/>
  <c r="H161" i="37"/>
  <c r="H96" i="37"/>
  <c r="H162" i="37"/>
  <c r="H98" i="37"/>
  <c r="H164" i="37"/>
  <c r="H59" i="37"/>
  <c r="H60" i="37"/>
  <c r="H132" i="37"/>
  <c r="H140" i="37"/>
  <c r="H196" i="37"/>
  <c r="H197" i="37"/>
  <c r="H205" i="37"/>
  <c r="H99" i="37"/>
  <c r="H131" i="37"/>
  <c r="H165"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096083</author>
  </authors>
  <commentList>
    <comment ref="G46" authorId="0" shapeId="0" xr:uid="{8F094BE6-DA4D-425E-826C-047ED2ECD830}">
      <text>
        <r>
          <rPr>
            <b/>
            <sz val="9"/>
            <color indexed="81"/>
            <rFont val="ＭＳ Ｐゴシック"/>
            <family val="3"/>
            <charset val="128"/>
          </rPr>
          <t>096083:</t>
        </r>
        <r>
          <rPr>
            <sz val="9"/>
            <color indexed="81"/>
            <rFont val="ＭＳ Ｐゴシック"/>
            <family val="3"/>
            <charset val="128"/>
          </rPr>
          <t xml:space="preserve">
2013/10/29 追加
2014/02/20 DSDクラスタ追加</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096083</author>
  </authors>
  <commentList>
    <comment ref="A366" authorId="0" shapeId="0" xr:uid="{F09FF3CC-B2EF-4594-8D01-C5020C656BFA}">
      <text>
        <r>
          <rPr>
            <b/>
            <sz val="9"/>
            <color indexed="81"/>
            <rFont val="ＭＳ Ｐゴシック"/>
            <family val="3"/>
            <charset val="128"/>
          </rPr>
          <t>096083:</t>
        </r>
        <r>
          <rPr>
            <sz val="9"/>
            <color indexed="81"/>
            <rFont val="ＭＳ Ｐゴシック"/>
            <family val="3"/>
            <charset val="128"/>
          </rPr>
          <t xml:space="preserve">
2013/10/29 追加
2014/02/20 DSDクラスタ追加</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096083</author>
    <author>奥谷 俊平</author>
  </authors>
  <commentList>
    <comment ref="C98" authorId="0" shapeId="0" xr:uid="{7E8E541C-32E0-4B93-B30F-B62E27345AED}">
      <text>
        <r>
          <rPr>
            <b/>
            <sz val="9"/>
            <color indexed="81"/>
            <rFont val="ＭＳ Ｐゴシック"/>
            <family val="3"/>
            <charset val="128"/>
          </rPr>
          <t>096083:</t>
        </r>
        <r>
          <rPr>
            <sz val="9"/>
            <color indexed="81"/>
            <rFont val="ＭＳ Ｐゴシック"/>
            <family val="3"/>
            <charset val="128"/>
          </rPr>
          <t xml:space="preserve">
2013/10/29 追加
2014/02/20 DSDクラスタ追加</t>
        </r>
      </text>
    </comment>
    <comment ref="Q100" authorId="1" shapeId="0" xr:uid="{3FBB1D88-F0DF-4F24-8E0E-1B1B49A78924}">
      <text>
        <r>
          <rPr>
            <b/>
            <sz val="9"/>
            <color indexed="81"/>
            <rFont val="ＭＳ Ｐゴシック"/>
            <family val="3"/>
            <charset val="128"/>
          </rPr>
          <t>奥谷 俊平:</t>
        </r>
        <r>
          <rPr>
            <sz val="9"/>
            <color indexed="81"/>
            <rFont val="ＭＳ Ｐゴシック"/>
            <family val="3"/>
            <charset val="128"/>
          </rPr>
          <t xml:space="preserve">
2014/11/10受</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096083</author>
    <author>奥谷 俊平</author>
  </authors>
  <commentList>
    <comment ref="C98" authorId="0" shapeId="0" xr:uid="{E9EF0E51-1687-4587-9654-35F2FE6F9A8F}">
      <text>
        <r>
          <rPr>
            <b/>
            <sz val="9"/>
            <color indexed="81"/>
            <rFont val="ＭＳ Ｐゴシック"/>
            <family val="3"/>
            <charset val="128"/>
          </rPr>
          <t>096083:</t>
        </r>
        <r>
          <rPr>
            <sz val="9"/>
            <color indexed="81"/>
            <rFont val="ＭＳ Ｐゴシック"/>
            <family val="3"/>
            <charset val="128"/>
          </rPr>
          <t xml:space="preserve">
2013/10/29 追加
2014/02/20 DSDクラスタ追加</t>
        </r>
      </text>
    </comment>
    <comment ref="Q100" authorId="1" shapeId="0" xr:uid="{570A2934-BA52-4939-A258-46B8C3163113}">
      <text>
        <r>
          <rPr>
            <b/>
            <sz val="9"/>
            <color indexed="81"/>
            <rFont val="ＭＳ Ｐゴシック"/>
            <family val="3"/>
            <charset val="128"/>
          </rPr>
          <t>奥谷 俊平:</t>
        </r>
        <r>
          <rPr>
            <sz val="9"/>
            <color indexed="81"/>
            <rFont val="ＭＳ Ｐゴシック"/>
            <family val="3"/>
            <charset val="128"/>
          </rPr>
          <t xml:space="preserve">
2014/11/10受</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63A48C-463F-44CB-B609-7DA4F43B9994}" keepAlive="1" name="クエリ - テーブル2" description="ブック内の 'テーブル2' クエリへの接続です。" type="5" refreshedVersion="8" background="1" saveData="1">
    <dbPr connection="Provider=Microsoft.Mashup.OleDb.1;Data Source=$Workbook$;Location=テーブル2;Extended Properties=&quot;&quot;" command="SELECT * FROM [テーブル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<sst xmlns="http://schemas.openxmlformats.org/spreadsheetml/2006/main" count="11081" uniqueCount="2110">
  <si>
    <t>メインプログラム</t>
    <phoneticPr fontId="1"/>
  </si>
  <si>
    <t>Active</t>
    <phoneticPr fontId="1"/>
  </si>
  <si>
    <t>機種</t>
    <rPh sb="0" eb="2">
      <t>キシュ</t>
    </rPh>
    <phoneticPr fontId="1"/>
  </si>
  <si>
    <t>コントローラ品番(ASSY)</t>
    <rPh sb="6" eb="8">
      <t>ヒンバン</t>
    </rPh>
    <phoneticPr fontId="1"/>
  </si>
  <si>
    <t>帳票No</t>
    <rPh sb="0" eb="2">
      <t>チョウヒョウ</t>
    </rPh>
    <phoneticPr fontId="1"/>
  </si>
  <si>
    <t>備考</t>
    <rPh sb="0" eb="2">
      <t>ビコウ</t>
    </rPh>
    <phoneticPr fontId="1"/>
  </si>
  <si>
    <t>○</t>
    <phoneticPr fontId="1"/>
  </si>
  <si>
    <t>共通</t>
    <rPh sb="0" eb="2">
      <t>キョウツウ</t>
    </rPh>
    <phoneticPr fontId="1"/>
  </si>
  <si>
    <t>17301-44340</t>
    <phoneticPr fontId="1"/>
  </si>
  <si>
    <t>ザウアーダンフォス社製DP250、ファクトリーツールとして使用</t>
    <rPh sb="9" eb="10">
      <t>シャ</t>
    </rPh>
    <rPh sb="10" eb="11">
      <t>セイ</t>
    </rPh>
    <rPh sb="29" eb="31">
      <t>シヨウ</t>
    </rPh>
    <phoneticPr fontId="1"/>
  </si>
  <si>
    <t>E</t>
    <phoneticPr fontId="1"/>
  </si>
  <si>
    <t>5.7'ディスプレイ</t>
    <phoneticPr fontId="1"/>
  </si>
  <si>
    <t>17301-43650</t>
    <phoneticPr fontId="1"/>
  </si>
  <si>
    <t>カメラなし</t>
    <phoneticPr fontId="1"/>
  </si>
  <si>
    <t>17301-43651</t>
    <phoneticPr fontId="1"/>
  </si>
  <si>
    <t>B001137</t>
    <phoneticPr fontId="1"/>
  </si>
  <si>
    <t>カメラあり</t>
    <phoneticPr fontId="1"/>
  </si>
  <si>
    <t>17301-43660</t>
    <phoneticPr fontId="1"/>
  </si>
  <si>
    <t>17301-43661</t>
    <phoneticPr fontId="1"/>
  </si>
  <si>
    <t>17301-43664</t>
    <phoneticPr fontId="1"/>
  </si>
  <si>
    <t>Stage5対応カメラなし</t>
    <rPh sb="6" eb="8">
      <t>タイオウ</t>
    </rPh>
    <phoneticPr fontId="1"/>
  </si>
  <si>
    <t>17301-43665</t>
    <phoneticPr fontId="1"/>
  </si>
  <si>
    <t>Stage5対応カメラあり</t>
    <rPh sb="6" eb="8">
      <t>タイオウ</t>
    </rPh>
    <phoneticPr fontId="1"/>
  </si>
  <si>
    <t>17301-43666</t>
    <phoneticPr fontId="1"/>
  </si>
  <si>
    <t>L5E専用コストダウン品</t>
    <rPh sb="3" eb="5">
      <t>センヨウ</t>
    </rPh>
    <rPh sb="11" eb="12">
      <t>ヒン</t>
    </rPh>
    <phoneticPr fontId="1"/>
  </si>
  <si>
    <t>07143-00044</t>
    <phoneticPr fontId="1"/>
  </si>
  <si>
    <t>C10-4専用</t>
    <rPh sb="5" eb="7">
      <t>センヨウ</t>
    </rPh>
    <phoneticPr fontId="1"/>
  </si>
  <si>
    <t>A12A</t>
    <phoneticPr fontId="1"/>
  </si>
  <si>
    <t>05542-00024</t>
    <phoneticPr fontId="1"/>
  </si>
  <si>
    <t>新規</t>
    <phoneticPr fontId="1"/>
  </si>
  <si>
    <t>05542-00114</t>
    <phoneticPr fontId="1"/>
  </si>
  <si>
    <t>コントローラ切替(MC050-155)</t>
    <phoneticPr fontId="1"/>
  </si>
  <si>
    <t>05542-00147</t>
    <phoneticPr fontId="1"/>
  </si>
  <si>
    <t>イモビライザ追加</t>
    <phoneticPr fontId="1"/>
  </si>
  <si>
    <t>05542-00326</t>
    <phoneticPr fontId="1"/>
  </si>
  <si>
    <t>エコモード変更</t>
    <rPh sb="5" eb="7">
      <t>ヘンコウ</t>
    </rPh>
    <phoneticPr fontId="1"/>
  </si>
  <si>
    <t>A13A</t>
    <phoneticPr fontId="1"/>
  </si>
  <si>
    <t>05542-00173</t>
    <phoneticPr fontId="1"/>
  </si>
  <si>
    <t>新規</t>
  </si>
  <si>
    <t>05542-00411</t>
    <phoneticPr fontId="1"/>
  </si>
  <si>
    <t>第2・4サービス同時操作グリップ設定</t>
    <phoneticPr fontId="1"/>
  </si>
  <si>
    <t>05542-00412</t>
    <phoneticPr fontId="1"/>
  </si>
  <si>
    <t>EN474:2020対応</t>
    <rPh sb="10" eb="12">
      <t>タイオウ</t>
    </rPh>
    <phoneticPr fontId="1"/>
  </si>
  <si>
    <t>A14D-2</t>
    <phoneticPr fontId="1"/>
  </si>
  <si>
    <t>05642-00231</t>
    <phoneticPr fontId="1"/>
  </si>
  <si>
    <t>A14D-2/A14D-3</t>
    <phoneticPr fontId="1"/>
  </si>
  <si>
    <t>05642-00371</t>
    <phoneticPr fontId="1"/>
  </si>
  <si>
    <t>-</t>
    <phoneticPr fontId="1"/>
  </si>
  <si>
    <t>スライドSW異常の閾値変更</t>
    <phoneticPr fontId="1"/>
  </si>
  <si>
    <t>リリース前</t>
    <rPh sb="4" eb="5">
      <t>マエ</t>
    </rPh>
    <phoneticPr fontId="1"/>
  </si>
  <si>
    <t>A14D-4</t>
    <phoneticPr fontId="1"/>
  </si>
  <si>
    <t>05642-00552</t>
    <phoneticPr fontId="1"/>
  </si>
  <si>
    <t>A14FW</t>
    <phoneticPr fontId="1"/>
  </si>
  <si>
    <t>05642-65120</t>
    <phoneticPr fontId="1"/>
  </si>
  <si>
    <t>メイン新規</t>
    <phoneticPr fontId="1"/>
  </si>
  <si>
    <t>05642-00250</t>
    <phoneticPr fontId="1"/>
  </si>
  <si>
    <t>05642-00260</t>
    <phoneticPr fontId="1"/>
  </si>
  <si>
    <t>メイン、4速仕様</t>
    <rPh sb="5" eb="6">
      <t>ソク</t>
    </rPh>
    <rPh sb="6" eb="8">
      <t>シヨウ</t>
    </rPh>
    <phoneticPr fontId="1"/>
  </si>
  <si>
    <t>05642-00207</t>
    <phoneticPr fontId="1"/>
  </si>
  <si>
    <t>走行新規</t>
    <phoneticPr fontId="1"/>
  </si>
  <si>
    <t>05642-00262</t>
    <phoneticPr fontId="1"/>
  </si>
  <si>
    <t>走行、4速仕様</t>
    <rPh sb="0" eb="2">
      <t>ソウコウ</t>
    </rPh>
    <rPh sb="4" eb="5">
      <t>ソク</t>
    </rPh>
    <rPh sb="5" eb="7">
      <t>シヨウ</t>
    </rPh>
    <phoneticPr fontId="1"/>
  </si>
  <si>
    <t>05642-00583</t>
    <phoneticPr fontId="1"/>
  </si>
  <si>
    <t>？</t>
    <phoneticPr fontId="1"/>
  </si>
  <si>
    <t>アフターパーツ用に設定</t>
  </si>
  <si>
    <t>補用</t>
    <rPh sb="0" eb="2">
      <t>ホヨウ</t>
    </rPh>
    <phoneticPr fontId="1"/>
  </si>
  <si>
    <t>05642-00585</t>
    <phoneticPr fontId="1"/>
  </si>
  <si>
    <t>走行(アフターパーツ用に設定)</t>
  </si>
  <si>
    <t>A14GW</t>
    <phoneticPr fontId="1"/>
  </si>
  <si>
    <t>05642-00273</t>
    <phoneticPr fontId="1"/>
  </si>
  <si>
    <t>A14GWHW</t>
    <phoneticPr fontId="1"/>
  </si>
  <si>
    <t>05642-00426</t>
    <phoneticPr fontId="1"/>
  </si>
  <si>
    <t>ファンドライブ変更</t>
    <rPh sb="7" eb="9">
      <t>ヘンコウ</t>
    </rPh>
    <phoneticPr fontId="1"/>
  </si>
  <si>
    <t>05642-00558</t>
    <phoneticPr fontId="1"/>
  </si>
  <si>
    <t>エコモード変更</t>
    <phoneticPr fontId="1"/>
  </si>
  <si>
    <t>05642-00586</t>
    <phoneticPr fontId="1"/>
  </si>
  <si>
    <t>Stage5</t>
    <phoneticPr fontId="1"/>
  </si>
  <si>
    <t>05642-00275</t>
    <phoneticPr fontId="1"/>
  </si>
  <si>
    <t>走行コントローラ</t>
    <phoneticPr fontId="1"/>
  </si>
  <si>
    <t>A14H/I</t>
    <phoneticPr fontId="1"/>
  </si>
  <si>
    <t>05642-00015</t>
    <phoneticPr fontId="1"/>
  </si>
  <si>
    <t>05642-00372</t>
    <phoneticPr fontId="1"/>
  </si>
  <si>
    <t>Huppen対応、コントローラ切替(MC050-155)</t>
    <phoneticPr fontId="1"/>
  </si>
  <si>
    <t>3.20受領20180213</t>
    <rPh sb="4" eb="6">
      <t>ジュリョウ</t>
    </rPh>
    <phoneticPr fontId="1"/>
  </si>
  <si>
    <t>05642-00417</t>
    <phoneticPr fontId="1"/>
  </si>
  <si>
    <t>2.20受領20180213</t>
    <rPh sb="4" eb="6">
      <t>ジュリョウ</t>
    </rPh>
    <phoneticPr fontId="1"/>
  </si>
  <si>
    <t>05642-00483</t>
    <phoneticPr fontId="1"/>
  </si>
  <si>
    <t>Stage5+エコモード</t>
    <phoneticPr fontId="1"/>
  </si>
  <si>
    <t>05642-00602</t>
    <phoneticPr fontId="1"/>
  </si>
  <si>
    <t>Boschコンバル</t>
    <phoneticPr fontId="1"/>
  </si>
  <si>
    <t>保</t>
    <rPh sb="0" eb="1">
      <t>タモツ</t>
    </rPh>
    <phoneticPr fontId="1"/>
  </si>
  <si>
    <t>05642-00455</t>
    <phoneticPr fontId="1"/>
  </si>
  <si>
    <t>ｾﾌﾃｨｽﾀｰﾄ､ｵｰﾄｽﾄｯﾌﾟ無(05642-00372より変更)</t>
    <rPh sb="17" eb="18">
      <t>（</t>
    </rPh>
    <rPh sb="31" eb="33">
      <t>ヘンコウ</t>
    </rPh>
    <rPh sb="33" eb="34">
      <t>）</t>
    </rPh>
    <phoneticPr fontId="1"/>
  </si>
  <si>
    <t>05642-00456</t>
    <phoneticPr fontId="1"/>
  </si>
  <si>
    <t>ｾﾌﾃｨｽﾀｰﾄ､ｵｰﾄｽﾄｯﾌﾟ無(05642-00417より変更)</t>
    <phoneticPr fontId="1"/>
  </si>
  <si>
    <t>05642-00573</t>
    <phoneticPr fontId="1"/>
  </si>
  <si>
    <t>Stage5+パワーモード+セフティスタート有</t>
    <rPh sb="22" eb="23">
      <t>アリ</t>
    </rPh>
    <phoneticPr fontId="1"/>
  </si>
  <si>
    <t>05642-00575</t>
    <phoneticPr fontId="1"/>
  </si>
  <si>
    <t>Stage5+パワーモード+セフティスタート無</t>
    <rPh sb="22" eb="23">
      <t>ナシ</t>
    </rPh>
    <phoneticPr fontId="1"/>
  </si>
  <si>
    <t>A14J</t>
    <phoneticPr fontId="1"/>
  </si>
  <si>
    <t>05642-00505</t>
    <phoneticPr fontId="1"/>
  </si>
  <si>
    <t>Stage5対応</t>
    <phoneticPr fontId="1"/>
  </si>
  <si>
    <t>05642-00606</t>
    <phoneticPr fontId="1"/>
  </si>
  <si>
    <t>AUX1スプール変更対応</t>
    <phoneticPr fontId="1"/>
  </si>
  <si>
    <t>A25E(EU)</t>
    <phoneticPr fontId="1"/>
  </si>
  <si>
    <t>05742-00038</t>
    <phoneticPr fontId="1"/>
  </si>
  <si>
    <t>BALSクラスタ</t>
    <phoneticPr fontId="1"/>
  </si>
  <si>
    <t>05742-00042</t>
    <phoneticPr fontId="1"/>
  </si>
  <si>
    <t>05742-00052</t>
    <phoneticPr fontId="1"/>
  </si>
  <si>
    <t>DSDクラスタ</t>
    <phoneticPr fontId="1"/>
  </si>
  <si>
    <t>A25E(US)</t>
    <phoneticPr fontId="1"/>
  </si>
  <si>
    <t>05742-06450</t>
    <phoneticPr fontId="1"/>
  </si>
  <si>
    <t>05742-00045</t>
    <phoneticPr fontId="1"/>
  </si>
  <si>
    <t>A25EW</t>
    <phoneticPr fontId="1"/>
  </si>
  <si>
    <t>05742-07350</t>
    <phoneticPr fontId="1"/>
  </si>
  <si>
    <t>05742-00048</t>
    <phoneticPr fontId="1"/>
  </si>
  <si>
    <t>モデルチェンジ</t>
    <phoneticPr fontId="1"/>
  </si>
  <si>
    <t>A25F</t>
    <phoneticPr fontId="1"/>
  </si>
  <si>
    <t>05742-00102</t>
    <phoneticPr fontId="1"/>
  </si>
  <si>
    <t>A25FG/A27AB</t>
    <phoneticPr fontId="1"/>
  </si>
  <si>
    <t>05742-00277</t>
    <phoneticPr fontId="1"/>
  </si>
  <si>
    <t>05742-00306</t>
    <phoneticPr fontId="1"/>
  </si>
  <si>
    <t>圧力調整バルブ変更</t>
    <rPh sb="0" eb="2">
      <t>アツリョク</t>
    </rPh>
    <rPh sb="2" eb="4">
      <t>チョウセイ</t>
    </rPh>
    <rPh sb="7" eb="9">
      <t>ヘンコウ</t>
    </rPh>
    <phoneticPr fontId="1"/>
  </si>
  <si>
    <t>05742-00323</t>
    <phoneticPr fontId="1"/>
  </si>
  <si>
    <t>ファン変更</t>
    <rPh sb="3" eb="5">
      <t>ヘンコウ</t>
    </rPh>
    <phoneticPr fontId="1"/>
  </si>
  <si>
    <t>05742-00334</t>
    <phoneticPr fontId="1"/>
  </si>
  <si>
    <t>05742-00335</t>
    <phoneticPr fontId="1"/>
  </si>
  <si>
    <t>エコモード対応</t>
    <phoneticPr fontId="1"/>
  </si>
  <si>
    <t>05742-00359</t>
    <phoneticPr fontId="1"/>
  </si>
  <si>
    <t>C1P33表示不具合対策</t>
    <rPh sb="5" eb="7">
      <t>ヒョウジ</t>
    </rPh>
    <rPh sb="7" eb="10">
      <t>フグアイ</t>
    </rPh>
    <rPh sb="10" eb="12">
      <t>タイサク</t>
    </rPh>
    <phoneticPr fontId="1"/>
  </si>
  <si>
    <t>○</t>
  </si>
  <si>
    <t>05742-00773</t>
    <phoneticPr fontId="1"/>
  </si>
  <si>
    <t>A4E/A4F/J4B</t>
    <phoneticPr fontId="1"/>
  </si>
  <si>
    <t>03442-00020</t>
    <phoneticPr fontId="1"/>
  </si>
  <si>
    <t>03442-00195</t>
    <phoneticPr fontId="1"/>
  </si>
  <si>
    <t>クレーン仕様</t>
    <rPh sb="4" eb="6">
      <t>シヨウ</t>
    </rPh>
    <phoneticPr fontId="1"/>
  </si>
  <si>
    <t>A5F,A7FG,A12B</t>
    <phoneticPr fontId="1"/>
  </si>
  <si>
    <t>03542-00020</t>
    <phoneticPr fontId="1"/>
  </si>
  <si>
    <t>03542-00063</t>
    <phoneticPr fontId="1"/>
  </si>
  <si>
    <t>ｾﾌﾃｨｽﾀｰﾄ､ｵｰﾄｽﾄｯﾌﾟ無</t>
    <rPh sb="17" eb="18">
      <t>ナシ</t>
    </rPh>
    <phoneticPr fontId="1"/>
  </si>
  <si>
    <t>03542-00065</t>
    <phoneticPr fontId="1"/>
  </si>
  <si>
    <t>Stage5対応</t>
    <rPh sb="6" eb="8">
      <t>タイオウ</t>
    </rPh>
    <phoneticPr fontId="1"/>
  </si>
  <si>
    <t>03542-00070</t>
    <phoneticPr fontId="1"/>
  </si>
  <si>
    <t>Stage4、エコモード</t>
    <phoneticPr fontId="1"/>
  </si>
  <si>
    <t>A7G,A12B</t>
    <phoneticPr fontId="1"/>
  </si>
  <si>
    <t>05542-00025</t>
    <phoneticPr fontId="1"/>
  </si>
  <si>
    <t>A12B用新規</t>
    <rPh sb="4" eb="5">
      <t>ヨウ</t>
    </rPh>
    <rPh sb="5" eb="7">
      <t>シンキ</t>
    </rPh>
    <phoneticPr fontId="1"/>
  </si>
  <si>
    <t>A12B</t>
    <phoneticPr fontId="1"/>
  </si>
  <si>
    <t>05542-00083</t>
    <phoneticPr fontId="1"/>
  </si>
  <si>
    <t>フッペン向け新規</t>
    <rPh sb="4" eb="5">
      <t>ム</t>
    </rPh>
    <rPh sb="6" eb="8">
      <t>シンキ</t>
    </rPh>
    <phoneticPr fontId="1"/>
  </si>
  <si>
    <t>05542-00143</t>
    <phoneticPr fontId="1"/>
  </si>
  <si>
    <t>モデルチェンジ(フッペン向けセフティスタート有)</t>
    <phoneticPr fontId="1"/>
  </si>
  <si>
    <t>05542-00425</t>
    <phoneticPr fontId="1"/>
  </si>
  <si>
    <t>サービス流量自動調整機能(03542-00065)</t>
    <rPh sb="4" eb="6">
      <t>リュウリョウ</t>
    </rPh>
    <rPh sb="6" eb="8">
      <t>ジドウ</t>
    </rPh>
    <rPh sb="8" eb="10">
      <t>チョウセイ</t>
    </rPh>
    <rPh sb="10" eb="12">
      <t>キノウ</t>
    </rPh>
    <phoneticPr fontId="2"/>
  </si>
  <si>
    <t>A6E/A9F</t>
    <phoneticPr fontId="1"/>
  </si>
  <si>
    <t>03642-00034</t>
    <phoneticPr fontId="1"/>
  </si>
  <si>
    <t>A9D/A14D/A25D</t>
    <phoneticPr fontId="1"/>
  </si>
  <si>
    <t>05642-57920</t>
    <phoneticPr fontId="1"/>
  </si>
  <si>
    <t>05642-00374</t>
    <phoneticPr fontId="1"/>
  </si>
  <si>
    <t>MC024-110へ切替</t>
    <rPh sb="10" eb="12">
      <t>キリカエ</t>
    </rPh>
    <phoneticPr fontId="1"/>
  </si>
  <si>
    <t>C10-3</t>
    <phoneticPr fontId="1"/>
  </si>
  <si>
    <t>07042-00010</t>
    <phoneticPr fontId="1"/>
  </si>
  <si>
    <t>C10-4</t>
    <phoneticPr fontId="1"/>
  </si>
  <si>
    <t>07042-00059</t>
    <phoneticPr fontId="1"/>
  </si>
  <si>
    <t>C10-5</t>
    <phoneticPr fontId="1"/>
  </si>
  <si>
    <t>07042-00026</t>
    <phoneticPr fontId="1"/>
  </si>
  <si>
    <t>C9-3</t>
    <phoneticPr fontId="1"/>
  </si>
  <si>
    <t>07142-00010</t>
    <phoneticPr fontId="1"/>
  </si>
  <si>
    <t>C9-4</t>
    <phoneticPr fontId="1"/>
  </si>
  <si>
    <t>07142-00057</t>
    <phoneticPr fontId="1"/>
  </si>
  <si>
    <t>C9-5</t>
    <phoneticPr fontId="1"/>
  </si>
  <si>
    <t>07142-00040</t>
    <phoneticPr fontId="1"/>
  </si>
  <si>
    <t>E2F</t>
    <phoneticPr fontId="1"/>
  </si>
  <si>
    <t>03242-00069</t>
    <phoneticPr fontId="1"/>
  </si>
  <si>
    <t>E3F</t>
    <phoneticPr fontId="1"/>
  </si>
  <si>
    <t>03342-00189</t>
    <phoneticPr fontId="1"/>
  </si>
  <si>
    <t>#4～9号機</t>
    <rPh sb="4" eb="6">
      <t>ゴウキ</t>
    </rPh>
    <phoneticPr fontId="1"/>
  </si>
  <si>
    <t>03342-00252</t>
    <phoneticPr fontId="1"/>
  </si>
  <si>
    <t>量産仕様</t>
    <rPh sb="0" eb="2">
      <t>リョウサン</t>
    </rPh>
    <rPh sb="2" eb="4">
      <t>シヨウ</t>
    </rPh>
    <phoneticPr fontId="1"/>
  </si>
  <si>
    <t>03342-00163</t>
    <phoneticPr fontId="1"/>
  </si>
  <si>
    <t>#1~3号機用</t>
    <rPh sb="4" eb="6">
      <t>ゴウキ</t>
    </rPh>
    <rPh sb="6" eb="7">
      <t>ヨウ</t>
    </rPh>
    <phoneticPr fontId="1"/>
  </si>
  <si>
    <t>03342-00130</t>
    <phoneticPr fontId="1"/>
  </si>
  <si>
    <t>E7F</t>
    <phoneticPr fontId="1"/>
  </si>
  <si>
    <t>F10E</t>
    <phoneticPr fontId="1"/>
  </si>
  <si>
    <t>03942-00087</t>
    <phoneticPr fontId="1"/>
  </si>
  <si>
    <t>F14F</t>
    <phoneticPr fontId="1"/>
  </si>
  <si>
    <t>05642-00108</t>
    <phoneticPr fontId="1"/>
  </si>
  <si>
    <t>新規</t>
    <rPh sb="0" eb="2">
      <t>シンキ</t>
    </rPh>
    <phoneticPr fontId="1"/>
  </si>
  <si>
    <t>05642-00373</t>
    <phoneticPr fontId="1"/>
  </si>
  <si>
    <t>ディスプレイ変更</t>
    <rPh sb="6" eb="8">
      <t>ヘンコウ</t>
    </rPh>
    <phoneticPr fontId="1"/>
  </si>
  <si>
    <t>05642-00570</t>
    <phoneticPr fontId="1"/>
  </si>
  <si>
    <t>Stage5、パワーモード(新規設定)</t>
    <rPh sb="14" eb="16">
      <t>シンキ</t>
    </rPh>
    <rPh sb="16" eb="18">
      <t>セッテイ</t>
    </rPh>
    <phoneticPr fontId="1"/>
  </si>
  <si>
    <t>05642-00484</t>
    <phoneticPr fontId="1"/>
  </si>
  <si>
    <t>エコモードに変更</t>
    <rPh sb="6" eb="8">
      <t>ヘンコウ</t>
    </rPh>
    <phoneticPr fontId="1"/>
  </si>
  <si>
    <t>05642-00576</t>
    <phoneticPr fontId="1"/>
  </si>
  <si>
    <t>Stage5対応、パワーモード、セーフティスタートOFF</t>
    <rPh sb="6" eb="8">
      <t>タイオウ</t>
    </rPh>
    <phoneticPr fontId="1"/>
  </si>
  <si>
    <t>05642-00457</t>
    <phoneticPr fontId="1"/>
  </si>
  <si>
    <t>J7B/J10B</t>
    <phoneticPr fontId="1"/>
  </si>
  <si>
    <t>03742-00133</t>
    <phoneticPr fontId="1"/>
  </si>
  <si>
    <t>J7B</t>
    <phoneticPr fontId="1"/>
  </si>
  <si>
    <t>03742-00529</t>
    <phoneticPr fontId="1"/>
  </si>
  <si>
    <t>J7Bのみ品番変更操作性改善</t>
    <rPh sb="5" eb="7">
      <t>ヒンバン</t>
    </rPh>
    <rPh sb="7" eb="9">
      <t>ヘンコウ</t>
    </rPh>
    <rPh sb="9" eb="12">
      <t>ソウサセイ</t>
    </rPh>
    <rPh sb="12" eb="14">
      <t>カイゼン</t>
    </rPh>
    <phoneticPr fontId="1"/>
  </si>
  <si>
    <t>L5E</t>
    <phoneticPr fontId="1"/>
  </si>
  <si>
    <t>06542-00076</t>
    <phoneticPr fontId="1"/>
  </si>
  <si>
    <t>06542-00132</t>
    <phoneticPr fontId="1"/>
  </si>
  <si>
    <t>L6E</t>
    <phoneticPr fontId="1"/>
  </si>
  <si>
    <t>06642-00116</t>
    <phoneticPr fontId="1"/>
  </si>
  <si>
    <t>ハンドルの中立異常エラー対策</t>
    <rPh sb="5" eb="7">
      <t>チュウリツ</t>
    </rPh>
    <rPh sb="7" eb="9">
      <t>イジョウ</t>
    </rPh>
    <rPh sb="12" eb="14">
      <t>タイサク</t>
    </rPh>
    <phoneticPr fontId="1"/>
  </si>
  <si>
    <t>06642-00175</t>
    <phoneticPr fontId="1"/>
  </si>
  <si>
    <r>
      <t>L6E/L8C</t>
    </r>
    <r>
      <rPr>
        <strike/>
        <sz val="14"/>
        <rFont val="Arial Unicode MS"/>
        <family val="3"/>
        <charset val="128"/>
      </rPr>
      <t>/L9C</t>
    </r>
    <phoneticPr fontId="1"/>
  </si>
  <si>
    <t>06942-05320</t>
    <phoneticPr fontId="1"/>
  </si>
  <si>
    <t>L9C</t>
    <phoneticPr fontId="1"/>
  </si>
  <si>
    <t>06942-00234</t>
    <phoneticPr fontId="1"/>
  </si>
  <si>
    <t>L9C振動対策用</t>
    <rPh sb="3" eb="5">
      <t>シンドウ</t>
    </rPh>
    <rPh sb="5" eb="8">
      <t>タイサクヨウ</t>
    </rPh>
    <phoneticPr fontId="1"/>
  </si>
  <si>
    <t>06942-00365</t>
    <phoneticPr fontId="1"/>
  </si>
  <si>
    <t>L6F</t>
    <phoneticPr fontId="1"/>
  </si>
  <si>
    <t>06642-00161</t>
    <phoneticPr fontId="1"/>
  </si>
  <si>
    <t>L8E/L9E</t>
    <phoneticPr fontId="1"/>
  </si>
  <si>
    <t>06942-00019</t>
    <phoneticPr fontId="1"/>
  </si>
  <si>
    <t>メイン</t>
    <phoneticPr fontId="1"/>
  </si>
  <si>
    <t>06942-00290</t>
    <phoneticPr fontId="1"/>
  </si>
  <si>
    <t>06942-00371</t>
    <phoneticPr fontId="1"/>
  </si>
  <si>
    <t>メイン Stage5対応</t>
    <rPh sb="10" eb="12">
      <t>タイオウ</t>
    </rPh>
    <phoneticPr fontId="1"/>
  </si>
  <si>
    <t>06942-00021</t>
    <phoneticPr fontId="1"/>
  </si>
  <si>
    <t>サブ</t>
    <phoneticPr fontId="1"/>
  </si>
  <si>
    <t>L8EV</t>
    <phoneticPr fontId="1"/>
  </si>
  <si>
    <t>06842-00230</t>
  </si>
  <si>
    <t>メイン　自動変速仕様</t>
    <rPh sb="4" eb="6">
      <t>ジドウ</t>
    </rPh>
    <rPh sb="6" eb="8">
      <t>ヘンソク</t>
    </rPh>
    <rPh sb="8" eb="10">
      <t>シヨウ</t>
    </rPh>
    <phoneticPr fontId="2"/>
  </si>
  <si>
    <t>06842-00234</t>
  </si>
  <si>
    <t>サブ　自動変速仕様</t>
    <rPh sb="3" eb="5">
      <t>ジドウ</t>
    </rPh>
    <rPh sb="5" eb="7">
      <t>ヘンソク</t>
    </rPh>
    <rPh sb="7" eb="9">
      <t>シヨウ</t>
    </rPh>
    <phoneticPr fontId="2"/>
  </si>
  <si>
    <t>06842-00220</t>
  </si>
  <si>
    <t>メイン　グレーダー仕様</t>
    <rPh sb="9" eb="11">
      <t>シヨウ</t>
    </rPh>
    <phoneticPr fontId="2"/>
  </si>
  <si>
    <t>L85G</t>
    <phoneticPr fontId="1"/>
  </si>
  <si>
    <t>06842-00258</t>
    <phoneticPr fontId="1"/>
  </si>
  <si>
    <t>A14IW</t>
    <phoneticPr fontId="1"/>
  </si>
  <si>
    <t>05642-00683</t>
    <phoneticPr fontId="1"/>
  </si>
  <si>
    <t>05642-00924</t>
    <phoneticPr fontId="1"/>
  </si>
  <si>
    <t>メイン(20km/h仕様)</t>
    <rPh sb="10" eb="12">
      <t>シヨウ</t>
    </rPh>
    <phoneticPr fontId="1"/>
  </si>
  <si>
    <t>05642-00998</t>
    <phoneticPr fontId="1"/>
  </si>
  <si>
    <t>メイン(EN474:2020対応)</t>
    <rPh sb="14" eb="16">
      <t>タイオウ</t>
    </rPh>
    <phoneticPr fontId="1"/>
  </si>
  <si>
    <t>05642-00999</t>
    <phoneticPr fontId="1"/>
  </si>
  <si>
    <t>メイン(EN474:2020対応、20km/h仕様)</t>
    <rPh sb="14" eb="16">
      <t>タイオウ</t>
    </rPh>
    <rPh sb="23" eb="25">
      <t>シヨウ</t>
    </rPh>
    <phoneticPr fontId="1"/>
  </si>
  <si>
    <t>05642-00684</t>
    <phoneticPr fontId="1"/>
  </si>
  <si>
    <t>05642-00685</t>
    <phoneticPr fontId="1"/>
  </si>
  <si>
    <t>下部体</t>
    <rPh sb="0" eb="2">
      <t>カブ</t>
    </rPh>
    <rPh sb="2" eb="3">
      <t>タイ</t>
    </rPh>
    <phoneticPr fontId="1"/>
  </si>
  <si>
    <t>A13AW</t>
    <phoneticPr fontId="1"/>
  </si>
  <si>
    <t>05542-00549</t>
    <phoneticPr fontId="1"/>
  </si>
  <si>
    <t>05542-00639</t>
    <phoneticPr fontId="1"/>
  </si>
  <si>
    <t>05542-00559</t>
  </si>
  <si>
    <t>05542-00651</t>
  </si>
  <si>
    <t>EN474:2020対応(20km/h仕様)</t>
    <rPh sb="10" eb="12">
      <t>タイオウ</t>
    </rPh>
    <rPh sb="19" eb="21">
      <t>シヨウ</t>
    </rPh>
    <phoneticPr fontId="1"/>
  </si>
  <si>
    <t>品番</t>
    <rPh sb="0" eb="2">
      <t>ヒンバン</t>
    </rPh>
    <phoneticPr fontId="1"/>
  </si>
  <si>
    <t>Δ</t>
    <phoneticPr fontId="1"/>
  </si>
  <si>
    <t>Version</t>
    <phoneticPr fontId="1"/>
  </si>
  <si>
    <t>PLUS1(プログラムなし）</t>
    <phoneticPr fontId="1"/>
  </si>
  <si>
    <t>プログラム</t>
    <phoneticPr fontId="1"/>
  </si>
  <si>
    <t>パラメータファイル</t>
    <phoneticPr fontId="1"/>
  </si>
  <si>
    <t>設計変更理由</t>
    <rPh sb="0" eb="2">
      <t>セッケイ</t>
    </rPh>
    <rPh sb="2" eb="4">
      <t>ヘンコウ</t>
    </rPh>
    <rPh sb="4" eb="6">
      <t>リユウ</t>
    </rPh>
    <phoneticPr fontId="1"/>
  </si>
  <si>
    <t>PSW</t>
    <phoneticPr fontId="1"/>
  </si>
  <si>
    <t>Application ID</t>
    <phoneticPr fontId="1"/>
  </si>
  <si>
    <t>17301-43350(DP250)</t>
    <phoneticPr fontId="1"/>
  </si>
  <si>
    <t>M001181</t>
    <phoneticPr fontId="1"/>
  </si>
  <si>
    <t>HWDアップデート(1.00→1.01)</t>
    <phoneticPr fontId="1"/>
  </si>
  <si>
    <t>A12A</t>
  </si>
  <si>
    <t>V1.09</t>
    <phoneticPr fontId="1"/>
  </si>
  <si>
    <t>V2.12</t>
    <phoneticPr fontId="1"/>
  </si>
  <si>
    <t>V3.13</t>
    <phoneticPr fontId="1"/>
  </si>
  <si>
    <t>V4.05</t>
    <phoneticPr fontId="1"/>
  </si>
  <si>
    <t>A13A</t>
  </si>
  <si>
    <t>V1.15</t>
    <phoneticPr fontId="1"/>
  </si>
  <si>
    <t>V3.01</t>
    <phoneticPr fontId="1"/>
  </si>
  <si>
    <t>V1.06</t>
    <phoneticPr fontId="1"/>
  </si>
  <si>
    <t>17301-43360(MC050-055)</t>
    <phoneticPr fontId="1"/>
  </si>
  <si>
    <t>05642_00232_V106</t>
    <phoneticPr fontId="1"/>
  </si>
  <si>
    <t>05642_00233_V106</t>
    <phoneticPr fontId="1"/>
  </si>
  <si>
    <t>A14D-2/A14D-3</t>
  </si>
  <si>
    <t>05642-00371</t>
  </si>
  <si>
    <t>V2.03</t>
    <phoneticPr fontId="1"/>
  </si>
  <si>
    <t>17301-43361(MC050-155)</t>
    <phoneticPr fontId="1"/>
  </si>
  <si>
    <t>0564200371v203</t>
    <phoneticPr fontId="1"/>
  </si>
  <si>
    <t>0564200371rop_v203</t>
    <phoneticPr fontId="1"/>
  </si>
  <si>
    <t>V2.04</t>
  </si>
  <si>
    <t>05642-00371v204</t>
    <phoneticPr fontId="1"/>
  </si>
  <si>
    <t>0564200371rop_v204</t>
    <phoneticPr fontId="1"/>
  </si>
  <si>
    <t>V0.02</t>
    <phoneticPr fontId="1"/>
  </si>
  <si>
    <t>- (部品番号と同一)</t>
    <phoneticPr fontId="1"/>
  </si>
  <si>
    <t>V1.21</t>
    <phoneticPr fontId="1"/>
  </si>
  <si>
    <t>0564265121_v121</t>
    <phoneticPr fontId="1"/>
  </si>
  <si>
    <t>0564265122_v121</t>
    <phoneticPr fontId="1"/>
  </si>
  <si>
    <t>17301-43361(MC050-155)</t>
  </si>
  <si>
    <t>05642-00251</t>
    <phoneticPr fontId="1"/>
  </si>
  <si>
    <t>05642-00252</t>
    <phoneticPr fontId="1"/>
  </si>
  <si>
    <t>ベルホエーベン要望反映</t>
    <rPh sb="7" eb="9">
      <t>ヨウボウ</t>
    </rPh>
    <rPh sb="9" eb="11">
      <t>ハンエイ</t>
    </rPh>
    <phoneticPr fontId="1"/>
  </si>
  <si>
    <t>V2.14</t>
    <phoneticPr fontId="1"/>
  </si>
  <si>
    <t>0564200251v214</t>
    <phoneticPr fontId="1"/>
  </si>
  <si>
    <t>0564200252v214</t>
    <phoneticPr fontId="1"/>
  </si>
  <si>
    <t>17301-43710(MC024-020)</t>
    <phoneticPr fontId="1"/>
  </si>
  <si>
    <t>05642-00208</t>
    <phoneticPr fontId="1"/>
  </si>
  <si>
    <t>05642-00209</t>
    <phoneticPr fontId="1"/>
  </si>
  <si>
    <t>走行コントローラ</t>
    <rPh sb="0" eb="2">
      <t>ソウコウ</t>
    </rPh>
    <phoneticPr fontId="1"/>
  </si>
  <si>
    <t>←どこにも紐づいていない</t>
  </si>
  <si>
    <t>V1.03</t>
    <phoneticPr fontId="1"/>
  </si>
  <si>
    <t>V2.00</t>
  </si>
  <si>
    <t>17301-43711(MC024-120)</t>
  </si>
  <si>
    <t>05642-00274</t>
    <phoneticPr fontId="1"/>
  </si>
  <si>
    <t>V1.07</t>
    <phoneticPr fontId="1"/>
  </si>
  <si>
    <t>V1.08</t>
    <phoneticPr fontId="1"/>
  </si>
  <si>
    <t>A14GW/HW</t>
    <phoneticPr fontId="1"/>
  </si>
  <si>
    <t>(1903)ファンドライブ変更/(1904)新規</t>
    <rPh sb="13" eb="15">
      <t>ヘンコウ</t>
    </rPh>
    <rPh sb="22" eb="24">
      <t>シンキ</t>
    </rPh>
    <phoneticPr fontId="1"/>
  </si>
  <si>
    <t>V3.32</t>
    <phoneticPr fontId="1"/>
  </si>
  <si>
    <t>V4.06</t>
    <phoneticPr fontId="1"/>
  </si>
  <si>
    <t>V5.11</t>
    <phoneticPr fontId="1"/>
  </si>
  <si>
    <t>走行用コントローラ</t>
    <rPh sb="0" eb="3">
      <t>ソウコウヨウ</t>
    </rPh>
    <phoneticPr fontId="1"/>
  </si>
  <si>
    <t>V1.13</t>
    <phoneticPr fontId="1"/>
  </si>
  <si>
    <t>17301-43721(SC024-120)</t>
    <phoneticPr fontId="1"/>
  </si>
  <si>
    <t>←Historyには1.06[FIX]がNGとなっていた為、1.05しました</t>
    <phoneticPr fontId="1"/>
  </si>
  <si>
    <t>V1.05</t>
    <phoneticPr fontId="1"/>
  </si>
  <si>
    <t>0564200016_06</t>
    <phoneticPr fontId="1"/>
  </si>
  <si>
    <t>0564200017_06</t>
    <phoneticPr fontId="1"/>
  </si>
  <si>
    <t>(huppen対応品)第2サービス回路の変更</t>
    <rPh sb="7" eb="9">
      <t>タイオウ</t>
    </rPh>
    <rPh sb="9" eb="10">
      <t>ヒン</t>
    </rPh>
    <rPh sb="11" eb="12">
      <t>ダイ</t>
    </rPh>
    <rPh sb="17" eb="19">
      <t>カイロ</t>
    </rPh>
    <rPh sb="20" eb="22">
      <t>ヘンコウ</t>
    </rPh>
    <phoneticPr fontId="1"/>
  </si>
  <si>
    <t>3.20送付済20171215</t>
    <rPh sb="4" eb="6">
      <t>ソウフ</t>
    </rPh>
    <rPh sb="6" eb="7">
      <t>ズ</t>
    </rPh>
    <phoneticPr fontId="1"/>
  </si>
  <si>
    <t>フッペン第2サービス変更</t>
    <rPh sb="4" eb="5">
      <t>ダイ</t>
    </rPh>
    <rPh sb="10" eb="12">
      <t>ヘンコウ</t>
    </rPh>
    <phoneticPr fontId="1"/>
  </si>
  <si>
    <t>V3.55</t>
    <phoneticPr fontId="1"/>
  </si>
  <si>
    <t>0564200372v355</t>
    <phoneticPr fontId="1"/>
  </si>
  <si>
    <t>0564200372v355</t>
  </si>
  <si>
    <t>ディスプレイのモデルチェンジ</t>
    <phoneticPr fontId="1"/>
  </si>
  <si>
    <t>2.20送付済20171215</t>
    <rPh sb="4" eb="6">
      <t>ソウフ</t>
    </rPh>
    <rPh sb="6" eb="7">
      <t>ズ</t>
    </rPh>
    <phoneticPr fontId="1"/>
  </si>
  <si>
    <t>モデルチェンジ品（フッペン以外）</t>
    <rPh sb="7" eb="8">
      <t>ヒン</t>
    </rPh>
    <rPh sb="13" eb="15">
      <t>イガイ</t>
    </rPh>
    <phoneticPr fontId="1"/>
  </si>
  <si>
    <t>V2.33</t>
    <phoneticPr fontId="1"/>
  </si>
  <si>
    <t>0564200417V233</t>
    <phoneticPr fontId="1"/>
  </si>
  <si>
    <t>0564200417rop_v233</t>
    <phoneticPr fontId="1"/>
  </si>
  <si>
    <t>V4.16</t>
    <phoneticPr fontId="1"/>
  </si>
  <si>
    <t>0564200483V416</t>
    <phoneticPr fontId="1"/>
  </si>
  <si>
    <t>0564200483rop_v416</t>
    <phoneticPr fontId="1"/>
  </si>
  <si>
    <t>Bosch製コンバル</t>
    <rPh sb="5" eb="6">
      <t>セイ</t>
    </rPh>
    <phoneticPr fontId="1"/>
  </si>
  <si>
    <t>V5.16</t>
    <phoneticPr fontId="1"/>
  </si>
  <si>
    <t>0564200602V516</t>
    <phoneticPr fontId="1"/>
  </si>
  <si>
    <t>0564200602rop_v516</t>
    <phoneticPr fontId="1"/>
  </si>
  <si>
    <t>V2.86</t>
    <phoneticPr fontId="1"/>
  </si>
  <si>
    <t>0564200455V286</t>
    <phoneticPr fontId="1"/>
  </si>
  <si>
    <t>0564200455rop_v286</t>
    <phoneticPr fontId="1"/>
  </si>
  <si>
    <t>2.82送付済20171215</t>
    <rPh sb="4" eb="6">
      <t>ソウフ</t>
    </rPh>
    <rPh sb="6" eb="7">
      <t>ズ</t>
    </rPh>
    <phoneticPr fontId="1"/>
  </si>
  <si>
    <t>アフターパーツ扱い フッペン第2サービス変更</t>
    <rPh sb="14" eb="15">
      <t>ダイ</t>
    </rPh>
    <rPh sb="20" eb="22">
      <t>ヘンコウ</t>
    </rPh>
    <phoneticPr fontId="1"/>
  </si>
  <si>
    <t>V1.86</t>
    <phoneticPr fontId="1"/>
  </si>
  <si>
    <t>0564200456V186</t>
    <phoneticPr fontId="1"/>
  </si>
  <si>
    <t>0564200456rop_v186</t>
  </si>
  <si>
    <t>1.82送付済20171215</t>
    <rPh sb="4" eb="6">
      <t>ソウフ</t>
    </rPh>
    <rPh sb="6" eb="7">
      <t>ズ</t>
    </rPh>
    <phoneticPr fontId="1"/>
  </si>
  <si>
    <t>アフターパーツ扱い モデルチェンジ品（フッペン以外）</t>
    <rPh sb="17" eb="18">
      <t>ヒン</t>
    </rPh>
    <rPh sb="23" eb="25">
      <t>イガイ</t>
    </rPh>
    <phoneticPr fontId="1"/>
  </si>
  <si>
    <t>V3.82</t>
    <phoneticPr fontId="1"/>
  </si>
  <si>
    <t>0564200573V382</t>
    <phoneticPr fontId="1"/>
  </si>
  <si>
    <t>0564200573rop_v382</t>
    <phoneticPr fontId="1"/>
  </si>
  <si>
    <t>アフターパーツ扱い　Stage5エンジンを供給した場合用</t>
    <rPh sb="7" eb="8">
      <t>アツカ</t>
    </rPh>
    <rPh sb="21" eb="23">
      <t>キョウキュウ</t>
    </rPh>
    <rPh sb="25" eb="27">
      <t>バアイ</t>
    </rPh>
    <rPh sb="27" eb="28">
      <t>ヨウ</t>
    </rPh>
    <phoneticPr fontId="1"/>
  </si>
  <si>
    <t>V3.92</t>
    <phoneticPr fontId="1"/>
  </si>
  <si>
    <t>0564200575V391</t>
    <phoneticPr fontId="1"/>
  </si>
  <si>
    <t>0564200575rop_v391</t>
    <phoneticPr fontId="1"/>
  </si>
  <si>
    <t>AUX1スプール変更対応</t>
    <rPh sb="8" eb="10">
      <t>ヘンコウ</t>
    </rPh>
    <rPh sb="10" eb="12">
      <t>タイオウ</t>
    </rPh>
    <phoneticPr fontId="1"/>
  </si>
  <si>
    <t>V2.18</t>
  </si>
  <si>
    <t>V1.00</t>
  </si>
  <si>
    <t>05742-00039</t>
    <phoneticPr fontId="1"/>
  </si>
  <si>
    <t>05742-00041</t>
    <phoneticPr fontId="1"/>
  </si>
  <si>
    <t>ECOモードからPOWERモードに変更</t>
    <rPh sb="17" eb="19">
      <t>ヘンコウ</t>
    </rPh>
    <phoneticPr fontId="1"/>
  </si>
  <si>
    <t>廃止。1.01はアワメータを進められるバージョン（アンリリース）</t>
    <rPh sb="0" eb="2">
      <t>ハイシ</t>
    </rPh>
    <rPh sb="14" eb="15">
      <t>スス</t>
    </rPh>
    <phoneticPr fontId="1"/>
  </si>
  <si>
    <t>コントローラ切替(MC050-155)</t>
    <rPh sb="6" eb="8">
      <t>キリカエ</t>
    </rPh>
    <phoneticPr fontId="1"/>
  </si>
  <si>
    <t>A25E</t>
    <phoneticPr fontId="1"/>
  </si>
  <si>
    <t>V1.01</t>
    <phoneticPr fontId="1"/>
  </si>
  <si>
    <t>05742-00043</t>
    <phoneticPr fontId="1"/>
  </si>
  <si>
    <t>05742-00044</t>
    <phoneticPr fontId="1"/>
  </si>
  <si>
    <t>バックカメラ搭載</t>
    <rPh sb="6" eb="8">
      <t>トウサイ</t>
    </rPh>
    <phoneticPr fontId="1"/>
  </si>
  <si>
    <t>V1.05</t>
  </si>
  <si>
    <t>05742-00053</t>
    <phoneticPr fontId="1"/>
  </si>
  <si>
    <t>廃止</t>
    <rPh sb="0" eb="2">
      <t>ハイシ</t>
    </rPh>
    <phoneticPr fontId="1"/>
  </si>
  <si>
    <t>05742-06451</t>
    <phoneticPr fontId="1"/>
  </si>
  <si>
    <t>05742-06452</t>
  </si>
  <si>
    <t>05742-00046</t>
    <phoneticPr fontId="1"/>
  </si>
  <si>
    <t>05742-00047</t>
    <phoneticPr fontId="1"/>
  </si>
  <si>
    <t>TB1160W_0574207351_05</t>
    <phoneticPr fontId="1"/>
  </si>
  <si>
    <t>TB1160W_0574207352_05</t>
    <phoneticPr fontId="1"/>
  </si>
  <si>
    <t>V2.02</t>
    <phoneticPr fontId="1"/>
  </si>
  <si>
    <t>TB1160W_0574200049V202</t>
    <phoneticPr fontId="1"/>
  </si>
  <si>
    <t>TB1160W_0574200051V202</t>
    <phoneticPr fontId="1"/>
  </si>
  <si>
    <t>BALSクラスタ(BALS製)</t>
    <rPh sb="13" eb="14">
      <t>セイ</t>
    </rPh>
    <phoneticPr fontId="1"/>
  </si>
  <si>
    <t>(5147)(A25G)/5148(A27A)新規・5149(A27B)/5146(A25F)ファンドライブ変更</t>
    <rPh sb="23" eb="25">
      <t>シンキ</t>
    </rPh>
    <rPh sb="54" eb="56">
      <t>ヘンコウ</t>
    </rPh>
    <phoneticPr fontId="1"/>
  </si>
  <si>
    <t>V2.18</t>
    <phoneticPr fontId="1"/>
  </si>
  <si>
    <t>V5.04</t>
    <phoneticPr fontId="1"/>
  </si>
  <si>
    <t>V6.13</t>
    <phoneticPr fontId="1"/>
  </si>
  <si>
    <t>エコモード対応</t>
    <rPh sb="5" eb="7">
      <t>タイオウ</t>
    </rPh>
    <phoneticPr fontId="1"/>
  </si>
  <si>
    <t>V7.04</t>
    <phoneticPr fontId="1"/>
  </si>
  <si>
    <t>V8.23</t>
    <phoneticPr fontId="1"/>
  </si>
  <si>
    <t>V9.00</t>
    <phoneticPr fontId="1"/>
  </si>
  <si>
    <t>A4E</t>
    <phoneticPr fontId="1"/>
  </si>
  <si>
    <t>V1.20</t>
    <phoneticPr fontId="1"/>
  </si>
  <si>
    <t>クレーンタイプ</t>
    <phoneticPr fontId="1"/>
  </si>
  <si>
    <t>V2.06</t>
    <phoneticPr fontId="1"/>
  </si>
  <si>
    <t>3.14送付済20171219</t>
    <rPh sb="4" eb="6">
      <t>ソウフ</t>
    </rPh>
    <rPh sb="6" eb="7">
      <t>ズ</t>
    </rPh>
    <phoneticPr fontId="1"/>
  </si>
  <si>
    <t>V3.16</t>
    <phoneticPr fontId="1"/>
  </si>
  <si>
    <t>03542-00024</t>
    <phoneticPr fontId="1"/>
  </si>
  <si>
    <t>3.14受領20180213</t>
    <rPh sb="4" eb="6">
      <t>ジュリョウ</t>
    </rPh>
    <phoneticPr fontId="1"/>
  </si>
  <si>
    <t>V2.84</t>
    <phoneticPr fontId="1"/>
  </si>
  <si>
    <t>アフターパーツ扱い</t>
    <rPh sb="7" eb="8">
      <t>アツカ</t>
    </rPh>
    <phoneticPr fontId="1"/>
  </si>
  <si>
    <t>Stage5対応</t>
  </si>
  <si>
    <t>V4.11</t>
    <phoneticPr fontId="1"/>
  </si>
  <si>
    <t>V3.72</t>
    <phoneticPr fontId="1"/>
  </si>
  <si>
    <t>0554200084V103</t>
    <phoneticPr fontId="1"/>
  </si>
  <si>
    <t>0554200085V103</t>
    <phoneticPr fontId="1"/>
  </si>
  <si>
    <t>ディスプレイのモデルチェンジ(フッペン向け)</t>
    <rPh sb="19" eb="20">
      <t>ム</t>
    </rPh>
    <phoneticPr fontId="1"/>
  </si>
  <si>
    <t>サービス流量自動調整機能</t>
    <rPh sb="4" eb="6">
      <t>リュウリョウ</t>
    </rPh>
    <rPh sb="6" eb="10">
      <t>ジドウチョウセイ</t>
    </rPh>
    <rPh sb="10" eb="12">
      <t>キノウ</t>
    </rPh>
    <phoneticPr fontId="1"/>
  </si>
  <si>
    <t>V5.03</t>
    <phoneticPr fontId="1"/>
  </si>
  <si>
    <t>A6E</t>
    <phoneticPr fontId="1"/>
  </si>
  <si>
    <t>V1.17</t>
    <phoneticPr fontId="1"/>
  </si>
  <si>
    <t>GPS変更、車両情報を取得できるようにプログラム変更</t>
    <rPh sb="3" eb="5">
      <t>ヘンコウ</t>
    </rPh>
    <rPh sb="6" eb="8">
      <t>シャリョウ</t>
    </rPh>
    <rPh sb="8" eb="10">
      <t>ジョウホウ</t>
    </rPh>
    <rPh sb="11" eb="13">
      <t>シュトク</t>
    </rPh>
    <rPh sb="24" eb="26">
      <t>ヘンコウ</t>
    </rPh>
    <phoneticPr fontId="1"/>
  </si>
  <si>
    <t>データ不明/図面なし</t>
    <rPh sb="3" eb="5">
      <t>フメイ</t>
    </rPh>
    <rPh sb="6" eb="8">
      <t>ズメン</t>
    </rPh>
    <phoneticPr fontId="1"/>
  </si>
  <si>
    <t>17301-43390(MC024-010)</t>
    <phoneticPr fontId="1"/>
  </si>
  <si>
    <t>05642-57911</t>
    <phoneticPr fontId="1"/>
  </si>
  <si>
    <t>05642-57912</t>
    <phoneticPr fontId="1"/>
  </si>
  <si>
    <t>17301-43391(MC024-110)</t>
    <phoneticPr fontId="1"/>
  </si>
  <si>
    <t>C10_3</t>
    <phoneticPr fontId="1"/>
  </si>
  <si>
    <t>←ヒストリーなし、ファイルがV0.04のみ</t>
    <phoneticPr fontId="1"/>
  </si>
  <si>
    <t>V0.04</t>
    <phoneticPr fontId="1"/>
  </si>
  <si>
    <t>07042-00011</t>
    <phoneticPr fontId="1"/>
  </si>
  <si>
    <t>17301-43711(MC024-120)</t>
    <phoneticPr fontId="1"/>
  </si>
  <si>
    <t>C9_3</t>
    <phoneticPr fontId="1"/>
  </si>
  <si>
    <t>←ヒストリー無し</t>
    <rPh sb="6" eb="7">
      <t>ナ</t>
    </rPh>
    <phoneticPr fontId="1"/>
  </si>
  <si>
    <t>V0.05</t>
    <phoneticPr fontId="1"/>
  </si>
  <si>
    <t>17301-43580(SC050-120)</t>
    <phoneticPr fontId="1"/>
  </si>
  <si>
    <t>2023.08.09 誤記修正</t>
    <rPh sb="11" eb="15">
      <t>ゴキシュウセイ</t>
    </rPh>
    <phoneticPr fontId="1"/>
  </si>
  <si>
    <r>
      <t>17301-43490(XL</t>
    </r>
    <r>
      <rPr>
        <sz val="14"/>
        <rFont val="游ゴシック"/>
        <family val="3"/>
        <charset val="128"/>
      </rPr>
      <t>_</t>
    </r>
    <r>
      <rPr>
        <sz val="14"/>
        <rFont val="Arial Unicode MS"/>
        <family val="3"/>
        <charset val="128"/>
      </rPr>
      <t>Full)</t>
    </r>
    <phoneticPr fontId="1"/>
  </si>
  <si>
    <r>
      <t>17301-43470(XL</t>
    </r>
    <r>
      <rPr>
        <sz val="14"/>
        <rFont val="游ゴシック"/>
        <family val="3"/>
        <charset val="128"/>
      </rPr>
      <t>_</t>
    </r>
    <r>
      <rPr>
        <sz val="14"/>
        <rFont val="Arial Unicode MS"/>
        <family val="3"/>
        <charset val="128"/>
      </rPr>
      <t>Large)</t>
    </r>
    <phoneticPr fontId="1"/>
  </si>
  <si>
    <t>V1.11</t>
    <phoneticPr fontId="1"/>
  </si>
  <si>
    <t>17301-43480(XL_Small)</t>
    <phoneticPr fontId="1"/>
  </si>
  <si>
    <t>05642-00013</t>
    <phoneticPr fontId="1"/>
  </si>
  <si>
    <t>V2.82</t>
    <phoneticPr fontId="1"/>
  </si>
  <si>
    <t>V3.10</t>
    <phoneticPr fontId="1"/>
  </si>
  <si>
    <t>V2.91</t>
    <phoneticPr fontId="1"/>
  </si>
  <si>
    <t>←ヒストリー無し、ApplicationID有(V2.92)、図面はV2.91</t>
    <rPh sb="6" eb="7">
      <t>ナ</t>
    </rPh>
    <rPh sb="22" eb="23">
      <t>アリ</t>
    </rPh>
    <rPh sb="31" eb="33">
      <t>ズメン</t>
    </rPh>
    <phoneticPr fontId="1"/>
  </si>
  <si>
    <t>V1.81</t>
    <phoneticPr fontId="1"/>
  </si>
  <si>
    <t>←ヒストリー無し、ApplicationID有</t>
    <rPh sb="6" eb="7">
      <t>ナ</t>
    </rPh>
    <rPh sb="22" eb="23">
      <t>アリ</t>
    </rPh>
    <phoneticPr fontId="1"/>
  </si>
  <si>
    <t>17301-43470(XL_Large)</t>
    <phoneticPr fontId="1"/>
  </si>
  <si>
    <t>V2.00</t>
    <phoneticPr fontId="1"/>
  </si>
  <si>
    <t>1.01送付済20171109</t>
    <rPh sb="4" eb="6">
      <t>ソウフ</t>
    </rPh>
    <rPh sb="6" eb="7">
      <t>ズ</t>
    </rPh>
    <phoneticPr fontId="1"/>
  </si>
  <si>
    <t>1.01受領20180213</t>
    <rPh sb="4" eb="6">
      <t>ジュリョウ</t>
    </rPh>
    <phoneticPr fontId="1"/>
  </si>
  <si>
    <t>(L5E)Stage5対応/(L5E2)新規</t>
    <rPh sb="11" eb="13">
      <t>タイオウ</t>
    </rPh>
    <rPh sb="20" eb="22">
      <t>シンキ</t>
    </rPh>
    <phoneticPr fontId="1"/>
  </si>
  <si>
    <t>V2.08</t>
    <phoneticPr fontId="1"/>
  </si>
  <si>
    <t>コントローラモデルチェンジ</t>
    <phoneticPr fontId="1"/>
  </si>
  <si>
    <t>L8C_L9C</t>
    <phoneticPr fontId="1"/>
  </si>
  <si>
    <t>V3.11</t>
    <phoneticPr fontId="1"/>
  </si>
  <si>
    <t>V5.01</t>
  </si>
  <si>
    <t>L6E/L8C</t>
    <phoneticPr fontId="1"/>
  </si>
  <si>
    <t>V1.43</t>
  </si>
  <si>
    <t>06942_05321_15_V143</t>
  </si>
  <si>
    <t>06942_05322_15_V143</t>
  </si>
  <si>
    <t>振動対策として(自動変速機能追加)</t>
    <rPh sb="0" eb="2">
      <t>シンドウ</t>
    </rPh>
    <rPh sb="2" eb="4">
      <t>タイサク</t>
    </rPh>
    <rPh sb="8" eb="10">
      <t>ジドウ</t>
    </rPh>
    <rPh sb="10" eb="12">
      <t>ヘンソク</t>
    </rPh>
    <rPh sb="12" eb="14">
      <t>キノウ</t>
    </rPh>
    <rPh sb="14" eb="16">
      <t>ツイカ</t>
    </rPh>
    <phoneticPr fontId="1"/>
  </si>
  <si>
    <t>0694200234V203</t>
  </si>
  <si>
    <t>0694200235V203</t>
  </si>
  <si>
    <t>V4.01</t>
    <phoneticPr fontId="1"/>
  </si>
  <si>
    <t>0694200365V401</t>
  </si>
  <si>
    <t>0694200365rop_V401</t>
  </si>
  <si>
    <t>V2.09</t>
    <phoneticPr fontId="1"/>
  </si>
  <si>
    <t>メイン新規</t>
    <rPh sb="3" eb="5">
      <t>シンキ</t>
    </rPh>
    <phoneticPr fontId="1"/>
  </si>
  <si>
    <t>V1.41</t>
    <phoneticPr fontId="1"/>
  </si>
  <si>
    <t>L9E</t>
    <phoneticPr fontId="1"/>
  </si>
  <si>
    <t>(L8EV)(L9ER)新規・(L9EV)走行曲進対策</t>
    <rPh sb="12" eb="14">
      <t>シンキ</t>
    </rPh>
    <rPh sb="21" eb="23">
      <t>ソウコウ</t>
    </rPh>
    <rPh sb="23" eb="24">
      <t>キョク</t>
    </rPh>
    <rPh sb="24" eb="25">
      <t>シン</t>
    </rPh>
    <rPh sb="25" eb="27">
      <t>タイサク</t>
    </rPh>
    <phoneticPr fontId="1"/>
  </si>
  <si>
    <t>V2.31</t>
  </si>
  <si>
    <t>(L8EV2/L9EV2/L9ER2)メイン新規・(L8EV/L9EV/L9ER)メインStage5</t>
    <rPh sb="22" eb="24">
      <t>シンキ</t>
    </rPh>
    <phoneticPr fontId="1"/>
  </si>
  <si>
    <t>V3.06</t>
    <phoneticPr fontId="1"/>
  </si>
  <si>
    <t>サブ新規</t>
    <rPh sb="2" eb="4">
      <t>シンキ</t>
    </rPh>
    <phoneticPr fontId="1"/>
  </si>
  <si>
    <t>L9E_Sub</t>
    <phoneticPr fontId="1"/>
  </si>
  <si>
    <t>06842-00230</t>
    <phoneticPr fontId="1"/>
  </si>
  <si>
    <t>メイン自動変速仕様</t>
    <rPh sb="3" eb="5">
      <t>ジドウ</t>
    </rPh>
    <rPh sb="5" eb="7">
      <t>ヘンソク</t>
    </rPh>
    <rPh sb="7" eb="9">
      <t>シヨウ</t>
    </rPh>
    <phoneticPr fontId="1"/>
  </si>
  <si>
    <t>サブ自動変速仕様標準化</t>
    <rPh sb="2" eb="6">
      <t>ジドウヘンソク</t>
    </rPh>
    <rPh sb="6" eb="8">
      <t>シヨウ</t>
    </rPh>
    <rPh sb="8" eb="11">
      <t>ヒョウジュンカ</t>
    </rPh>
    <phoneticPr fontId="1"/>
  </si>
  <si>
    <t>06842-00220</t>
    <phoneticPr fontId="1"/>
  </si>
  <si>
    <t>グレーダー仕様</t>
    <rPh sb="5" eb="7">
      <t>シヨウ</t>
    </rPh>
    <phoneticPr fontId="1"/>
  </si>
  <si>
    <t>V8.02</t>
    <phoneticPr fontId="1"/>
  </si>
  <si>
    <t>17301-43470(XL_Large)</t>
  </si>
  <si>
    <t>with 30km/h spec.</t>
    <phoneticPr fontId="1"/>
  </si>
  <si>
    <t>17301-43490(XL_Full)</t>
    <phoneticPr fontId="1"/>
  </si>
  <si>
    <t>with 20km/h spec.</t>
    <phoneticPr fontId="1"/>
  </si>
  <si>
    <t>A14IW/A13AW</t>
    <phoneticPr fontId="1"/>
  </si>
  <si>
    <t>A14IW_SUB</t>
    <phoneticPr fontId="1"/>
  </si>
  <si>
    <t>下部体コントローラ</t>
    <phoneticPr fontId="1"/>
  </si>
  <si>
    <t>A14IW_UC</t>
    <phoneticPr fontId="1"/>
  </si>
  <si>
    <t>05542-00559</t>
    <phoneticPr fontId="1"/>
  </si>
  <si>
    <t>05542-00651</t>
    <phoneticPr fontId="1"/>
  </si>
  <si>
    <t>予定</t>
    <rPh sb="0" eb="2">
      <t>ヨテイ</t>
    </rPh>
    <phoneticPr fontId="1"/>
  </si>
  <si>
    <t>実施</t>
    <rPh sb="0" eb="2">
      <t>ジッシ</t>
    </rPh>
    <phoneticPr fontId="1"/>
  </si>
  <si>
    <t>05642-57920</t>
  </si>
  <si>
    <t>A14D-1</t>
    <phoneticPr fontId="1"/>
  </si>
  <si>
    <t>06942-05320</t>
  </si>
  <si>
    <t>A11D</t>
    <phoneticPr fontId="1"/>
  </si>
  <si>
    <t>A25D</t>
    <phoneticPr fontId="1"/>
  </si>
  <si>
    <t>A9D</t>
    <phoneticPr fontId="1"/>
  </si>
  <si>
    <t>17301-43650</t>
  </si>
  <si>
    <t>L8C</t>
    <phoneticPr fontId="1"/>
  </si>
  <si>
    <t>05742-06450</t>
  </si>
  <si>
    <t>05542-00025</t>
  </si>
  <si>
    <t>05542-00024</t>
  </si>
  <si>
    <t>05642-65120</t>
  </si>
  <si>
    <t>05642-00015</t>
  </si>
  <si>
    <t>A14H</t>
    <phoneticPr fontId="1"/>
  </si>
  <si>
    <t>A14I</t>
    <phoneticPr fontId="1"/>
  </si>
  <si>
    <t>05642-00207</t>
  </si>
  <si>
    <t>05742-07350</t>
  </si>
  <si>
    <t>05642-00231</t>
  </si>
  <si>
    <t>A7G</t>
    <phoneticPr fontId="1"/>
  </si>
  <si>
    <t>05742-00038</t>
  </si>
  <si>
    <t>L6E</t>
  </si>
  <si>
    <t>L8C</t>
  </si>
  <si>
    <t>L9C</t>
  </si>
  <si>
    <t>05542-00083</t>
  </si>
  <si>
    <t>A12B</t>
  </si>
  <si>
    <t>A14D-2</t>
  </si>
  <si>
    <t>A14I</t>
  </si>
  <si>
    <t>A5F</t>
  </si>
  <si>
    <t>A7F</t>
  </si>
  <si>
    <t>A7G</t>
  </si>
  <si>
    <t>F14F</t>
  </si>
  <si>
    <t>L9EV</t>
  </si>
  <si>
    <t>A14H</t>
  </si>
  <si>
    <t>-</t>
  </si>
  <si>
    <t>A14FW</t>
  </si>
  <si>
    <t>C9-3</t>
  </si>
  <si>
    <t>A25E</t>
  </si>
  <si>
    <t>05742-00042</t>
  </si>
  <si>
    <t>05742-00045</t>
  </si>
  <si>
    <t>05742-00048</t>
  </si>
  <si>
    <t>A25EW</t>
  </si>
  <si>
    <t>05642-00108</t>
  </si>
  <si>
    <t>05742-00052</t>
  </si>
  <si>
    <t>03542-00020</t>
  </si>
  <si>
    <t>05642-00250</t>
  </si>
  <si>
    <t>07042-00010</t>
  </si>
  <si>
    <t>C10-3</t>
  </si>
  <si>
    <t>07142-00010</t>
  </si>
  <si>
    <t>05742-00102</t>
  </si>
  <si>
    <t>A25F</t>
  </si>
  <si>
    <t>06942-00234</t>
  </si>
  <si>
    <t>06942-00019</t>
  </si>
  <si>
    <t>L8EV</t>
  </si>
  <si>
    <t>L9ER</t>
  </si>
  <si>
    <t>06942-00290</t>
  </si>
  <si>
    <t>17301-43661</t>
  </si>
  <si>
    <t>17301-43660</t>
  </si>
  <si>
    <t>A14D-3</t>
    <phoneticPr fontId="1"/>
  </si>
  <si>
    <t>L9ER</t>
    <phoneticPr fontId="1"/>
  </si>
  <si>
    <t>L9EV</t>
    <phoneticPr fontId="1"/>
  </si>
  <si>
    <t>06942-00021</t>
  </si>
  <si>
    <t>L8EV2</t>
  </si>
  <si>
    <t>L9ER2</t>
  </si>
  <si>
    <t>L9EV2</t>
  </si>
  <si>
    <t>A27B</t>
    <phoneticPr fontId="1"/>
  </si>
  <si>
    <t>A25G</t>
    <phoneticPr fontId="1"/>
  </si>
  <si>
    <t>プログラムなしタイプ</t>
    <phoneticPr fontId="1"/>
  </si>
  <si>
    <r>
      <t>TES</t>
    </r>
    <r>
      <rPr>
        <sz val="14"/>
        <rFont val="ＭＳ Ｐゴシック"/>
        <family val="3"/>
        <charset val="128"/>
      </rPr>
      <t>品番</t>
    </r>
    <rPh sb="3" eb="5">
      <t>ヒンバン</t>
    </rPh>
    <phoneticPr fontId="1"/>
  </si>
  <si>
    <t>コントローラ型番</t>
    <rPh sb="6" eb="8">
      <t>カタバン</t>
    </rPh>
    <phoneticPr fontId="1"/>
  </si>
  <si>
    <t>名称</t>
    <rPh sb="0" eb="2">
      <t>メイショウ</t>
    </rPh>
    <phoneticPr fontId="1"/>
  </si>
  <si>
    <t>ＣＡＮ</t>
    <phoneticPr fontId="1"/>
  </si>
  <si>
    <t>入力</t>
    <rPh sb="0" eb="2">
      <t>ニュウリョク</t>
    </rPh>
    <phoneticPr fontId="1"/>
  </si>
  <si>
    <t>出力</t>
    <rPh sb="0" eb="2">
      <t>シュツリョク</t>
    </rPh>
    <phoneticPr fontId="1"/>
  </si>
  <si>
    <t>17301-43310</t>
    <phoneticPr fontId="1"/>
  </si>
  <si>
    <t>MC050-010</t>
    <phoneticPr fontId="1"/>
  </si>
  <si>
    <r>
      <t>50P</t>
    </r>
    <r>
      <rPr>
        <sz val="14"/>
        <rFont val="ＭＳ Ｐゴシック"/>
        <family val="3"/>
        <charset val="128"/>
      </rPr>
      <t>コントローラ</t>
    </r>
    <phoneticPr fontId="1"/>
  </si>
  <si>
    <t>17301-43311</t>
    <phoneticPr fontId="1"/>
  </si>
  <si>
    <t>MC050-110</t>
    <phoneticPr fontId="1"/>
  </si>
  <si>
    <t>17301-43320</t>
    <phoneticPr fontId="1"/>
  </si>
  <si>
    <t>DP200-01-01-03</t>
    <phoneticPr fontId="1"/>
  </si>
  <si>
    <r>
      <t>DP200</t>
    </r>
    <r>
      <rPr>
        <sz val="14"/>
        <rFont val="ＭＳ Ｐゴシック"/>
        <family val="3"/>
        <charset val="128"/>
      </rPr>
      <t>ディスプレイ</t>
    </r>
    <phoneticPr fontId="1"/>
  </si>
  <si>
    <t>17301-43330</t>
    <phoneticPr fontId="1"/>
  </si>
  <si>
    <t>IX024-010</t>
    <phoneticPr fontId="1"/>
  </si>
  <si>
    <r>
      <t>24P</t>
    </r>
    <r>
      <rPr>
        <sz val="14"/>
        <rFont val="ＭＳ Ｐゴシック"/>
        <family val="3"/>
        <charset val="128"/>
      </rPr>
      <t>入力拡張モジュール</t>
    </r>
    <rPh sb="3" eb="5">
      <t>ニュウリョク</t>
    </rPh>
    <rPh sb="5" eb="7">
      <t>カクチョウ</t>
    </rPh>
    <phoneticPr fontId="1"/>
  </si>
  <si>
    <t>17301-43340</t>
    <phoneticPr fontId="1"/>
  </si>
  <si>
    <t>OX024-010</t>
    <phoneticPr fontId="1"/>
  </si>
  <si>
    <r>
      <t>24P</t>
    </r>
    <r>
      <rPr>
        <sz val="14"/>
        <rFont val="ＭＳ Ｐゴシック"/>
        <family val="3"/>
        <charset val="128"/>
      </rPr>
      <t>出力拡張モジュール</t>
    </r>
    <rPh sb="3" eb="5">
      <t>シュツリョク</t>
    </rPh>
    <rPh sb="5" eb="7">
      <t>カクチョウ</t>
    </rPh>
    <phoneticPr fontId="1"/>
  </si>
  <si>
    <t>17301-43341</t>
    <phoneticPr fontId="1"/>
  </si>
  <si>
    <t>OX024-110</t>
    <phoneticPr fontId="1"/>
  </si>
  <si>
    <t>17301-43342</t>
    <phoneticPr fontId="1"/>
  </si>
  <si>
    <r>
      <t>24P</t>
    </r>
    <r>
      <rPr>
        <sz val="14"/>
        <rFont val="ＭＳ Ｐゴシック"/>
        <family val="3"/>
        <charset val="128"/>
      </rPr>
      <t>出力拡張モジュール</t>
    </r>
    <r>
      <rPr>
        <sz val="14"/>
        <rFont val="Arial"/>
        <family val="2"/>
      </rPr>
      <t>(</t>
    </r>
    <r>
      <rPr>
        <sz val="14"/>
        <rFont val="ＭＳ Ｐゴシック"/>
        <family val="3"/>
        <charset val="128"/>
      </rPr>
      <t>500kbps)</t>
    </r>
    <rPh sb="3" eb="5">
      <t>シュツリョク</t>
    </rPh>
    <rPh sb="5" eb="7">
      <t>カクチョウ</t>
    </rPh>
    <phoneticPr fontId="1"/>
  </si>
  <si>
    <t>17301-43350</t>
  </si>
  <si>
    <t>DP250-01-01-04-05</t>
    <phoneticPr fontId="1"/>
  </si>
  <si>
    <r>
      <t>DP250</t>
    </r>
    <r>
      <rPr>
        <sz val="14"/>
        <rFont val="ＭＳ Ｐゴシック"/>
        <family val="3"/>
        <charset val="128"/>
      </rPr>
      <t>カラーディスプレイ</t>
    </r>
    <phoneticPr fontId="1"/>
  </si>
  <si>
    <t>17301-43360</t>
    <phoneticPr fontId="1"/>
  </si>
  <si>
    <t>MC050-055</t>
    <phoneticPr fontId="1"/>
  </si>
  <si>
    <r>
      <t>50P</t>
    </r>
    <r>
      <rPr>
        <sz val="14"/>
        <rFont val="ＭＳ Ｐゴシック"/>
        <family val="3"/>
        <charset val="128"/>
      </rPr>
      <t>コントローラ</t>
    </r>
    <r>
      <rPr>
        <sz val="14"/>
        <rFont val="Arial"/>
        <family val="2"/>
      </rPr>
      <t>055</t>
    </r>
    <phoneticPr fontId="1"/>
  </si>
  <si>
    <t>17301-43361</t>
    <phoneticPr fontId="1"/>
  </si>
  <si>
    <t>MC050-155</t>
    <phoneticPr fontId="1"/>
  </si>
  <si>
    <r>
      <t>50P</t>
    </r>
    <r>
      <rPr>
        <sz val="14"/>
        <rFont val="ＭＳ Ｐゴシック"/>
        <family val="3"/>
        <charset val="128"/>
      </rPr>
      <t>コントローラ</t>
    </r>
    <r>
      <rPr>
        <sz val="14"/>
        <rFont val="Arial"/>
        <family val="2"/>
      </rPr>
      <t>155</t>
    </r>
    <phoneticPr fontId="1"/>
  </si>
  <si>
    <t>17301-43370</t>
    <phoneticPr fontId="1"/>
  </si>
  <si>
    <r>
      <t>ＩＸ</t>
    </r>
    <r>
      <rPr>
        <sz val="14"/>
        <rFont val="Arial"/>
        <family val="2"/>
      </rPr>
      <t>012-010</t>
    </r>
    <phoneticPr fontId="1"/>
  </si>
  <si>
    <r>
      <t>12P</t>
    </r>
    <r>
      <rPr>
        <sz val="14"/>
        <rFont val="ＭＳ Ｐゴシック"/>
        <family val="3"/>
        <charset val="128"/>
      </rPr>
      <t>入力拡張モジュール</t>
    </r>
    <rPh sb="3" eb="5">
      <t>ニュウリョク</t>
    </rPh>
    <rPh sb="5" eb="7">
      <t>カクチョウ</t>
    </rPh>
    <phoneticPr fontId="1"/>
  </si>
  <si>
    <t>17301-43380</t>
    <phoneticPr fontId="1"/>
  </si>
  <si>
    <t>OX012-010</t>
    <phoneticPr fontId="1"/>
  </si>
  <si>
    <r>
      <t>12P</t>
    </r>
    <r>
      <rPr>
        <sz val="14"/>
        <rFont val="ＭＳ Ｐゴシック"/>
        <family val="3"/>
        <charset val="128"/>
      </rPr>
      <t>出力拡張モジュール</t>
    </r>
    <rPh sb="3" eb="5">
      <t>シュツリョク</t>
    </rPh>
    <rPh sb="5" eb="7">
      <t>カクチョウ</t>
    </rPh>
    <phoneticPr fontId="1"/>
  </si>
  <si>
    <t>17301-43381</t>
    <phoneticPr fontId="1"/>
  </si>
  <si>
    <t>OX012-110</t>
    <phoneticPr fontId="1"/>
  </si>
  <si>
    <t>17301-43382</t>
    <phoneticPr fontId="1"/>
  </si>
  <si>
    <r>
      <t>12P</t>
    </r>
    <r>
      <rPr>
        <sz val="14"/>
        <rFont val="ＭＳ Ｐゴシック"/>
        <family val="3"/>
        <charset val="128"/>
      </rPr>
      <t>出力拡張モジュール</t>
    </r>
    <r>
      <rPr>
        <sz val="14"/>
        <rFont val="Arial"/>
        <family val="2"/>
      </rPr>
      <t>(500kps)</t>
    </r>
    <rPh sb="3" eb="5">
      <t>シュツリョク</t>
    </rPh>
    <rPh sb="5" eb="7">
      <t>カクチョウ</t>
    </rPh>
    <phoneticPr fontId="1"/>
  </si>
  <si>
    <t>17301-43390</t>
    <phoneticPr fontId="1"/>
  </si>
  <si>
    <t>MC024-010</t>
    <phoneticPr fontId="1"/>
  </si>
  <si>
    <r>
      <t>24P</t>
    </r>
    <r>
      <rPr>
        <sz val="14"/>
        <rFont val="ＭＳ Ｐゴシック"/>
        <family val="3"/>
        <charset val="128"/>
      </rPr>
      <t>コントローラ</t>
    </r>
    <phoneticPr fontId="1"/>
  </si>
  <si>
    <t>17301-43391</t>
    <phoneticPr fontId="1"/>
  </si>
  <si>
    <t>MC024-110</t>
    <phoneticPr fontId="1"/>
  </si>
  <si>
    <t>5.7inch</t>
    <phoneticPr fontId="1"/>
  </si>
  <si>
    <r>
      <t>5.7inch</t>
    </r>
    <r>
      <rPr>
        <sz val="14"/>
        <rFont val="ＭＳ Ｐゴシック"/>
        <family val="3"/>
        <charset val="128"/>
      </rPr>
      <t>ディスプレイ(カメラなし）</t>
    </r>
    <phoneticPr fontId="1"/>
  </si>
  <si>
    <r>
      <t>5.7inch</t>
    </r>
    <r>
      <rPr>
        <sz val="14"/>
        <rFont val="ＭＳ Ｐゴシック"/>
        <family val="3"/>
        <charset val="128"/>
      </rPr>
      <t>ディスプレイ</t>
    </r>
    <r>
      <rPr>
        <sz val="14"/>
        <rFont val="Arial"/>
        <family val="2"/>
      </rPr>
      <t>(</t>
    </r>
    <r>
      <rPr>
        <sz val="14"/>
        <rFont val="ＭＳ Ｐゴシック"/>
        <family val="3"/>
        <charset val="128"/>
      </rPr>
      <t>カメラあり）</t>
    </r>
    <phoneticPr fontId="1"/>
  </si>
  <si>
    <t>5.7inch(モデルチェンジ）</t>
    <phoneticPr fontId="1"/>
  </si>
  <si>
    <t>17301-43680</t>
    <phoneticPr fontId="1"/>
  </si>
  <si>
    <t>DM430E-1-0-0-0</t>
    <phoneticPr fontId="1"/>
  </si>
  <si>
    <r>
      <t>4.3inch</t>
    </r>
    <r>
      <rPr>
        <sz val="14"/>
        <rFont val="ＭＳ Ｐゴシック"/>
        <family val="3"/>
        <charset val="128"/>
      </rPr>
      <t>ディスプレイ（</t>
    </r>
    <r>
      <rPr>
        <sz val="14"/>
        <rFont val="Arial"/>
        <family val="2"/>
      </rPr>
      <t>C10-4</t>
    </r>
    <r>
      <rPr>
        <sz val="14"/>
        <rFont val="ＭＳ Ｐゴシック"/>
        <family val="3"/>
        <charset val="128"/>
      </rPr>
      <t>専用試作のみ）</t>
    </r>
    <rPh sb="19" eb="21">
      <t>センヨウ</t>
    </rPh>
    <rPh sb="21" eb="23">
      <t>シサク</t>
    </rPh>
    <phoneticPr fontId="1"/>
  </si>
  <si>
    <t>17301-43681</t>
    <phoneticPr fontId="1"/>
  </si>
  <si>
    <t>DM430E-0-0-0-0</t>
    <phoneticPr fontId="1"/>
  </si>
  <si>
    <r>
      <t>4.3inch</t>
    </r>
    <r>
      <rPr>
        <sz val="14"/>
        <rFont val="ＭＳ Ｐゴシック"/>
        <family val="3"/>
        <charset val="128"/>
      </rPr>
      <t>ディスプレイ（</t>
    </r>
    <r>
      <rPr>
        <sz val="14"/>
        <rFont val="Arial"/>
        <family val="2"/>
      </rPr>
      <t>C10-4</t>
    </r>
    <r>
      <rPr>
        <sz val="14"/>
        <rFont val="ＭＳ Ｐゴシック"/>
        <family val="3"/>
        <charset val="128"/>
      </rPr>
      <t>専用）</t>
    </r>
    <rPh sb="19" eb="21">
      <t>センヨウ</t>
    </rPh>
    <phoneticPr fontId="1"/>
  </si>
  <si>
    <t>17301-43690</t>
    <phoneticPr fontId="1"/>
  </si>
  <si>
    <r>
      <t>4.3inch</t>
    </r>
    <r>
      <rPr>
        <sz val="14"/>
        <rFont val="ＭＳ Ｐゴシック"/>
        <family val="3"/>
        <charset val="128"/>
      </rPr>
      <t>ディスプレイ（E3F専用）</t>
    </r>
    <rPh sb="17" eb="19">
      <t>センヨウ</t>
    </rPh>
    <phoneticPr fontId="1"/>
  </si>
  <si>
    <t>17301-43691</t>
    <phoneticPr fontId="1"/>
  </si>
  <si>
    <t>17301-43692</t>
    <phoneticPr fontId="1"/>
  </si>
  <si>
    <r>
      <t>4.3inch</t>
    </r>
    <r>
      <rPr>
        <sz val="14"/>
        <rFont val="ＭＳ Ｐゴシック"/>
        <family val="3"/>
        <charset val="128"/>
      </rPr>
      <t>ディスプレイ（充電治具専用）</t>
    </r>
    <rPh sb="14" eb="16">
      <t>ジュウデン</t>
    </rPh>
    <rPh sb="16" eb="18">
      <t>ジグ</t>
    </rPh>
    <rPh sb="18" eb="20">
      <t>センヨウ</t>
    </rPh>
    <phoneticPr fontId="1"/>
  </si>
  <si>
    <t>17301-43820</t>
    <phoneticPr fontId="1"/>
  </si>
  <si>
    <t>DM07N-TN-2NA-ND-A-2-TK</t>
    <phoneticPr fontId="1"/>
  </si>
  <si>
    <r>
      <t>7inch</t>
    </r>
    <r>
      <rPr>
        <sz val="14"/>
        <rFont val="ＭＳ Ｐゴシック"/>
        <family val="3"/>
        <charset val="128"/>
      </rPr>
      <t>ディスプレイ（J7B,J10B）</t>
    </r>
    <phoneticPr fontId="1"/>
  </si>
  <si>
    <t>17301-43780</t>
    <phoneticPr fontId="1"/>
  </si>
  <si>
    <r>
      <t>7inch</t>
    </r>
    <r>
      <rPr>
        <sz val="14"/>
        <rFont val="ＭＳ Ｐゴシック"/>
        <family val="3"/>
        <charset val="128"/>
      </rPr>
      <t>ディスプレイ（E7F）</t>
    </r>
    <phoneticPr fontId="1"/>
  </si>
  <si>
    <t>17301-43790</t>
    <phoneticPr fontId="1"/>
  </si>
  <si>
    <r>
      <t>4.3inch</t>
    </r>
    <r>
      <rPr>
        <sz val="14"/>
        <rFont val="ＭＳ Ｐゴシック"/>
        <family val="3"/>
        <charset val="128"/>
      </rPr>
      <t>ディスプレイ（E7F）</t>
    </r>
    <phoneticPr fontId="1"/>
  </si>
  <si>
    <t>17301-43890</t>
    <phoneticPr fontId="1"/>
  </si>
  <si>
    <r>
      <t>4.3inch</t>
    </r>
    <r>
      <rPr>
        <sz val="14"/>
        <rFont val="ＭＳ Ｐゴシック"/>
        <family val="3"/>
        <charset val="128"/>
      </rPr>
      <t>ディスプレイ（E2F）</t>
    </r>
    <phoneticPr fontId="1"/>
  </si>
  <si>
    <t>17301-43700</t>
    <phoneticPr fontId="1"/>
  </si>
  <si>
    <t>MC012-010</t>
    <phoneticPr fontId="1"/>
  </si>
  <si>
    <r>
      <t>12P</t>
    </r>
    <r>
      <rPr>
        <sz val="14"/>
        <rFont val="ＭＳ Ｐゴシック"/>
        <family val="3"/>
        <charset val="128"/>
      </rPr>
      <t>コントローラ</t>
    </r>
    <phoneticPr fontId="1"/>
  </si>
  <si>
    <t>17301-43701</t>
    <phoneticPr fontId="1"/>
  </si>
  <si>
    <t>MC012-110</t>
    <phoneticPr fontId="1"/>
  </si>
  <si>
    <t>17301-43710</t>
    <phoneticPr fontId="1"/>
  </si>
  <si>
    <t>MC024-020</t>
    <phoneticPr fontId="1"/>
  </si>
  <si>
    <t>17301-43711</t>
    <phoneticPr fontId="1"/>
  </si>
  <si>
    <t>MC024-120</t>
    <phoneticPr fontId="1"/>
  </si>
  <si>
    <t>17301-43720</t>
    <phoneticPr fontId="1"/>
  </si>
  <si>
    <t>SC024-020</t>
    <phoneticPr fontId="1"/>
  </si>
  <si>
    <t>17301-43721</t>
    <phoneticPr fontId="1"/>
  </si>
  <si>
    <t>SC024-120</t>
    <phoneticPr fontId="1"/>
  </si>
  <si>
    <t>17301-43770</t>
    <phoneticPr fontId="1"/>
  </si>
  <si>
    <t>SC024-110</t>
    <phoneticPr fontId="1"/>
  </si>
  <si>
    <t>17301-43730</t>
    <phoneticPr fontId="1"/>
  </si>
  <si>
    <t>IOX012-010</t>
    <phoneticPr fontId="1"/>
  </si>
  <si>
    <r>
      <t>12P</t>
    </r>
    <r>
      <rPr>
        <sz val="14"/>
        <rFont val="ＭＳ Ｐゴシック"/>
        <family val="3"/>
        <charset val="128"/>
      </rPr>
      <t>入出力拡張モジュール</t>
    </r>
    <rPh sb="3" eb="4">
      <t>ニュウ</t>
    </rPh>
    <rPh sb="4" eb="6">
      <t>シュツリョク</t>
    </rPh>
    <rPh sb="6" eb="8">
      <t>カクチョウ</t>
    </rPh>
    <phoneticPr fontId="1"/>
  </si>
  <si>
    <t>17301-43740</t>
    <phoneticPr fontId="1"/>
  </si>
  <si>
    <t>IOX024-020</t>
    <phoneticPr fontId="1"/>
  </si>
  <si>
    <r>
      <t>24P</t>
    </r>
    <r>
      <rPr>
        <sz val="14"/>
        <rFont val="ＭＳ Ｐゴシック"/>
        <family val="3"/>
        <charset val="128"/>
      </rPr>
      <t>入出力拡張モジュール</t>
    </r>
    <rPh sb="3" eb="6">
      <t>ニュウシュツリョク</t>
    </rPh>
    <rPh sb="6" eb="8">
      <t>カクチョウ</t>
    </rPh>
    <phoneticPr fontId="1"/>
  </si>
  <si>
    <t>17301-43741</t>
    <phoneticPr fontId="1"/>
  </si>
  <si>
    <t>IOX024-120</t>
    <phoneticPr fontId="1"/>
  </si>
  <si>
    <t>17301-43742</t>
    <phoneticPr fontId="1"/>
  </si>
  <si>
    <r>
      <t>24P</t>
    </r>
    <r>
      <rPr>
        <sz val="14"/>
        <rFont val="ＭＳ Ｐゴシック"/>
        <family val="3"/>
        <charset val="128"/>
      </rPr>
      <t>入出力拡張モジュール</t>
    </r>
    <r>
      <rPr>
        <sz val="14"/>
        <rFont val="Arial"/>
        <family val="2"/>
      </rPr>
      <t>(500kbps)</t>
    </r>
    <rPh sb="3" eb="6">
      <t>ニュウシュツリョク</t>
    </rPh>
    <rPh sb="6" eb="8">
      <t>カクチョウ</t>
    </rPh>
    <phoneticPr fontId="1"/>
  </si>
  <si>
    <t>17301-43760</t>
    <phoneticPr fontId="1"/>
  </si>
  <si>
    <t>リレー駆動用モジュール(500kbps)</t>
    <rPh sb="3" eb="6">
      <t>クドウヨウ</t>
    </rPh>
    <phoneticPr fontId="1"/>
  </si>
  <si>
    <t>17301-43510</t>
    <phoneticPr fontId="1"/>
  </si>
  <si>
    <t>GPSキット</t>
    <phoneticPr fontId="1"/>
  </si>
  <si>
    <t>WS-403</t>
    <phoneticPr fontId="1"/>
  </si>
  <si>
    <t>17301-43470</t>
    <phoneticPr fontId="1"/>
  </si>
  <si>
    <t>XL104-0019(Large)</t>
    <phoneticPr fontId="1"/>
  </si>
  <si>
    <t>17301-43480</t>
    <phoneticPr fontId="1"/>
  </si>
  <si>
    <t>XL104-0029(Small)</t>
    <phoneticPr fontId="1"/>
  </si>
  <si>
    <t>17301-43490</t>
    <phoneticPr fontId="1"/>
  </si>
  <si>
    <t>XL104-0000(Full)</t>
    <phoneticPr fontId="1"/>
  </si>
  <si>
    <t>17301-43580</t>
    <phoneticPr fontId="1"/>
  </si>
  <si>
    <t>SC050-120</t>
    <phoneticPr fontId="1"/>
  </si>
  <si>
    <t>50PSafty</t>
    <phoneticPr fontId="1"/>
  </si>
  <si>
    <t>赤字：ＥＣＡＤシンボル有</t>
    <rPh sb="0" eb="2">
      <t>アカジ</t>
    </rPh>
    <rPh sb="11" eb="12">
      <t>アリ</t>
    </rPh>
    <phoneticPr fontId="1"/>
  </si>
  <si>
    <t>コントローラを組立図の部品表のせるときには、品番：機種品番、品名：コントローラAssyとして登録してください。コントローラAssyの子部品は、コントローラ（プログラムなし）+メインプログラム+パラメータファイルが入ります。</t>
    <rPh sb="7" eb="10">
      <t>クミタテズ</t>
    </rPh>
    <rPh sb="11" eb="13">
      <t>ブヒン</t>
    </rPh>
    <rPh sb="13" eb="14">
      <t>ヒョウ</t>
    </rPh>
    <rPh sb="22" eb="24">
      <t>ヒンバン</t>
    </rPh>
    <rPh sb="25" eb="27">
      <t>キシュ</t>
    </rPh>
    <rPh sb="27" eb="29">
      <t>ヒンバン</t>
    </rPh>
    <rPh sb="30" eb="32">
      <t>ヒンメイ</t>
    </rPh>
    <rPh sb="46" eb="48">
      <t>トウロク</t>
    </rPh>
    <rPh sb="66" eb="67">
      <t>コ</t>
    </rPh>
    <rPh sb="67" eb="69">
      <t>ブヒン</t>
    </rPh>
    <rPh sb="106" eb="107">
      <t>ハイ</t>
    </rPh>
    <phoneticPr fontId="1"/>
  </si>
  <si>
    <t>SN</t>
    <phoneticPr fontId="1"/>
  </si>
  <si>
    <t>SN2</t>
    <phoneticPr fontId="1"/>
  </si>
  <si>
    <t>SN3</t>
    <phoneticPr fontId="1"/>
  </si>
  <si>
    <t>SN4</t>
    <phoneticPr fontId="1"/>
  </si>
  <si>
    <t>05542-00026_09</t>
    <phoneticPr fontId="1"/>
  </si>
  <si>
    <t>05542_00027_09</t>
    <phoneticPr fontId="1"/>
  </si>
  <si>
    <t>126000002~126002171</t>
    <phoneticPr fontId="1"/>
  </si>
  <si>
    <t>0554200114v212</t>
    <phoneticPr fontId="1"/>
  </si>
  <si>
    <t>126002172~126002489</t>
    <phoneticPr fontId="1"/>
  </si>
  <si>
    <t>126002490~126003743</t>
    <phoneticPr fontId="1"/>
  </si>
  <si>
    <t>イモビライザ追加</t>
    <rPh sb="6" eb="8">
      <t>ツイカ</t>
    </rPh>
    <phoneticPr fontId="1"/>
  </si>
  <si>
    <t>126003744~</t>
    <phoneticPr fontId="1"/>
  </si>
  <si>
    <t>170000007~170000934</t>
    <phoneticPr fontId="1"/>
  </si>
  <si>
    <t>170000935~</t>
    <phoneticPr fontId="1"/>
  </si>
  <si>
    <t>第2/4サービス同時操作グリップ設定</t>
    <rPh sb="0" eb="1">
      <t>ダイ</t>
    </rPh>
    <rPh sb="8" eb="10">
      <t>ドウジ</t>
    </rPh>
    <rPh sb="10" eb="12">
      <t>ソウサ</t>
    </rPh>
    <rPh sb="16" eb="18">
      <t>セッテイ</t>
    </rPh>
    <phoneticPr fontId="1"/>
  </si>
  <si>
    <t>V3.00</t>
    <phoneticPr fontId="1"/>
  </si>
  <si>
    <t>170003110~</t>
    <phoneticPr fontId="1"/>
  </si>
  <si>
    <t>28500001~,285H0001~</t>
    <phoneticPr fontId="1"/>
  </si>
  <si>
    <t>29050001~,290H0001~</t>
    <phoneticPr fontId="1"/>
  </si>
  <si>
    <t>A14D2</t>
    <phoneticPr fontId="1"/>
  </si>
  <si>
    <t>2.03送付済</t>
    <rPh sb="4" eb="6">
      <t>ソウフ</t>
    </rPh>
    <rPh sb="6" eb="7">
      <t>ズ</t>
    </rPh>
    <phoneticPr fontId="1"/>
  </si>
  <si>
    <t>No.48258にてD2とD3を統一</t>
    <rPh sb="16" eb="18">
      <t>トウイツ</t>
    </rPh>
    <phoneticPr fontId="1"/>
  </si>
  <si>
    <t>draft</t>
    <phoneticPr fontId="1"/>
  </si>
  <si>
    <t>190100003~190100516</t>
    <phoneticPr fontId="1"/>
  </si>
  <si>
    <t>190100517~</t>
    <phoneticPr fontId="1"/>
  </si>
  <si>
    <t>05642-00261</t>
    <phoneticPr fontId="1"/>
  </si>
  <si>
    <t>新規設定プログラム無し</t>
    <rPh sb="0" eb="2">
      <t>シンキ</t>
    </rPh>
    <rPh sb="2" eb="4">
      <t>セッテイ</t>
    </rPh>
    <rPh sb="9" eb="10">
      <t>ナ</t>
    </rPh>
    <phoneticPr fontId="1"/>
  </si>
  <si>
    <t>190100003~</t>
    <phoneticPr fontId="1"/>
  </si>
  <si>
    <t>05642-00263</t>
    <phoneticPr fontId="1"/>
  </si>
  <si>
    <t>←品番見つからない(GPSが出てくる)</t>
  </si>
  <si>
    <t>190300003~190300281</t>
    <phoneticPr fontId="1"/>
  </si>
  <si>
    <t>(A14GW)190300282~190300927</t>
    <phoneticPr fontId="1"/>
  </si>
  <si>
    <t>(A14HW)190400002~190400355</t>
    <phoneticPr fontId="1"/>
  </si>
  <si>
    <t>(A14GW)190300928~190301186</t>
    <phoneticPr fontId="1"/>
  </si>
  <si>
    <t>(A14HW)190400356~190400617</t>
    <phoneticPr fontId="1"/>
  </si>
  <si>
    <t>(A14GW)190301187~</t>
    <phoneticPr fontId="1"/>
  </si>
  <si>
    <t>(A14HW)190400618~</t>
    <phoneticPr fontId="1"/>
  </si>
  <si>
    <t>(A14GW)190301224~</t>
    <phoneticPr fontId="1"/>
  </si>
  <si>
    <t>(A14HW)190400904~</t>
    <phoneticPr fontId="1"/>
  </si>
  <si>
    <t>(A14H)190200001~190200671</t>
    <phoneticPr fontId="1"/>
  </si>
  <si>
    <t>(A14I)185100001-185103969</t>
    <phoneticPr fontId="1"/>
  </si>
  <si>
    <t>(A14I)(For HUPPEN)185100001-185103839</t>
    <phoneticPr fontId="1"/>
  </si>
  <si>
    <t>(A14I)(For HUPPEN)185103840-185108675</t>
    <phoneticPr fontId="1"/>
  </si>
  <si>
    <t>(A14H)190200672~</t>
    <phoneticPr fontId="1"/>
  </si>
  <si>
    <t>(A14I)185103970-185107311</t>
    <phoneticPr fontId="1"/>
  </si>
  <si>
    <t>05642-00015と互換性あり</t>
    <rPh sb="12" eb="15">
      <t>ゴカンセイ</t>
    </rPh>
    <phoneticPr fontId="1"/>
  </si>
  <si>
    <t>(A14I)185107312-185108675</t>
    <phoneticPr fontId="1"/>
  </si>
  <si>
    <t>18510844,185108550,185108676-</t>
    <phoneticPr fontId="1"/>
  </si>
  <si>
    <t>(A14H)アフターパーツ用</t>
    <rPh sb="13" eb="14">
      <t>ヨウ</t>
    </rPh>
    <phoneticPr fontId="1"/>
  </si>
  <si>
    <t>(A14I)アフターパーツ用</t>
    <rPh sb="13" eb="14">
      <t>ヨウ</t>
    </rPh>
    <phoneticPr fontId="1"/>
  </si>
  <si>
    <t>190500001~190502294</t>
    <phoneticPr fontId="1"/>
  </si>
  <si>
    <t>190502295~</t>
    <phoneticPr fontId="1"/>
  </si>
  <si>
    <t>514400054~514400212</t>
    <phoneticPr fontId="1"/>
  </si>
  <si>
    <t>514400213~</t>
    <phoneticPr fontId="1"/>
  </si>
  <si>
    <t>514400229~</t>
    <phoneticPr fontId="1"/>
  </si>
  <si>
    <t>(US)514400001~514400212</t>
    <phoneticPr fontId="1"/>
  </si>
  <si>
    <t>(EU)514400001~514400053</t>
    <phoneticPr fontId="1"/>
  </si>
  <si>
    <t>514500002~514500041</t>
    <phoneticPr fontId="1"/>
  </si>
  <si>
    <t>514500042~</t>
    <phoneticPr fontId="1"/>
  </si>
  <si>
    <t>514600003~514600252</t>
    <phoneticPr fontId="1"/>
  </si>
  <si>
    <t>A27A(514800002~514800337)</t>
    <phoneticPr fontId="1"/>
  </si>
  <si>
    <t>A27B(STD/Low noise package)(514900004~514900157)</t>
    <phoneticPr fontId="1"/>
  </si>
  <si>
    <t>A25F(514600253~514600491)</t>
    <phoneticPr fontId="1"/>
  </si>
  <si>
    <t>A25G(STD/Low noise package)(514700002~514700115)</t>
    <phoneticPr fontId="1"/>
  </si>
  <si>
    <t>A27A(514800338~514800371)</t>
    <phoneticPr fontId="1"/>
  </si>
  <si>
    <t>A27B(STD/Low noise package)(514900158~514900192)</t>
    <phoneticPr fontId="1"/>
  </si>
  <si>
    <t>A25F(514600492~514600514)</t>
  </si>
  <si>
    <t>A25G(STD/Low noise package)(514700116~514700138)</t>
    <phoneticPr fontId="1"/>
  </si>
  <si>
    <t>A27A(514800372~514800388)</t>
    <phoneticPr fontId="1"/>
  </si>
  <si>
    <t>A27B(STD/Low noise package)(514900193~514900200)</t>
    <phoneticPr fontId="1"/>
  </si>
  <si>
    <t>A25F(514600515~514600524)</t>
    <phoneticPr fontId="1"/>
  </si>
  <si>
    <t>A25G(STD/Low noise package)(514700139~514700141)</t>
    <phoneticPr fontId="1"/>
  </si>
  <si>
    <t>A27A(514800389~514800501)</t>
    <phoneticPr fontId="1"/>
  </si>
  <si>
    <t>A27B(STD/Low noise package)(514900201~514900330)</t>
    <phoneticPr fontId="1"/>
  </si>
  <si>
    <t>A25F(514600525~514600635)</t>
    <phoneticPr fontId="1"/>
  </si>
  <si>
    <t>A25G(STD/Low noise package)(514700142~514700248)</t>
    <phoneticPr fontId="1"/>
  </si>
  <si>
    <t>A27A(514800502~514800666)</t>
    <phoneticPr fontId="1"/>
  </si>
  <si>
    <t>A27B(STD/Low noise package)(514900331~514900458)</t>
    <phoneticPr fontId="1"/>
  </si>
  <si>
    <t>A25F(514600636~514600815)</t>
    <phoneticPr fontId="1"/>
  </si>
  <si>
    <t>A25G(STD/Low noise package)(514700249~514700392)</t>
    <phoneticPr fontId="1"/>
  </si>
  <si>
    <t>(A4E)122500005~</t>
    <phoneticPr fontId="1"/>
  </si>
  <si>
    <t>(A4F)122600003~</t>
    <phoneticPr fontId="1"/>
  </si>
  <si>
    <t>(J4B)123100005~</t>
    <phoneticPr fontId="1"/>
  </si>
  <si>
    <t>クレーン専用品</t>
    <rPh sb="4" eb="6">
      <t>センヨウ</t>
    </rPh>
    <rPh sb="6" eb="7">
      <t>ヒン</t>
    </rPh>
    <phoneticPr fontId="1"/>
  </si>
  <si>
    <t>(A5F)(130003062~130005587)</t>
    <phoneticPr fontId="1"/>
  </si>
  <si>
    <t>(A7F)(124101013~124101736)</t>
    <phoneticPr fontId="1"/>
  </si>
  <si>
    <t>(A7G)(124002959~124004336)</t>
  </si>
  <si>
    <t>(A12B)(126102094~126103815)</t>
    <phoneticPr fontId="1"/>
  </si>
  <si>
    <t>(A5F)(130000001~130003061)</t>
    <phoneticPr fontId="1"/>
  </si>
  <si>
    <t>(A7F)(124100001~124101012)</t>
    <phoneticPr fontId="1"/>
  </si>
  <si>
    <t>(A7G)(124000001~124002958)</t>
    <phoneticPr fontId="1"/>
  </si>
  <si>
    <t>(A12B)(126100001~126102377)</t>
    <phoneticPr fontId="1"/>
  </si>
  <si>
    <t>(A5F)(130005588~)</t>
    <phoneticPr fontId="1"/>
  </si>
  <si>
    <t>(A7F)(124101737~)</t>
    <phoneticPr fontId="1"/>
  </si>
  <si>
    <t>(A7G)(124004337~)</t>
    <phoneticPr fontId="1"/>
  </si>
  <si>
    <t>(A12B)(126103816-126107153)</t>
    <phoneticPr fontId="1"/>
  </si>
  <si>
    <t>(A5F)(-)</t>
    <phoneticPr fontId="1"/>
  </si>
  <si>
    <t>(A7F)(-)</t>
    <phoneticPr fontId="1"/>
  </si>
  <si>
    <t>(A7G)(-)</t>
    <phoneticPr fontId="1"/>
  </si>
  <si>
    <t>A12B(126100003~126102093)</t>
    <phoneticPr fontId="1"/>
  </si>
  <si>
    <t>A12B(126102094~126103815)</t>
    <phoneticPr fontId="1"/>
  </si>
  <si>
    <t>A12B(126107154~)</t>
    <phoneticPr fontId="1"/>
  </si>
  <si>
    <t>A6E(12360001~)</t>
    <phoneticPr fontId="1"/>
  </si>
  <si>
    <t>A9F(125100001~)</t>
    <phoneticPr fontId="1"/>
  </si>
  <si>
    <t>305400002~</t>
    <phoneticPr fontId="1"/>
  </si>
  <si>
    <t>158400007~</t>
    <phoneticPr fontId="1"/>
  </si>
  <si>
    <t>178500002~178500691</t>
    <phoneticPr fontId="1"/>
  </si>
  <si>
    <t>178500692~178501381</t>
    <phoneticPr fontId="1"/>
  </si>
  <si>
    <t>178500837~178501374</t>
    <phoneticPr fontId="1"/>
  </si>
  <si>
    <t>(アフターパーツ用)</t>
    <rPh sb="8" eb="9">
      <t>ヨウ</t>
    </rPh>
    <phoneticPr fontId="1"/>
  </si>
  <si>
    <t>178501382~</t>
    <phoneticPr fontId="1"/>
  </si>
  <si>
    <t>178500001~178500836</t>
    <phoneticPr fontId="1"/>
  </si>
  <si>
    <t>(J10B)150200001~</t>
    <phoneticPr fontId="1"/>
  </si>
  <si>
    <t>406000005~406001563</t>
    <phoneticPr fontId="1"/>
  </si>
  <si>
    <t>(L5E)406001564~</t>
    <phoneticPr fontId="1"/>
  </si>
  <si>
    <t>(L5E2)406100001~</t>
    <phoneticPr fontId="1"/>
  </si>
  <si>
    <t>200805333~</t>
    <phoneticPr fontId="1"/>
  </si>
  <si>
    <t>(L6E2)200900001~</t>
    <phoneticPr fontId="1"/>
  </si>
  <si>
    <t>(L6E)200800002~200805332</t>
    <phoneticPr fontId="1"/>
  </si>
  <si>
    <t>(L8C)201000002~</t>
    <phoneticPr fontId="1"/>
  </si>
  <si>
    <t>(L9C)201200003~201202500</t>
    <phoneticPr fontId="1"/>
  </si>
  <si>
    <t>201202501~</t>
    <phoneticPr fontId="1"/>
  </si>
  <si>
    <t>(保用部品対応)</t>
    <rPh sb="1" eb="2">
      <t>タモツ</t>
    </rPh>
    <rPh sb="2" eb="3">
      <t>ヨウ</t>
    </rPh>
    <rPh sb="3" eb="5">
      <t>ブヒン</t>
    </rPh>
    <rPh sb="5" eb="7">
      <t>タイオウ</t>
    </rPh>
    <phoneticPr fontId="1"/>
  </si>
  <si>
    <t>408000006~</t>
    <phoneticPr fontId="1"/>
  </si>
  <si>
    <t>(L9EV)SN412000006~412000925</t>
    <phoneticPr fontId="1"/>
  </si>
  <si>
    <t>(L9EV)SN412000926~412002048</t>
    <phoneticPr fontId="1"/>
  </si>
  <si>
    <t>(L9ER)SN412100002~412101745</t>
    <phoneticPr fontId="1"/>
  </si>
  <si>
    <t>(L8EV)SN410000003~410002544</t>
    <phoneticPr fontId="1"/>
  </si>
  <si>
    <t>L9ER共通化/Active power control オフ時の制御を廃止</t>
    <rPh sb="4" eb="7">
      <t>キョウツウカ</t>
    </rPh>
    <phoneticPr fontId="1"/>
  </si>
  <si>
    <t>(L9EV)SN412002049~ (L9EV2)SN412200001~</t>
    <phoneticPr fontId="1"/>
  </si>
  <si>
    <t>(L9ER)SN412101746~ (L9ER2)SN412300001~</t>
    <phoneticPr fontId="1"/>
  </si>
  <si>
    <t xml:space="preserve"> (L8EV)SN410002545~410005238 (L8EV2)SN410100001~410100196</t>
    <phoneticPr fontId="1"/>
  </si>
  <si>
    <t>組図変更</t>
    <rPh sb="0" eb="2">
      <t>クミズ</t>
    </rPh>
    <rPh sb="2" eb="4">
      <t>ヘンコウ</t>
    </rPh>
    <phoneticPr fontId="1"/>
  </si>
  <si>
    <t>(L9EV)SN412000006~  (L9EV2)SN412200001~</t>
    <phoneticPr fontId="1"/>
  </si>
  <si>
    <t>(L9ER)SN412100002~  (L9ER2)SN412300001~</t>
    <phoneticPr fontId="1"/>
  </si>
  <si>
    <t>(L8EV)SN410000003~410005238   (L8EV2)SN410100001~410100196</t>
    <phoneticPr fontId="1"/>
  </si>
  <si>
    <t>(L8EV)SN410005239~</t>
    <phoneticPr fontId="1"/>
  </si>
  <si>
    <t>(L8EV2)SN410100197~</t>
    <phoneticPr fontId="1"/>
  </si>
  <si>
    <t xml:space="preserve">(L8EV)SN410005239~ </t>
    <phoneticPr fontId="1"/>
  </si>
  <si>
    <t>(L8EV)SN410000003~</t>
  </si>
  <si>
    <t>195000005~</t>
    <phoneticPr fontId="1"/>
  </si>
  <si>
    <t>195001139~</t>
    <phoneticPr fontId="1"/>
  </si>
  <si>
    <t>A14IW共通品</t>
    <rPh sb="5" eb="7">
      <t>キョウツウ</t>
    </rPh>
    <rPh sb="7" eb="8">
      <t>ヒン</t>
    </rPh>
    <phoneticPr fontId="1"/>
  </si>
  <si>
    <t xml:space="preserve">
</t>
    <phoneticPr fontId="1"/>
  </si>
  <si>
    <t>05742-00359</t>
  </si>
  <si>
    <t>A5F</t>
    <phoneticPr fontId="1"/>
  </si>
  <si>
    <t>A7F</t>
    <phoneticPr fontId="1"/>
  </si>
  <si>
    <t>A25F</t>
    <phoneticPr fontId="1"/>
  </si>
  <si>
    <t>A25G</t>
  </si>
  <si>
    <t>A25G</t>
    <phoneticPr fontId="1"/>
  </si>
  <si>
    <t>A27B</t>
  </si>
  <si>
    <t>A27B</t>
    <phoneticPr fontId="1"/>
  </si>
  <si>
    <t>L8EV</t>
    <phoneticPr fontId="1"/>
  </si>
  <si>
    <t>L9EV</t>
    <phoneticPr fontId="1"/>
  </si>
  <si>
    <t>L9ER</t>
    <phoneticPr fontId="1"/>
  </si>
  <si>
    <t xml:space="preserve">	C9-3</t>
    <phoneticPr fontId="1"/>
  </si>
  <si>
    <t xml:space="preserve">	A14GW</t>
    <phoneticPr fontId="1"/>
  </si>
  <si>
    <t xml:space="preserve">	A14HW</t>
    <phoneticPr fontId="1"/>
  </si>
  <si>
    <t>A14GW</t>
  </si>
  <si>
    <t>A14GW</t>
    <phoneticPr fontId="1"/>
  </si>
  <si>
    <t>A14I</t>
    <phoneticPr fontId="1"/>
  </si>
  <si>
    <t>L5E</t>
  </si>
  <si>
    <t>L5E</t>
    <phoneticPr fontId="1"/>
  </si>
  <si>
    <t>A14H</t>
    <phoneticPr fontId="1"/>
  </si>
  <si>
    <t>A6E</t>
  </si>
  <si>
    <t>A6E</t>
    <phoneticPr fontId="1"/>
  </si>
  <si>
    <t xml:space="preserve">	A7F</t>
    <phoneticPr fontId="1"/>
  </si>
  <si>
    <t xml:space="preserve">	A5F</t>
    <phoneticPr fontId="1"/>
  </si>
  <si>
    <t xml:space="preserve">	A7G</t>
    <phoneticPr fontId="1"/>
  </si>
  <si>
    <t>A12B</t>
    <phoneticPr fontId="1"/>
  </si>
  <si>
    <t xml:space="preserve">	A12A</t>
    <phoneticPr fontId="1"/>
  </si>
  <si>
    <t xml:space="preserve">	A12B</t>
    <phoneticPr fontId="1"/>
  </si>
  <si>
    <t>L6E</t>
    <phoneticPr fontId="1"/>
  </si>
  <si>
    <t>F14F</t>
    <phoneticPr fontId="1"/>
  </si>
  <si>
    <t xml:space="preserve">	A25F</t>
    <phoneticPr fontId="1"/>
  </si>
  <si>
    <t xml:space="preserve">	A27B</t>
    <phoneticPr fontId="1"/>
  </si>
  <si>
    <t xml:space="preserve">	A25G</t>
    <phoneticPr fontId="1"/>
  </si>
  <si>
    <t xml:space="preserve">	A27A</t>
    <phoneticPr fontId="1"/>
  </si>
  <si>
    <t>A27A</t>
  </si>
  <si>
    <t>適用号機で00019と00290のどちらの
コントローラを使用しているか
分からなかった為、両方で記載</t>
    <phoneticPr fontId="1"/>
  </si>
  <si>
    <t xml:space="preserve">	A4E</t>
    <phoneticPr fontId="1"/>
  </si>
  <si>
    <t>設変Noが46532になっていました。</t>
    <rPh sb="0" eb="2">
      <t>セッペン</t>
    </rPh>
    <phoneticPr fontId="1"/>
  </si>
  <si>
    <t>A7F</t>
    <phoneticPr fontId="1"/>
  </si>
  <si>
    <t>A5F</t>
    <phoneticPr fontId="1"/>
  </si>
  <si>
    <t>A7G</t>
    <phoneticPr fontId="1"/>
  </si>
  <si>
    <t>A14D-2</t>
    <phoneticPr fontId="1"/>
  </si>
  <si>
    <t xml:space="preserve">	A14D-3</t>
    <phoneticPr fontId="1"/>
  </si>
  <si>
    <t>適用号機で00143と00147のどちらのコントローラを使用しているか分からなかった為、両方で記載</t>
    <rPh sb="0" eb="2">
      <t>テキヨウ</t>
    </rPh>
    <rPh sb="2" eb="4">
      <t>ゴウキ</t>
    </rPh>
    <rPh sb="28" eb="30">
      <t>シヨウ</t>
    </rPh>
    <rPh sb="35" eb="36">
      <t>ワ</t>
    </rPh>
    <rPh sb="42" eb="43">
      <t>タメ</t>
    </rPh>
    <rPh sb="44" eb="46">
      <t>リョウホウ</t>
    </rPh>
    <rPh sb="47" eb="49">
      <t>キサイ</t>
    </rPh>
    <phoneticPr fontId="1"/>
  </si>
  <si>
    <t>適用号機で00372と00417のどちらのコントローラを使用しているか分からなかった為、両方で記載</t>
    <rPh sb="0" eb="2">
      <t>テキヨウ</t>
    </rPh>
    <rPh sb="2" eb="4">
      <t>ゴウキ</t>
    </rPh>
    <rPh sb="28" eb="30">
      <t>シヨウ</t>
    </rPh>
    <rPh sb="35" eb="36">
      <t>ワ</t>
    </rPh>
    <rPh sb="42" eb="43">
      <t>タメ</t>
    </rPh>
    <rPh sb="44" eb="46">
      <t>リョウホウ</t>
    </rPh>
    <rPh sb="47" eb="49">
      <t>キサイ</t>
    </rPh>
    <phoneticPr fontId="1"/>
  </si>
  <si>
    <t>適用号機で00020,00143.00147のどちらのコントローラを使用しているか
分からなかった為、両方で記載</t>
    <phoneticPr fontId="1"/>
  </si>
  <si>
    <t>適用号機で43660,43661のどちらの
コントローラを使用しているか
分からなかった為、両方で記載</t>
    <phoneticPr fontId="1"/>
  </si>
  <si>
    <t>A27A</t>
    <phoneticPr fontId="1"/>
  </si>
  <si>
    <t xml:space="preserve">	F14F</t>
    <phoneticPr fontId="1"/>
  </si>
  <si>
    <t>A5F</t>
    <phoneticPr fontId="1"/>
  </si>
  <si>
    <t>A6E</t>
    <phoneticPr fontId="1"/>
  </si>
  <si>
    <t xml:space="preserve">	A7G</t>
    <phoneticPr fontId="1"/>
  </si>
  <si>
    <t xml:space="preserve">	A9F</t>
    <phoneticPr fontId="1"/>
  </si>
  <si>
    <t xml:space="preserve">	F10E</t>
    <phoneticPr fontId="1"/>
  </si>
  <si>
    <t xml:space="preserve">	A12A</t>
    <phoneticPr fontId="1"/>
  </si>
  <si>
    <t xml:space="preserve">	A12B</t>
    <phoneticPr fontId="1"/>
  </si>
  <si>
    <t xml:space="preserve">	F14F</t>
    <phoneticPr fontId="1"/>
  </si>
  <si>
    <t>A14FW</t>
    <phoneticPr fontId="1"/>
  </si>
  <si>
    <t xml:space="preserve">	L9ER</t>
    <phoneticPr fontId="1"/>
  </si>
  <si>
    <t>L9EV</t>
    <phoneticPr fontId="1"/>
  </si>
  <si>
    <t>A14H</t>
    <phoneticPr fontId="1"/>
  </si>
  <si>
    <t xml:space="preserve">	A14J</t>
    <phoneticPr fontId="1"/>
  </si>
  <si>
    <t xml:space="preserve">	L5E</t>
    <phoneticPr fontId="1"/>
  </si>
  <si>
    <t>L5E2</t>
  </si>
  <si>
    <t xml:space="preserve">	L6F</t>
    <phoneticPr fontId="1"/>
  </si>
  <si>
    <t xml:space="preserve">	L8EV2</t>
    <phoneticPr fontId="1"/>
  </si>
  <si>
    <t xml:space="preserve">	L8EV</t>
    <phoneticPr fontId="1"/>
  </si>
  <si>
    <t xml:space="preserve">	L9ER2</t>
    <phoneticPr fontId="1"/>
  </si>
  <si>
    <t>C9-4</t>
    <phoneticPr fontId="1"/>
  </si>
  <si>
    <t>A9F</t>
  </si>
  <si>
    <t xml:space="preserve">	A14HW</t>
    <phoneticPr fontId="1"/>
  </si>
  <si>
    <t xml:space="preserve">	A14GW</t>
    <phoneticPr fontId="1"/>
  </si>
  <si>
    <t>A14HW</t>
    <phoneticPr fontId="1"/>
  </si>
  <si>
    <t xml:space="preserve">	A7F</t>
    <phoneticPr fontId="1"/>
  </si>
  <si>
    <t>A5F</t>
    <phoneticPr fontId="1"/>
  </si>
  <si>
    <t xml:space="preserve">	A7G</t>
    <phoneticPr fontId="1"/>
  </si>
  <si>
    <t xml:space="preserve">	A12B</t>
    <phoneticPr fontId="1"/>
  </si>
  <si>
    <t>L5E</t>
    <phoneticPr fontId="1"/>
  </si>
  <si>
    <t xml:space="preserve">	A5F</t>
    <phoneticPr fontId="1"/>
  </si>
  <si>
    <t xml:space="preserve">	A6E</t>
    <phoneticPr fontId="1"/>
  </si>
  <si>
    <t xml:space="preserve">	A12A</t>
    <phoneticPr fontId="1"/>
  </si>
  <si>
    <t>A12B</t>
    <phoneticPr fontId="1"/>
  </si>
  <si>
    <t xml:space="preserve">	F14F</t>
    <phoneticPr fontId="1"/>
  </si>
  <si>
    <t xml:space="preserve">	A9F</t>
    <phoneticPr fontId="1"/>
  </si>
  <si>
    <t xml:space="preserve">	A14FW</t>
    <phoneticPr fontId="1"/>
  </si>
  <si>
    <t xml:space="preserve">	L9ER</t>
    <phoneticPr fontId="1"/>
  </si>
  <si>
    <t xml:space="preserve">	L9EV</t>
    <phoneticPr fontId="1"/>
  </si>
  <si>
    <t xml:space="preserve">	A14I</t>
    <phoneticPr fontId="1"/>
  </si>
  <si>
    <t>A14H</t>
    <phoneticPr fontId="1"/>
  </si>
  <si>
    <t xml:space="preserve">	L5E</t>
    <phoneticPr fontId="1"/>
  </si>
  <si>
    <t xml:space="preserve">	L6F</t>
    <phoneticPr fontId="1"/>
  </si>
  <si>
    <t xml:space="preserve">	L8EV2</t>
    <phoneticPr fontId="1"/>
  </si>
  <si>
    <t xml:space="preserve">	L8EV</t>
    <phoneticPr fontId="1"/>
  </si>
  <si>
    <t>L9EV2</t>
    <phoneticPr fontId="1"/>
  </si>
  <si>
    <t>43660と43661でどちらのクラスタ
を使用しているか分からなかったため、
両方で記載</t>
    <rPh sb="22" eb="24">
      <t>シヨウ</t>
    </rPh>
    <rPh sb="29" eb="30">
      <t>ワ</t>
    </rPh>
    <rPh sb="40" eb="42">
      <t>リョウホウ</t>
    </rPh>
    <rPh sb="43" eb="45">
      <t>キサイ</t>
    </rPh>
    <phoneticPr fontId="1"/>
  </si>
  <si>
    <t>A25F</t>
    <phoneticPr fontId="1"/>
  </si>
  <si>
    <t xml:space="preserve">	A25G</t>
    <phoneticPr fontId="1"/>
  </si>
  <si>
    <t>A27A</t>
    <phoneticPr fontId="1"/>
  </si>
  <si>
    <t>A27B</t>
    <phoneticPr fontId="1"/>
  </si>
  <si>
    <t>L9C</t>
    <phoneticPr fontId="1"/>
  </si>
  <si>
    <t xml:space="preserve">	A14I</t>
    <phoneticPr fontId="1"/>
  </si>
  <si>
    <t>A14H</t>
    <phoneticPr fontId="1"/>
  </si>
  <si>
    <t>A14I</t>
    <phoneticPr fontId="1"/>
  </si>
  <si>
    <t>L5E</t>
    <phoneticPr fontId="1"/>
  </si>
  <si>
    <t xml:space="preserve">	A7F</t>
    <phoneticPr fontId="1"/>
  </si>
  <si>
    <t xml:space="preserve">	A5F</t>
    <phoneticPr fontId="1"/>
  </si>
  <si>
    <t xml:space="preserve">	A7G</t>
    <phoneticPr fontId="1"/>
  </si>
  <si>
    <t xml:space="preserve">	A12B</t>
    <phoneticPr fontId="1"/>
  </si>
  <si>
    <t>00020と00143でどちらのクラスタ
を使用しているか分からなかったため、
両方で記載</t>
    <rPh sb="22" eb="24">
      <t>シヨウ</t>
    </rPh>
    <rPh sb="29" eb="30">
      <t>ワ</t>
    </rPh>
    <rPh sb="40" eb="42">
      <t>リョウホウ</t>
    </rPh>
    <rPh sb="43" eb="45">
      <t>キサイ</t>
    </rPh>
    <phoneticPr fontId="1"/>
  </si>
  <si>
    <t xml:space="preserve">	A12A</t>
    <phoneticPr fontId="1"/>
  </si>
  <si>
    <t>A12B</t>
    <phoneticPr fontId="1"/>
  </si>
  <si>
    <t xml:space="preserve">	A4E</t>
    <phoneticPr fontId="1"/>
  </si>
  <si>
    <t xml:space="preserve">	A4F</t>
    <phoneticPr fontId="1"/>
  </si>
  <si>
    <t>A13A</t>
    <phoneticPr fontId="1"/>
  </si>
  <si>
    <t>A14HW</t>
  </si>
  <si>
    <t>A14HW</t>
    <phoneticPr fontId="1"/>
  </si>
  <si>
    <t>ファン変更,No48498になっていました</t>
    <rPh sb="3" eb="5">
      <t>ヘンコウ</t>
    </rPh>
    <phoneticPr fontId="1"/>
  </si>
  <si>
    <t>C9-4</t>
    <phoneticPr fontId="1"/>
  </si>
  <si>
    <t xml:space="preserve">	C10-4</t>
    <phoneticPr fontId="1"/>
  </si>
  <si>
    <t xml:space="preserve">	A6E</t>
    <phoneticPr fontId="1"/>
  </si>
  <si>
    <t xml:space="preserve">	A9F</t>
    <phoneticPr fontId="1"/>
  </si>
  <si>
    <t xml:space="preserve">	C9-4</t>
    <phoneticPr fontId="1"/>
  </si>
  <si>
    <t xml:space="preserve">	L8EV</t>
    <phoneticPr fontId="1"/>
  </si>
  <si>
    <t xml:space="preserve">	L9EV</t>
    <phoneticPr fontId="1"/>
  </si>
  <si>
    <t>L9ER</t>
    <phoneticPr fontId="1"/>
  </si>
  <si>
    <t>00019と00290でどちらのクラスタ
を使用しているか分からなかったため、
両方で記載</t>
    <rPh sb="22" eb="24">
      <t>シヨウ</t>
    </rPh>
    <rPh sb="29" eb="30">
      <t>ワ</t>
    </rPh>
    <rPh sb="40" eb="42">
      <t>リョウホウ</t>
    </rPh>
    <rPh sb="43" eb="45">
      <t>キサイ</t>
    </rPh>
    <phoneticPr fontId="1"/>
  </si>
  <si>
    <t>A5F</t>
    <phoneticPr fontId="1"/>
  </si>
  <si>
    <t xml:space="preserve">	A14J</t>
    <phoneticPr fontId="1"/>
  </si>
  <si>
    <t>L6E</t>
    <phoneticPr fontId="1"/>
  </si>
  <si>
    <t xml:space="preserve">	L6E2</t>
    <phoneticPr fontId="1"/>
  </si>
  <si>
    <t xml:space="preserve">	L5E</t>
    <phoneticPr fontId="1"/>
  </si>
  <si>
    <t>A7G</t>
    <phoneticPr fontId="1"/>
  </si>
  <si>
    <t>A9F</t>
    <phoneticPr fontId="1"/>
  </si>
  <si>
    <t xml:space="preserve">	F10E</t>
    <phoneticPr fontId="1"/>
  </si>
  <si>
    <t>F14F</t>
    <phoneticPr fontId="1"/>
  </si>
  <si>
    <t xml:space="preserve">	A14FW</t>
    <phoneticPr fontId="1"/>
  </si>
  <si>
    <t xml:space="preserve">	L9ER</t>
    <phoneticPr fontId="1"/>
  </si>
  <si>
    <t>L8EV</t>
    <phoneticPr fontId="1"/>
  </si>
  <si>
    <t xml:space="preserve">	A14H</t>
    <phoneticPr fontId="1"/>
  </si>
  <si>
    <t xml:space="preserve">	L5E2</t>
    <phoneticPr fontId="1"/>
  </si>
  <si>
    <t xml:space="preserve">	L6F</t>
    <phoneticPr fontId="1"/>
  </si>
  <si>
    <t xml:space="preserve">	L9EV2</t>
    <phoneticPr fontId="1"/>
  </si>
  <si>
    <t xml:space="preserve">	L9ER2</t>
    <phoneticPr fontId="1"/>
  </si>
  <si>
    <t>A7F</t>
    <phoneticPr fontId="1"/>
  </si>
  <si>
    <t>43664と43665でどちらのクラスタ
を使用しているか分からなかったため、
両方で記載</t>
    <rPh sb="22" eb="24">
      <t>シヨウ</t>
    </rPh>
    <rPh sb="29" eb="30">
      <t>ワ</t>
    </rPh>
    <rPh sb="40" eb="42">
      <t>リョウホウ</t>
    </rPh>
    <rPh sb="43" eb="45">
      <t>キサイ</t>
    </rPh>
    <phoneticPr fontId="1"/>
  </si>
  <si>
    <t xml:space="preserve">	E3F</t>
    <phoneticPr fontId="1"/>
  </si>
  <si>
    <t>L8EV2</t>
    <phoneticPr fontId="1"/>
  </si>
  <si>
    <t xml:space="preserve">	F14F</t>
    <phoneticPr fontId="1"/>
  </si>
  <si>
    <t>A9D</t>
    <phoneticPr fontId="1"/>
  </si>
  <si>
    <t>A25D</t>
  </si>
  <si>
    <t>A11D-2</t>
  </si>
  <si>
    <t>A11D</t>
    <phoneticPr fontId="1"/>
  </si>
  <si>
    <t>A14D-1</t>
  </si>
  <si>
    <t>F10E</t>
    <phoneticPr fontId="1"/>
  </si>
  <si>
    <t xml:space="preserve">	A14HW</t>
    <phoneticPr fontId="1"/>
  </si>
  <si>
    <t xml:space="preserve">	A14GW</t>
    <phoneticPr fontId="1"/>
  </si>
  <si>
    <t>05542-00173</t>
  </si>
  <si>
    <t>A12A</t>
    <phoneticPr fontId="1"/>
  </si>
  <si>
    <t xml:space="preserve">	A12B</t>
    <phoneticPr fontId="1"/>
  </si>
  <si>
    <t>A7F</t>
    <phoneticPr fontId="1"/>
  </si>
  <si>
    <t xml:space="preserve">	A5F</t>
    <phoneticPr fontId="1"/>
  </si>
  <si>
    <t xml:space="preserve">A7G	</t>
    <phoneticPr fontId="1"/>
  </si>
  <si>
    <t>A12B</t>
    <phoneticPr fontId="1"/>
  </si>
  <si>
    <t>F10E</t>
  </si>
  <si>
    <t>A14J</t>
  </si>
  <si>
    <t>L6F</t>
  </si>
  <si>
    <t>43664と43665でどちらのクラスタ
を使用しているか分からなかったため、
両方で記載</t>
    <phoneticPr fontId="1"/>
  </si>
  <si>
    <t xml:space="preserve">	A14I</t>
    <phoneticPr fontId="1"/>
  </si>
  <si>
    <t>00372、00417、00483、00455でどの
コントローラが使用しているか分からなかったため
全てで記載</t>
    <rPh sb="34" eb="36">
      <t>シヨウ</t>
    </rPh>
    <rPh sb="41" eb="42">
      <t>ワ</t>
    </rPh>
    <rPh sb="51" eb="52">
      <t>スベ</t>
    </rPh>
    <rPh sb="54" eb="56">
      <t>キサイ</t>
    </rPh>
    <phoneticPr fontId="1"/>
  </si>
  <si>
    <t>A5F</t>
    <phoneticPr fontId="1"/>
  </si>
  <si>
    <t xml:space="preserve">	A7G	</t>
    <phoneticPr fontId="1"/>
  </si>
  <si>
    <t>00417と00573でどちらのクラスタ
を使用しているか分からなかったため、
両方で記載</t>
    <phoneticPr fontId="1"/>
  </si>
  <si>
    <t>A25F</t>
    <phoneticPr fontId="1"/>
  </si>
  <si>
    <t>A25G</t>
    <phoneticPr fontId="1"/>
  </si>
  <si>
    <t xml:space="preserve">	A27A	</t>
    <phoneticPr fontId="1"/>
  </si>
  <si>
    <t xml:space="preserve">	A27B</t>
    <phoneticPr fontId="1"/>
  </si>
  <si>
    <t xml:space="preserve">	L5E</t>
    <phoneticPr fontId="1"/>
  </si>
  <si>
    <t xml:space="preserve">	A6E</t>
    <phoneticPr fontId="1"/>
  </si>
  <si>
    <t xml:space="preserve">	A7G</t>
    <phoneticPr fontId="1"/>
  </si>
  <si>
    <t xml:space="preserve">	A9F</t>
    <phoneticPr fontId="1"/>
  </si>
  <si>
    <t xml:space="preserve">	F10E</t>
    <phoneticPr fontId="1"/>
  </si>
  <si>
    <t xml:space="preserve">	F14F</t>
    <phoneticPr fontId="1"/>
  </si>
  <si>
    <t xml:space="preserve">	A14FW</t>
    <phoneticPr fontId="1"/>
  </si>
  <si>
    <t>L9ER</t>
    <phoneticPr fontId="1"/>
  </si>
  <si>
    <t xml:space="preserve">	L9EV	</t>
    <phoneticPr fontId="1"/>
  </si>
  <si>
    <t>L8EV</t>
    <phoneticPr fontId="1"/>
  </si>
  <si>
    <t xml:space="preserve">	A14H</t>
    <phoneticPr fontId="1"/>
  </si>
  <si>
    <t xml:space="preserve">	A14J</t>
    <phoneticPr fontId="1"/>
  </si>
  <si>
    <t>L5E</t>
    <phoneticPr fontId="1"/>
  </si>
  <si>
    <t xml:space="preserve">	L5E2</t>
    <phoneticPr fontId="1"/>
  </si>
  <si>
    <t xml:space="preserve">	A12A	</t>
    <phoneticPr fontId="1"/>
  </si>
  <si>
    <t>L6F</t>
    <phoneticPr fontId="1"/>
  </si>
  <si>
    <t xml:space="preserve">	L9ER</t>
    <phoneticPr fontId="1"/>
  </si>
  <si>
    <t xml:space="preserve">	L9EV</t>
    <phoneticPr fontId="1"/>
  </si>
  <si>
    <t xml:space="preserve">	L8EV2</t>
    <phoneticPr fontId="1"/>
  </si>
  <si>
    <t>L9EV2</t>
    <phoneticPr fontId="1"/>
  </si>
  <si>
    <t xml:space="preserve">	L9ER2</t>
    <phoneticPr fontId="1"/>
  </si>
  <si>
    <t>J7B</t>
    <phoneticPr fontId="1"/>
  </si>
  <si>
    <t>L5E2</t>
    <phoneticPr fontId="1"/>
  </si>
  <si>
    <t>00076と00132でどちらのコントローラ
を使用しているか分からなかったため、
両方で記載</t>
    <phoneticPr fontId="1"/>
  </si>
  <si>
    <t>E3F</t>
    <phoneticPr fontId="1"/>
  </si>
  <si>
    <t xml:space="preserve">	A13A</t>
    <phoneticPr fontId="1"/>
  </si>
  <si>
    <t>C9-4</t>
    <phoneticPr fontId="1"/>
  </si>
  <si>
    <t xml:space="preserve">C10-4	</t>
    <phoneticPr fontId="1"/>
  </si>
  <si>
    <t>A14HW</t>
    <phoneticPr fontId="1"/>
  </si>
  <si>
    <t xml:space="preserve">A14GW	</t>
    <phoneticPr fontId="1"/>
  </si>
  <si>
    <t>A14I</t>
    <phoneticPr fontId="1"/>
  </si>
  <si>
    <t>50466で設変されています。</t>
    <rPh sb="6" eb="8">
      <t>セッペン</t>
    </rPh>
    <phoneticPr fontId="1"/>
  </si>
  <si>
    <t>A14FW</t>
    <phoneticPr fontId="1"/>
  </si>
  <si>
    <t xml:space="preserve">	C9-4</t>
    <phoneticPr fontId="1"/>
  </si>
  <si>
    <t>17301-43664</t>
  </si>
  <si>
    <t>17301-43665</t>
  </si>
  <si>
    <t>43664と43665でどちらのコントローラ
を使用しているか分からなかったため、
両方で記載</t>
    <phoneticPr fontId="1"/>
  </si>
  <si>
    <t xml:space="preserve">	C10-4</t>
    <phoneticPr fontId="1"/>
  </si>
  <si>
    <t>L9EV</t>
    <phoneticPr fontId="1"/>
  </si>
  <si>
    <t xml:space="preserve">	A14GW</t>
    <phoneticPr fontId="1"/>
  </si>
  <si>
    <t xml:space="preserve">	A25G</t>
    <phoneticPr fontId="1"/>
  </si>
  <si>
    <t>A27A</t>
    <phoneticPr fontId="1"/>
  </si>
  <si>
    <t>A27B</t>
    <phoneticPr fontId="1"/>
  </si>
  <si>
    <t>J4B</t>
    <phoneticPr fontId="1"/>
  </si>
  <si>
    <t xml:space="preserve">	A4F</t>
    <phoneticPr fontId="1"/>
  </si>
  <si>
    <t>A4E</t>
    <phoneticPr fontId="1"/>
  </si>
  <si>
    <t xml:space="preserve">	A13A</t>
    <phoneticPr fontId="1"/>
  </si>
  <si>
    <t>43664と43665のどちらのクラスタで
使われているか分からない為両方で記載</t>
    <rPh sb="22" eb="23">
      <t>ツカ</t>
    </rPh>
    <rPh sb="29" eb="30">
      <t>ワ</t>
    </rPh>
    <rPh sb="34" eb="35">
      <t>タメ</t>
    </rPh>
    <rPh sb="35" eb="37">
      <t>リョウホウ</t>
    </rPh>
    <rPh sb="38" eb="40">
      <t>キサイ</t>
    </rPh>
    <phoneticPr fontId="1"/>
  </si>
  <si>
    <t xml:space="preserve">	L6F</t>
    <phoneticPr fontId="1"/>
  </si>
  <si>
    <t xml:space="preserve">	F10E</t>
    <phoneticPr fontId="1"/>
  </si>
  <si>
    <t xml:space="preserve">	A14J</t>
    <phoneticPr fontId="1"/>
  </si>
  <si>
    <t xml:space="preserve">	A7F</t>
    <phoneticPr fontId="1"/>
  </si>
  <si>
    <t>A5F</t>
    <phoneticPr fontId="1"/>
  </si>
  <si>
    <t xml:space="preserve">	A7G</t>
    <phoneticPr fontId="1"/>
  </si>
  <si>
    <t>A12B</t>
    <phoneticPr fontId="1"/>
  </si>
  <si>
    <t>A13A</t>
    <phoneticPr fontId="1"/>
  </si>
  <si>
    <t xml:space="preserve">	E3F</t>
    <phoneticPr fontId="1"/>
  </si>
  <si>
    <t xml:space="preserve">	J4B</t>
    <phoneticPr fontId="1"/>
  </si>
  <si>
    <t xml:space="preserve">	A4F	</t>
    <phoneticPr fontId="1"/>
  </si>
  <si>
    <t xml:space="preserve">	A4E</t>
    <phoneticPr fontId="1"/>
  </si>
  <si>
    <t xml:space="preserve">	A14HW</t>
    <phoneticPr fontId="1"/>
  </si>
  <si>
    <t xml:space="preserve">	A14GW</t>
    <phoneticPr fontId="1"/>
  </si>
  <si>
    <t>A12A</t>
    <phoneticPr fontId="1"/>
  </si>
  <si>
    <t xml:space="preserve">	A12B</t>
    <phoneticPr fontId="1"/>
  </si>
  <si>
    <t xml:space="preserve">	F14F</t>
    <phoneticPr fontId="1"/>
  </si>
  <si>
    <t xml:space="preserve">	J7B</t>
    <phoneticPr fontId="1"/>
  </si>
  <si>
    <t xml:space="preserve">	J10B</t>
    <phoneticPr fontId="1"/>
  </si>
  <si>
    <t xml:space="preserve">	A9F</t>
    <phoneticPr fontId="1"/>
  </si>
  <si>
    <t xml:space="preserve">	A6E</t>
    <phoneticPr fontId="1"/>
  </si>
  <si>
    <t>A14HW</t>
    <phoneticPr fontId="1"/>
  </si>
  <si>
    <t xml:space="preserve">	A14GW	</t>
    <phoneticPr fontId="1"/>
  </si>
  <si>
    <t>E3F</t>
    <phoneticPr fontId="1"/>
  </si>
  <si>
    <t xml:space="preserve">	A25F</t>
    <phoneticPr fontId="1"/>
  </si>
  <si>
    <t xml:space="preserve">	A27B</t>
    <phoneticPr fontId="1"/>
  </si>
  <si>
    <t xml:space="preserve">	A25G</t>
    <phoneticPr fontId="1"/>
  </si>
  <si>
    <t xml:space="preserve">	A27A</t>
    <phoneticPr fontId="1"/>
  </si>
  <si>
    <t>F10E</t>
    <phoneticPr fontId="1"/>
  </si>
  <si>
    <t xml:space="preserve">	L9EV</t>
    <phoneticPr fontId="1"/>
  </si>
  <si>
    <t xml:space="preserve">	L8EV</t>
    <phoneticPr fontId="1"/>
  </si>
  <si>
    <t xml:space="preserve">	L9ER</t>
    <phoneticPr fontId="1"/>
  </si>
  <si>
    <t xml:space="preserve">	L8EV2</t>
    <phoneticPr fontId="1"/>
  </si>
  <si>
    <t xml:space="preserve">L9ER	</t>
    <phoneticPr fontId="1"/>
  </si>
  <si>
    <t xml:space="preserve">	L9ER2	</t>
    <phoneticPr fontId="1"/>
  </si>
  <si>
    <t>L9EV</t>
    <phoneticPr fontId="1"/>
  </si>
  <si>
    <t>L9EV2</t>
    <phoneticPr fontId="1"/>
  </si>
  <si>
    <t>00019, 00290, 00371のどのコントローラを使用しているか分からなかった為全て記載</t>
    <rPh sb="29" eb="31">
      <t>シヨウ</t>
    </rPh>
    <rPh sb="36" eb="37">
      <t>ワ</t>
    </rPh>
    <rPh sb="43" eb="44">
      <t>タメ</t>
    </rPh>
    <rPh sb="44" eb="45">
      <t>スベ</t>
    </rPh>
    <rPh sb="46" eb="48">
      <t>キサイ</t>
    </rPh>
    <phoneticPr fontId="1"/>
  </si>
  <si>
    <t>A14I</t>
    <phoneticPr fontId="1"/>
  </si>
  <si>
    <t xml:space="preserve">	C10-4	</t>
    <phoneticPr fontId="1"/>
  </si>
  <si>
    <t xml:space="preserve">	C9-4</t>
    <phoneticPr fontId="1"/>
  </si>
  <si>
    <t>A14H</t>
    <phoneticPr fontId="1"/>
  </si>
  <si>
    <t xml:space="preserve">	A14I</t>
    <phoneticPr fontId="1"/>
  </si>
  <si>
    <t xml:space="preserve">	L8EV</t>
    <phoneticPr fontId="1"/>
  </si>
  <si>
    <t>J4B</t>
    <phoneticPr fontId="1"/>
  </si>
  <si>
    <t xml:space="preserve">	A4F</t>
    <phoneticPr fontId="1"/>
  </si>
  <si>
    <t>A4E</t>
    <phoneticPr fontId="1"/>
  </si>
  <si>
    <t xml:space="preserve">	A25F</t>
    <phoneticPr fontId="1"/>
  </si>
  <si>
    <t xml:space="preserve">A25G	</t>
    <phoneticPr fontId="1"/>
  </si>
  <si>
    <t>A27A</t>
    <phoneticPr fontId="1"/>
  </si>
  <si>
    <t>A27B</t>
    <phoneticPr fontId="1"/>
  </si>
  <si>
    <t xml:space="preserve">	A14HW</t>
    <phoneticPr fontId="1"/>
  </si>
  <si>
    <t xml:space="preserve">A14GW	</t>
    <phoneticPr fontId="1"/>
  </si>
  <si>
    <t xml:space="preserve">	A14H</t>
    <phoneticPr fontId="1"/>
  </si>
  <si>
    <t>A14I</t>
    <phoneticPr fontId="1"/>
  </si>
  <si>
    <t xml:space="preserve">	A13A</t>
    <phoneticPr fontId="1"/>
  </si>
  <si>
    <t xml:space="preserve">	J4B</t>
    <phoneticPr fontId="1"/>
  </si>
  <si>
    <t xml:space="preserve">	A4E</t>
    <phoneticPr fontId="1"/>
  </si>
  <si>
    <t xml:space="preserve">	A13AW</t>
    <phoneticPr fontId="1"/>
  </si>
  <si>
    <t xml:space="preserve">	A14IW</t>
    <phoneticPr fontId="1"/>
  </si>
  <si>
    <t>L8EV2</t>
    <phoneticPr fontId="1"/>
  </si>
  <si>
    <t>00230と００２３４のどちらのクラスタが使用されているか分からなかった為両方で記載</t>
    <rPh sb="21" eb="23">
      <t>シヨウ</t>
    </rPh>
    <rPh sb="29" eb="30">
      <t>ワ</t>
    </rPh>
    <rPh sb="36" eb="37">
      <t>タメ</t>
    </rPh>
    <rPh sb="37" eb="39">
      <t>リョウホウ</t>
    </rPh>
    <rPh sb="40" eb="42">
      <t>キサイ</t>
    </rPh>
    <phoneticPr fontId="1"/>
  </si>
  <si>
    <t>L8EV</t>
    <phoneticPr fontId="1"/>
  </si>
  <si>
    <t xml:space="preserve">	L8EV	</t>
    <phoneticPr fontId="1"/>
  </si>
  <si>
    <t>43665と43664のどちらのクラスタが使用されているか分からなかった為両方で記載</t>
    <rPh sb="21" eb="23">
      <t>シヨウ</t>
    </rPh>
    <rPh sb="29" eb="30">
      <t>ワ</t>
    </rPh>
    <rPh sb="36" eb="37">
      <t>タメ</t>
    </rPh>
    <rPh sb="37" eb="39">
      <t>リョウホウ</t>
    </rPh>
    <rPh sb="40" eb="42">
      <t>キサイ</t>
    </rPh>
    <phoneticPr fontId="1"/>
  </si>
  <si>
    <t xml:space="preserve">	L5E</t>
    <phoneticPr fontId="1"/>
  </si>
  <si>
    <t xml:space="preserve">	L5E2</t>
    <phoneticPr fontId="1"/>
  </si>
  <si>
    <t xml:space="preserve">	L6F</t>
    <phoneticPr fontId="1"/>
  </si>
  <si>
    <t xml:space="preserve">	L8EV2</t>
    <phoneticPr fontId="1"/>
  </si>
  <si>
    <t>L9ER</t>
    <phoneticPr fontId="1"/>
  </si>
  <si>
    <t xml:space="preserve">	L9ER2	</t>
    <phoneticPr fontId="1"/>
  </si>
  <si>
    <t>L9EV</t>
    <phoneticPr fontId="1"/>
  </si>
  <si>
    <t xml:space="preserve">	L9EV2	</t>
    <phoneticPr fontId="1"/>
  </si>
  <si>
    <t>00371と００２３0のどちらのクラスタが使用されているか分からなかった為両方で記載</t>
    <rPh sb="21" eb="23">
      <t>シヨウ</t>
    </rPh>
    <rPh sb="29" eb="30">
      <t>ワ</t>
    </rPh>
    <rPh sb="36" eb="37">
      <t>タメ</t>
    </rPh>
    <rPh sb="37" eb="39">
      <t>リョウホウ</t>
    </rPh>
    <rPh sb="40" eb="42">
      <t>キサイ</t>
    </rPh>
    <phoneticPr fontId="1"/>
  </si>
  <si>
    <t>A14GW</t>
    <phoneticPr fontId="1"/>
  </si>
  <si>
    <t>A13A</t>
    <phoneticPr fontId="1"/>
  </si>
  <si>
    <t xml:space="preserve">	A9F</t>
    <phoneticPr fontId="1"/>
  </si>
  <si>
    <t xml:space="preserve">	A6E</t>
    <phoneticPr fontId="1"/>
  </si>
  <si>
    <t xml:space="preserve">	F10E</t>
    <phoneticPr fontId="1"/>
  </si>
  <si>
    <t>00483と00602でどのコントローラが使用されているか分からなかった為両方で記載</t>
    <rPh sb="21" eb="23">
      <t>シヨウ</t>
    </rPh>
    <rPh sb="29" eb="30">
      <t>ワ</t>
    </rPh>
    <rPh sb="36" eb="37">
      <t>タメ</t>
    </rPh>
    <rPh sb="37" eb="39">
      <t>リョウホウ</t>
    </rPh>
    <rPh sb="40" eb="42">
      <t>キサイ</t>
    </rPh>
    <phoneticPr fontId="1"/>
  </si>
  <si>
    <t xml:space="preserve">	F14F</t>
    <phoneticPr fontId="1"/>
  </si>
  <si>
    <t xml:space="preserve">	A14J</t>
    <phoneticPr fontId="1"/>
  </si>
  <si>
    <t>設変No53270で設変しています。</t>
    <rPh sb="0" eb="2">
      <t>セッペン</t>
    </rPh>
    <rPh sb="10" eb="12">
      <t>セッペン</t>
    </rPh>
    <phoneticPr fontId="1"/>
  </si>
  <si>
    <t xml:space="preserve">	A7F</t>
    <phoneticPr fontId="1"/>
  </si>
  <si>
    <t xml:space="preserve">	A5F</t>
    <phoneticPr fontId="1"/>
  </si>
  <si>
    <t>A7G</t>
    <phoneticPr fontId="1"/>
  </si>
  <si>
    <t xml:space="preserve">	A12B</t>
    <phoneticPr fontId="1"/>
  </si>
  <si>
    <t>F10E</t>
    <phoneticPr fontId="1"/>
  </si>
  <si>
    <t>F14F</t>
    <phoneticPr fontId="1"/>
  </si>
  <si>
    <t xml:space="preserve">	E3F</t>
    <phoneticPr fontId="1"/>
  </si>
  <si>
    <t xml:space="preserve">	C10-5</t>
    <phoneticPr fontId="1"/>
  </si>
  <si>
    <t xml:space="preserve">	J7B</t>
    <phoneticPr fontId="1"/>
  </si>
  <si>
    <t xml:space="preserve">	J10B</t>
    <phoneticPr fontId="1"/>
  </si>
  <si>
    <t>A25F</t>
    <phoneticPr fontId="1"/>
  </si>
  <si>
    <t xml:space="preserve">	A25G</t>
    <phoneticPr fontId="1"/>
  </si>
  <si>
    <t xml:space="preserve">	A27A</t>
    <phoneticPr fontId="1"/>
  </si>
  <si>
    <t xml:space="preserve">	A27B</t>
    <phoneticPr fontId="1"/>
  </si>
  <si>
    <t>L6F</t>
    <phoneticPr fontId="1"/>
  </si>
  <si>
    <t xml:space="preserve">	A14GW</t>
    <phoneticPr fontId="1"/>
  </si>
  <si>
    <t>A14J</t>
    <phoneticPr fontId="1"/>
  </si>
  <si>
    <t xml:space="preserve">	L85G</t>
    <phoneticPr fontId="1"/>
  </si>
  <si>
    <t xml:space="preserve">	C10-4</t>
    <phoneticPr fontId="1"/>
  </si>
  <si>
    <t>A12A</t>
    <phoneticPr fontId="1"/>
  </si>
  <si>
    <t xml:space="preserve">	A7G</t>
    <phoneticPr fontId="1"/>
  </si>
  <si>
    <t xml:space="preserve">	A13A</t>
    <phoneticPr fontId="1"/>
  </si>
  <si>
    <t xml:space="preserve">	E3F</t>
    <phoneticPr fontId="1"/>
  </si>
  <si>
    <t xml:space="preserve">	J7B</t>
    <phoneticPr fontId="1"/>
  </si>
  <si>
    <t xml:space="preserve">	J10B</t>
    <phoneticPr fontId="1"/>
  </si>
  <si>
    <t xml:space="preserve">	A9F</t>
    <phoneticPr fontId="1"/>
  </si>
  <si>
    <t xml:space="preserve">	A6E</t>
    <phoneticPr fontId="1"/>
  </si>
  <si>
    <t xml:space="preserve">	F14F</t>
    <phoneticPr fontId="1"/>
  </si>
  <si>
    <t xml:space="preserve">	L5E</t>
    <phoneticPr fontId="1"/>
  </si>
  <si>
    <t xml:space="preserve">	L5E2</t>
    <phoneticPr fontId="1"/>
  </si>
  <si>
    <t xml:space="preserve">	L6F</t>
    <phoneticPr fontId="1"/>
  </si>
  <si>
    <t xml:space="preserve">	L9ER</t>
    <phoneticPr fontId="1"/>
  </si>
  <si>
    <t>L9ER2</t>
    <phoneticPr fontId="1"/>
  </si>
  <si>
    <t>L9EV</t>
    <phoneticPr fontId="1"/>
  </si>
  <si>
    <t xml:space="preserve">	L9EV2</t>
    <phoneticPr fontId="1"/>
  </si>
  <si>
    <t xml:space="preserve">	L8EV</t>
    <phoneticPr fontId="1"/>
  </si>
  <si>
    <t xml:space="preserve">	L8EV2</t>
    <phoneticPr fontId="1"/>
  </si>
  <si>
    <t xml:space="preserve">	F10E</t>
    <phoneticPr fontId="1"/>
  </si>
  <si>
    <t>J10B</t>
    <phoneticPr fontId="1"/>
  </si>
  <si>
    <t xml:space="preserve">	A14HW</t>
    <phoneticPr fontId="1"/>
  </si>
  <si>
    <t xml:space="preserve">	A14GW</t>
    <phoneticPr fontId="1"/>
  </si>
  <si>
    <t xml:space="preserve">	A25F</t>
    <phoneticPr fontId="1"/>
  </si>
  <si>
    <t xml:space="preserve">	A25G</t>
    <phoneticPr fontId="1"/>
  </si>
  <si>
    <t xml:space="preserve">	A27A</t>
    <phoneticPr fontId="1"/>
  </si>
  <si>
    <t>A27B</t>
    <phoneticPr fontId="1"/>
  </si>
  <si>
    <t xml:space="preserve">	A13AW</t>
    <phoneticPr fontId="1"/>
  </si>
  <si>
    <t xml:space="preserve">	A14IW</t>
    <phoneticPr fontId="1"/>
  </si>
  <si>
    <t>00683,00684,00685のどのコントローラで
使用されているか分からなかったため両方で記載</t>
    <rPh sb="28" eb="30">
      <t>シヨウ</t>
    </rPh>
    <rPh sb="36" eb="37">
      <t>ワ</t>
    </rPh>
    <rPh sb="45" eb="47">
      <t>リョウホウ</t>
    </rPh>
    <rPh sb="48" eb="50">
      <t>キサイ</t>
    </rPh>
    <phoneticPr fontId="1"/>
  </si>
  <si>
    <t xml:space="preserve">	A12A</t>
    <phoneticPr fontId="1"/>
  </si>
  <si>
    <t xml:space="preserve">	A12B</t>
    <phoneticPr fontId="1"/>
  </si>
  <si>
    <t>A14FW</t>
    <phoneticPr fontId="1"/>
  </si>
  <si>
    <t xml:space="preserve">	A25E</t>
    <phoneticPr fontId="1"/>
  </si>
  <si>
    <t xml:space="preserve">	A25EW</t>
    <phoneticPr fontId="1"/>
  </si>
  <si>
    <t xml:space="preserve">	J4B</t>
    <phoneticPr fontId="1"/>
  </si>
  <si>
    <t xml:space="preserve">	A4F</t>
    <phoneticPr fontId="1"/>
  </si>
  <si>
    <t>A4E</t>
    <phoneticPr fontId="1"/>
  </si>
  <si>
    <t>J4B</t>
    <phoneticPr fontId="1"/>
  </si>
  <si>
    <t xml:space="preserve">	A5F</t>
    <phoneticPr fontId="1"/>
  </si>
  <si>
    <t>A7F</t>
    <phoneticPr fontId="1"/>
  </si>
  <si>
    <t xml:space="preserve">	A7G</t>
    <phoneticPr fontId="1"/>
  </si>
  <si>
    <t>区分</t>
    <rPh sb="0" eb="2">
      <t>クブン</t>
    </rPh>
    <phoneticPr fontId="1"/>
  </si>
  <si>
    <t>試作</t>
    <rPh sb="0" eb="2">
      <t>シサク</t>
    </rPh>
    <phoneticPr fontId="1"/>
  </si>
  <si>
    <t xml:space="preserve">	L6E</t>
    <phoneticPr fontId="1"/>
  </si>
  <si>
    <t>L6E</t>
    <phoneticPr fontId="1"/>
  </si>
  <si>
    <t xml:space="preserve">	L6E2</t>
    <phoneticPr fontId="1"/>
  </si>
  <si>
    <t>L8C</t>
    <phoneticPr fontId="1"/>
  </si>
  <si>
    <t xml:space="preserve">	L9C</t>
    <phoneticPr fontId="1"/>
  </si>
  <si>
    <t xml:space="preserve">	L9EV</t>
    <phoneticPr fontId="1"/>
  </si>
  <si>
    <t>備考</t>
    <rPh sb="0" eb="2">
      <t>ビコウ</t>
    </rPh>
    <phoneticPr fontId="1"/>
  </si>
  <si>
    <t>L9ER</t>
    <phoneticPr fontId="1"/>
  </si>
  <si>
    <t xml:space="preserve">	L9ER2</t>
    <phoneticPr fontId="1"/>
  </si>
  <si>
    <t>L8EV2</t>
    <phoneticPr fontId="1"/>
  </si>
  <si>
    <t>A14IW</t>
    <phoneticPr fontId="1"/>
  </si>
  <si>
    <t>A13AW</t>
    <phoneticPr fontId="1"/>
  </si>
  <si>
    <t>00683と00685のどちらのプログラム
が使用されているか分からなかった為
両方で記載</t>
    <rPh sb="23" eb="25">
      <t>シヨウ</t>
    </rPh>
    <rPh sb="31" eb="32">
      <t>ワ</t>
    </rPh>
    <rPh sb="38" eb="39">
      <t>タメ</t>
    </rPh>
    <rPh sb="40" eb="42">
      <t>リョウホウ</t>
    </rPh>
    <rPh sb="43" eb="45">
      <t>キサイ</t>
    </rPh>
    <phoneticPr fontId="1"/>
  </si>
  <si>
    <t>F14F</t>
    <phoneticPr fontId="1"/>
  </si>
  <si>
    <t>E2F</t>
    <phoneticPr fontId="1"/>
  </si>
  <si>
    <t xml:space="preserve">	A14J</t>
    <phoneticPr fontId="1"/>
  </si>
  <si>
    <t>J7B</t>
    <phoneticPr fontId="1"/>
  </si>
  <si>
    <t>00683と00924でどちらのコントローラ
が使用されているか分からなかった為両方で記載</t>
    <rPh sb="24" eb="26">
      <t>シヨウ</t>
    </rPh>
    <rPh sb="32" eb="33">
      <t>ワ</t>
    </rPh>
    <rPh sb="39" eb="40">
      <t>タメ</t>
    </rPh>
    <rPh sb="40" eb="42">
      <t>リョウホウ</t>
    </rPh>
    <rPh sb="43" eb="45">
      <t>キサイ</t>
    </rPh>
    <phoneticPr fontId="1"/>
  </si>
  <si>
    <t>L5E2</t>
    <phoneticPr fontId="1"/>
  </si>
  <si>
    <t>43664と43665でどちらのクラスタ
が使用されているか分からなかった為両方で記載</t>
    <phoneticPr fontId="1"/>
  </si>
  <si>
    <t>A25F</t>
    <phoneticPr fontId="1"/>
  </si>
  <si>
    <t>A25G</t>
    <phoneticPr fontId="1"/>
  </si>
  <si>
    <t>A27A</t>
    <phoneticPr fontId="1"/>
  </si>
  <si>
    <t xml:space="preserve">	A27B</t>
    <phoneticPr fontId="1"/>
  </si>
  <si>
    <t>00549と00639でどちらのコントローラ
が使用されているか分からなかった為両方で記載</t>
    <rPh sb="24" eb="26">
      <t>シヨウ</t>
    </rPh>
    <rPh sb="32" eb="33">
      <t>ワ</t>
    </rPh>
    <rPh sb="39" eb="40">
      <t>タメ</t>
    </rPh>
    <rPh sb="40" eb="42">
      <t>リョウホウ</t>
    </rPh>
    <rPh sb="43" eb="45">
      <t>キサイ</t>
    </rPh>
    <phoneticPr fontId="1"/>
  </si>
  <si>
    <t>号機は生産管理備考参照</t>
    <rPh sb="0" eb="2">
      <t>ゴウキ</t>
    </rPh>
    <rPh sb="3" eb="5">
      <t>セイサン</t>
    </rPh>
    <rPh sb="5" eb="7">
      <t>カンリ</t>
    </rPh>
    <rPh sb="7" eb="9">
      <t>ビコウ</t>
    </rPh>
    <rPh sb="9" eb="11">
      <t>サンショウ</t>
    </rPh>
    <phoneticPr fontId="1"/>
  </si>
  <si>
    <t>L85G</t>
    <phoneticPr fontId="1"/>
  </si>
  <si>
    <t xml:space="preserve">	L85G</t>
    <phoneticPr fontId="1"/>
  </si>
  <si>
    <t>A13A</t>
    <phoneticPr fontId="1"/>
  </si>
  <si>
    <t xml:space="preserve">	A14IW</t>
    <phoneticPr fontId="1"/>
  </si>
  <si>
    <t>A14IW</t>
    <phoneticPr fontId="1"/>
  </si>
  <si>
    <t>A13AW</t>
    <phoneticPr fontId="1"/>
  </si>
  <si>
    <t>試作</t>
    <rPh sb="0" eb="2">
      <t>シサク</t>
    </rPh>
    <phoneticPr fontId="1"/>
  </si>
  <si>
    <t>00998と00999でどちらのコントローラ
が使用されているか分からなかった為両方で記載</t>
    <rPh sb="24" eb="26">
      <t>シヨウ</t>
    </rPh>
    <rPh sb="32" eb="33">
      <t>ワ</t>
    </rPh>
    <rPh sb="39" eb="40">
      <t>タメ</t>
    </rPh>
    <rPh sb="40" eb="42">
      <t>リョウホウ</t>
    </rPh>
    <rPh sb="43" eb="45">
      <t>キサイ</t>
    </rPh>
    <phoneticPr fontId="1"/>
  </si>
  <si>
    <t>00559と00651でどちらのコントローラ
が使用されているか分からなかった為両方で記載</t>
    <rPh sb="24" eb="26">
      <t>シヨウ</t>
    </rPh>
    <rPh sb="32" eb="33">
      <t>ワ</t>
    </rPh>
    <rPh sb="39" eb="40">
      <t>タメ</t>
    </rPh>
    <rPh sb="40" eb="42">
      <t>リョウホウ</t>
    </rPh>
    <rPh sb="43" eb="45">
      <t>キサイ</t>
    </rPh>
    <phoneticPr fontId="1"/>
  </si>
  <si>
    <t>A13A</t>
    <phoneticPr fontId="1"/>
  </si>
  <si>
    <t xml:space="preserve">	A13AW</t>
    <phoneticPr fontId="1"/>
  </si>
  <si>
    <t xml:space="preserve">	C9-5</t>
    <phoneticPr fontId="1"/>
  </si>
  <si>
    <t xml:space="preserve">	L85G</t>
    <phoneticPr fontId="1"/>
  </si>
  <si>
    <t xml:space="preserve">	J7B</t>
    <phoneticPr fontId="1"/>
  </si>
  <si>
    <t xml:space="preserve">	C9-4</t>
    <phoneticPr fontId="1"/>
  </si>
  <si>
    <t xml:space="preserve">	C10-5</t>
    <phoneticPr fontId="1"/>
  </si>
  <si>
    <t xml:space="preserve">	L85G</t>
    <phoneticPr fontId="1"/>
  </si>
  <si>
    <t>A13AW</t>
    <phoneticPr fontId="1"/>
  </si>
  <si>
    <t>d27</t>
    <phoneticPr fontId="1"/>
  </si>
  <si>
    <t>05642-00075</t>
    <phoneticPr fontId="1"/>
  </si>
  <si>
    <t>V6.xx</t>
    <phoneticPr fontId="1"/>
  </si>
  <si>
    <t>エンジンECU変更</t>
    <rPh sb="7" eb="9">
      <t>ヘンコウ</t>
    </rPh>
    <phoneticPr fontId="1"/>
  </si>
  <si>
    <r>
      <t>A27A(514800667~</t>
    </r>
    <r>
      <rPr>
        <sz val="14"/>
        <rFont val="ＭＳ Ｐゴシック"/>
        <family val="3"/>
        <charset val="128"/>
      </rPr>
      <t>514800785</t>
    </r>
    <r>
      <rPr>
        <sz val="14"/>
        <rFont val="Arial Unicode MS"/>
        <family val="3"/>
        <charset val="128"/>
      </rPr>
      <t>)</t>
    </r>
    <phoneticPr fontId="1"/>
  </si>
  <si>
    <r>
      <t>A27B(STD/Low noise package)(514900459~</t>
    </r>
    <r>
      <rPr>
        <sz val="14"/>
        <rFont val="ＭＳ Ｐゴシック"/>
        <family val="3"/>
        <charset val="128"/>
      </rPr>
      <t>514901832</t>
    </r>
    <r>
      <rPr>
        <sz val="14"/>
        <rFont val="Arial Unicode MS"/>
        <family val="3"/>
        <charset val="128"/>
      </rPr>
      <t>)</t>
    </r>
    <phoneticPr fontId="1"/>
  </si>
  <si>
    <r>
      <t xml:space="preserve"> A25F(514600816~</t>
    </r>
    <r>
      <rPr>
        <sz val="14"/>
        <rFont val="ＭＳ Ｐゴシック"/>
        <family val="3"/>
        <charset val="128"/>
      </rPr>
      <t>514601413</t>
    </r>
    <r>
      <rPr>
        <sz val="14"/>
        <rFont val="Arial Unicode MS"/>
        <family val="3"/>
        <charset val="128"/>
      </rPr>
      <t>)</t>
    </r>
    <phoneticPr fontId="1"/>
  </si>
  <si>
    <r>
      <t>A25G(STD/Low noise package)(514700393~</t>
    </r>
    <r>
      <rPr>
        <sz val="14"/>
        <rFont val="ＭＳ Ｐゴシック"/>
        <family val="3"/>
        <charset val="128"/>
      </rPr>
      <t>514701357</t>
    </r>
    <r>
      <rPr>
        <sz val="14"/>
        <rFont val="Arial Unicode MS"/>
        <family val="3"/>
        <charset val="128"/>
      </rPr>
      <t>)</t>
    </r>
    <phoneticPr fontId="1"/>
  </si>
  <si>
    <r>
      <t>A27A(514800</t>
    </r>
    <r>
      <rPr>
        <sz val="14"/>
        <rFont val="ＭＳ Ｐゴシック"/>
        <family val="3"/>
        <charset val="128"/>
      </rPr>
      <t>786~</t>
    </r>
    <r>
      <rPr>
        <sz val="14"/>
        <rFont val="Arial Unicode MS"/>
        <family val="3"/>
        <charset val="128"/>
      </rPr>
      <t>)</t>
    </r>
    <phoneticPr fontId="1"/>
  </si>
  <si>
    <r>
      <t>A27B(STD/Low noise package)(51490</t>
    </r>
    <r>
      <rPr>
        <sz val="14"/>
        <rFont val="ＭＳ Ｐゴシック"/>
        <family val="3"/>
        <charset val="128"/>
      </rPr>
      <t>1833</t>
    </r>
    <r>
      <rPr>
        <sz val="14"/>
        <rFont val="Arial Unicode MS"/>
        <family val="3"/>
        <charset val="128"/>
      </rPr>
      <t>~)</t>
    </r>
    <phoneticPr fontId="1"/>
  </si>
  <si>
    <t>A25F(514601414~)</t>
    <phoneticPr fontId="1"/>
  </si>
  <si>
    <r>
      <t>A25G(STD/Low noise package)(5147</t>
    </r>
    <r>
      <rPr>
        <sz val="14"/>
        <rFont val="ＭＳ Ｐゴシック"/>
        <family val="3"/>
        <charset val="128"/>
      </rPr>
      <t>01358</t>
    </r>
    <r>
      <rPr>
        <sz val="14"/>
        <rFont val="Arial Unicode MS"/>
        <family val="3"/>
        <charset val="128"/>
      </rPr>
      <t>~)</t>
    </r>
    <phoneticPr fontId="1"/>
  </si>
  <si>
    <t>03542-00091</t>
    <phoneticPr fontId="1"/>
  </si>
  <si>
    <t>63542-00556</t>
    <phoneticPr fontId="1"/>
  </si>
  <si>
    <t>03642-00072</t>
    <phoneticPr fontId="1"/>
  </si>
  <si>
    <t>V2.xx</t>
    <phoneticPr fontId="1"/>
  </si>
  <si>
    <t>コントローラ共通品番廃止</t>
    <rPh sb="6" eb="8">
      <t>キョウツウ</t>
    </rPh>
    <rPh sb="8" eb="10">
      <t>ヒンバン</t>
    </rPh>
    <rPh sb="10" eb="12">
      <t>ハイシ</t>
    </rPh>
    <phoneticPr fontId="1"/>
  </si>
  <si>
    <t>03642-00327</t>
    <phoneticPr fontId="1"/>
  </si>
  <si>
    <t>保</t>
    <rPh sb="0" eb="1">
      <t>ホ</t>
    </rPh>
    <phoneticPr fontId="1"/>
  </si>
  <si>
    <t>V3.xx</t>
    <phoneticPr fontId="1"/>
  </si>
  <si>
    <t>120000010-120000467</t>
  </si>
  <si>
    <t>新規</t>
    <rPh sb="0" eb="2">
      <t>シンキ</t>
    </rPh>
    <phoneticPr fontId="6"/>
  </si>
  <si>
    <t>03342-00503</t>
    <phoneticPr fontId="1"/>
  </si>
  <si>
    <t>V4.xx</t>
    <phoneticPr fontId="1"/>
  </si>
  <si>
    <t>バッテリパック変更に伴う</t>
    <rPh sb="7" eb="9">
      <t>ヘンコウ</t>
    </rPh>
    <rPh sb="10" eb="11">
      <t>トモナ</t>
    </rPh>
    <phoneticPr fontId="1"/>
  </si>
  <si>
    <t>120000468-</t>
  </si>
  <si>
    <t>機能追加に伴うアップデート</t>
    <rPh sb="0" eb="4">
      <t>キノウツイカ</t>
    </rPh>
    <rPh sb="5" eb="6">
      <t>トモナ</t>
    </rPh>
    <phoneticPr fontId="6"/>
  </si>
  <si>
    <t>03342-00515</t>
    <phoneticPr fontId="1"/>
  </si>
  <si>
    <t>V5.xx</t>
    <phoneticPr fontId="1"/>
  </si>
  <si>
    <t>03396-00025</t>
    <phoneticPr fontId="1"/>
  </si>
  <si>
    <t>V3.xxのスプールキット(03301-00026)用</t>
    <rPh sb="26" eb="27">
      <t>ヨウ</t>
    </rPh>
    <phoneticPr fontId="1"/>
  </si>
  <si>
    <t>03342-00516</t>
    <phoneticPr fontId="1"/>
  </si>
  <si>
    <t>03396-00026</t>
    <phoneticPr fontId="1"/>
  </si>
  <si>
    <t>V4.xxのスプールキット(03301-00026)用</t>
    <rPh sb="26" eb="27">
      <t>ヨウ</t>
    </rPh>
    <phoneticPr fontId="1"/>
  </si>
  <si>
    <t>03342-00534</t>
    <phoneticPr fontId="1"/>
  </si>
  <si>
    <t>V7.xx</t>
    <phoneticPr fontId="1"/>
  </si>
  <si>
    <t>03396-00010</t>
    <phoneticPr fontId="1"/>
  </si>
  <si>
    <t>V3.xxのスプールキット(03301-00088)用</t>
    <rPh sb="26" eb="27">
      <t>ヨウ</t>
    </rPh>
    <phoneticPr fontId="1"/>
  </si>
  <si>
    <t>03342-00535</t>
    <phoneticPr fontId="1"/>
  </si>
  <si>
    <t>V8.xx</t>
    <phoneticPr fontId="1"/>
  </si>
  <si>
    <t>03396-00011</t>
    <phoneticPr fontId="1"/>
  </si>
  <si>
    <t>V4.xxのスプールキット(03301-00088)用</t>
    <rPh sb="26" eb="27">
      <t>ヨウ</t>
    </rPh>
    <phoneticPr fontId="1"/>
  </si>
  <si>
    <r>
      <t>(J7B)135300001~</t>
    </r>
    <r>
      <rPr>
        <sz val="14"/>
        <rFont val="Arial Unicode MS"/>
        <family val="2"/>
        <charset val="128"/>
      </rPr>
      <t>135302234</t>
    </r>
    <phoneticPr fontId="1"/>
  </si>
  <si>
    <r>
      <t>(J7B)135302235</t>
    </r>
    <r>
      <rPr>
        <sz val="14"/>
        <rFont val="ＭＳ Ｐゴシック"/>
        <family val="3"/>
        <charset val="128"/>
      </rPr>
      <t>~</t>
    </r>
    <phoneticPr fontId="1"/>
  </si>
  <si>
    <t>油圧性能の改善</t>
  </si>
  <si>
    <r>
      <t>195000005~</t>
    </r>
    <r>
      <rPr>
        <sz val="14"/>
        <rFont val="Arial Unicode MS"/>
        <family val="2"/>
        <charset val="128"/>
      </rPr>
      <t>195001138</t>
    </r>
    <phoneticPr fontId="1"/>
  </si>
  <si>
    <r>
      <t>195000005~</t>
    </r>
    <r>
      <rPr>
        <sz val="14"/>
        <rFont val="Arial Unicode MS"/>
        <family val="2"/>
        <charset val="128"/>
      </rPr>
      <t>195001162</t>
    </r>
    <phoneticPr fontId="1"/>
  </si>
  <si>
    <t>EN474:2020対応</t>
    <phoneticPr fontId="1"/>
  </si>
  <si>
    <r>
      <t>19500</t>
    </r>
    <r>
      <rPr>
        <sz val="14"/>
        <rFont val="ＭＳ Ｐゴシック"/>
        <family val="3"/>
        <charset val="128"/>
      </rPr>
      <t>1163~</t>
    </r>
    <phoneticPr fontId="1"/>
  </si>
  <si>
    <r>
      <t>EN474:2020</t>
    </r>
    <r>
      <rPr>
        <sz val="14"/>
        <rFont val="Arial Unicode MS"/>
        <family val="3"/>
        <charset val="128"/>
      </rPr>
      <t>対応</t>
    </r>
  </si>
  <si>
    <t>170100006-170100068</t>
    <phoneticPr fontId="1"/>
  </si>
  <si>
    <t>170100069-</t>
    <phoneticPr fontId="1"/>
  </si>
  <si>
    <t>05642-00075</t>
  </si>
  <si>
    <t>エンジンECU変更、機種専用品番番採用</t>
    <rPh sb="10" eb="12">
      <t>キシュ</t>
    </rPh>
    <rPh sb="12" eb="14">
      <t>センヨウ</t>
    </rPh>
    <rPh sb="14" eb="16">
      <t>ヒンバン</t>
    </rPh>
    <rPh sb="16" eb="17">
      <t>バン</t>
    </rPh>
    <rPh sb="17" eb="19">
      <t>サイヨウ</t>
    </rPh>
    <phoneticPr fontId="1"/>
  </si>
  <si>
    <t>03542-00091</t>
  </si>
  <si>
    <t>03542-00091</t>
    <phoneticPr fontId="1"/>
  </si>
  <si>
    <t>コントローラ共通品番廃止</t>
    <phoneticPr fontId="1"/>
  </si>
  <si>
    <t>機種専用品番採用</t>
    <rPh sb="0" eb="2">
      <t>キシュ</t>
    </rPh>
    <rPh sb="2" eb="4">
      <t>センヨウ</t>
    </rPh>
    <rPh sb="4" eb="6">
      <t>ヒンバン</t>
    </rPh>
    <rPh sb="6" eb="8">
      <t>サイヨウ</t>
    </rPh>
    <phoneticPr fontId="1"/>
  </si>
  <si>
    <t>〇</t>
    <phoneticPr fontId="1"/>
  </si>
  <si>
    <t>63542-00556</t>
  </si>
  <si>
    <t>63542-00556</t>
    <phoneticPr fontId="1"/>
  </si>
  <si>
    <t>A6E</t>
    <phoneticPr fontId="1"/>
  </si>
  <si>
    <t>A9F</t>
    <phoneticPr fontId="1"/>
  </si>
  <si>
    <t>03642-00072</t>
  </si>
  <si>
    <t>03642-00072</t>
    <phoneticPr fontId="1"/>
  </si>
  <si>
    <t>03642-00327</t>
  </si>
  <si>
    <t>03642-00327</t>
    <phoneticPr fontId="1"/>
  </si>
  <si>
    <t>バージョン</t>
    <phoneticPr fontId="1"/>
  </si>
  <si>
    <t>V6.xx</t>
    <phoneticPr fontId="1"/>
  </si>
  <si>
    <t>V2.xx</t>
    <phoneticPr fontId="1"/>
  </si>
  <si>
    <t>バッテリパック変更</t>
    <phoneticPr fontId="1"/>
  </si>
  <si>
    <t>V1.xx</t>
    <phoneticPr fontId="1"/>
  </si>
  <si>
    <t>A14I</t>
    <phoneticPr fontId="1"/>
  </si>
  <si>
    <t>05642-00075</t>
    <phoneticPr fontId="1"/>
  </si>
  <si>
    <t>V6.00</t>
    <phoneticPr fontId="1"/>
  </si>
  <si>
    <t>A7G</t>
    <phoneticPr fontId="1"/>
  </si>
  <si>
    <t>A5F</t>
    <phoneticPr fontId="1"/>
  </si>
  <si>
    <t>03342-00515</t>
  </si>
  <si>
    <t>03342-00516</t>
  </si>
  <si>
    <t>03342-00534</t>
  </si>
  <si>
    <t>03342-00535</t>
  </si>
  <si>
    <t>03396-00025</t>
    <phoneticPr fontId="1"/>
  </si>
  <si>
    <t>03396-00026</t>
    <phoneticPr fontId="1"/>
  </si>
  <si>
    <t>V5.00</t>
    <phoneticPr fontId="1"/>
  </si>
  <si>
    <t>V7.00</t>
    <phoneticPr fontId="1"/>
  </si>
  <si>
    <t>03396-00010</t>
    <phoneticPr fontId="1"/>
  </si>
  <si>
    <t>V8.00</t>
    <phoneticPr fontId="1"/>
  </si>
  <si>
    <t>03396-00011</t>
    <phoneticPr fontId="1"/>
  </si>
  <si>
    <r>
      <rPr>
        <sz val="14"/>
        <rFont val="Arial Unicode MS"/>
        <family val="3"/>
        <charset val="128"/>
      </rPr>
      <t>エンジン</t>
    </r>
    <r>
      <rPr>
        <sz val="14"/>
        <rFont val="Arial Unicode MS"/>
        <family val="2"/>
        <charset val="128"/>
      </rPr>
      <t>ECU</t>
    </r>
    <r>
      <rPr>
        <sz val="14"/>
        <rFont val="Arial Unicode MS"/>
        <family val="3"/>
        <charset val="128"/>
      </rPr>
      <t>の生産中止による</t>
    </r>
    <phoneticPr fontId="1"/>
  </si>
  <si>
    <r>
      <t>エンジン</t>
    </r>
    <r>
      <rPr>
        <sz val="14"/>
        <rFont val="Arial Unicode MS"/>
        <family val="2"/>
        <charset val="128"/>
      </rPr>
      <t>ECU</t>
    </r>
    <r>
      <rPr>
        <sz val="14"/>
        <rFont val="Arial Unicode MS"/>
        <family val="3"/>
        <charset val="128"/>
      </rPr>
      <t>変更</t>
    </r>
    <rPh sb="7" eb="9">
      <t>ヘンコウ</t>
    </rPh>
    <phoneticPr fontId="1"/>
  </si>
  <si>
    <r>
      <t>E3F</t>
    </r>
    <r>
      <rPr>
        <sz val="14"/>
        <rFont val="游ゴシック"/>
        <family val="3"/>
        <charset val="128"/>
      </rPr>
      <t>(CBN)</t>
    </r>
    <phoneticPr fontId="1"/>
  </si>
  <si>
    <t>03742-00414</t>
    <phoneticPr fontId="1"/>
  </si>
  <si>
    <t>d28</t>
    <phoneticPr fontId="1"/>
  </si>
  <si>
    <t>03796-00010</t>
    <phoneticPr fontId="1"/>
  </si>
  <si>
    <t>V1.04</t>
    <phoneticPr fontId="1"/>
  </si>
  <si>
    <t>411000006-TBA</t>
  </si>
  <si>
    <t>06842-00488</t>
    <phoneticPr fontId="1"/>
  </si>
  <si>
    <t>左グリップ45度タイプ採用</t>
    <rPh sb="0" eb="1">
      <t>ヒダリ</t>
    </rPh>
    <rPh sb="7" eb="8">
      <t>ド</t>
    </rPh>
    <rPh sb="11" eb="13">
      <t>サイヨウ</t>
    </rPh>
    <phoneticPr fontId="1"/>
  </si>
  <si>
    <t>TBA</t>
  </si>
  <si>
    <t>06842-00488</t>
  </si>
  <si>
    <t>06842-00488</t>
    <phoneticPr fontId="1"/>
  </si>
  <si>
    <t>左ジョイスティックレバー角度変更</t>
    <rPh sb="0" eb="1">
      <t>ヒダリ</t>
    </rPh>
    <rPh sb="12" eb="14">
      <t>カクド</t>
    </rPh>
    <rPh sb="14" eb="16">
      <t>ヘンコウ</t>
    </rPh>
    <phoneticPr fontId="1"/>
  </si>
  <si>
    <t>V2.01</t>
    <phoneticPr fontId="1"/>
  </si>
  <si>
    <t>不具合修正：センサ電圧異常の閾値変更</t>
    <rPh sb="0" eb="3">
      <t>フグアイ</t>
    </rPh>
    <rPh sb="3" eb="5">
      <t>シュウセイ</t>
    </rPh>
    <rPh sb="9" eb="11">
      <t>デンアツ</t>
    </rPh>
    <rPh sb="11" eb="13">
      <t>イジョウ</t>
    </rPh>
    <rPh sb="14" eb="16">
      <t>シキイチ</t>
    </rPh>
    <rPh sb="16" eb="18">
      <t>ヘンコウ</t>
    </rPh>
    <phoneticPr fontId="1"/>
  </si>
  <si>
    <t>L5E</t>
    <phoneticPr fontId="1"/>
  </si>
  <si>
    <t>06542-00132</t>
  </si>
  <si>
    <t>06542-00132</t>
    <phoneticPr fontId="1"/>
  </si>
  <si>
    <t>06842-00230</t>
    <phoneticPr fontId="1"/>
  </si>
  <si>
    <t>L5E2</t>
    <phoneticPr fontId="1"/>
  </si>
  <si>
    <t>06642-00161</t>
  </si>
  <si>
    <t>06642-00161</t>
    <phoneticPr fontId="1"/>
  </si>
  <si>
    <t>L6F</t>
    <phoneticPr fontId="1"/>
  </si>
  <si>
    <t xml:space="preserve">	L8EV</t>
    <phoneticPr fontId="1"/>
  </si>
  <si>
    <t>L8EV</t>
    <phoneticPr fontId="1"/>
  </si>
  <si>
    <t>06842-00234</t>
    <phoneticPr fontId="1"/>
  </si>
  <si>
    <t>L9ER</t>
    <phoneticPr fontId="1"/>
  </si>
  <si>
    <t>06942-00371</t>
  </si>
  <si>
    <t>06942-00371</t>
    <phoneticPr fontId="1"/>
  </si>
  <si>
    <t>V2.09</t>
    <phoneticPr fontId="1"/>
  </si>
  <si>
    <t>V3.07</t>
    <phoneticPr fontId="1"/>
  </si>
  <si>
    <t>V4.07</t>
    <phoneticPr fontId="1"/>
  </si>
  <si>
    <t>V2.10</t>
    <phoneticPr fontId="1"/>
  </si>
  <si>
    <t>L8EV2</t>
    <phoneticPr fontId="1"/>
  </si>
  <si>
    <t>L85G</t>
    <phoneticPr fontId="1"/>
  </si>
  <si>
    <t>L9ER2</t>
    <phoneticPr fontId="1"/>
  </si>
  <si>
    <t>L9EV</t>
    <phoneticPr fontId="1"/>
  </si>
  <si>
    <t>L9EV2</t>
    <phoneticPr fontId="1"/>
  </si>
  <si>
    <r>
      <rPr>
        <sz val="14"/>
        <rFont val="Arial Unicode MS"/>
        <family val="3"/>
        <charset val="128"/>
      </rPr>
      <t>走行操作性の改善</t>
    </r>
    <rPh sb="0" eb="4">
      <t>ソウコウソウサ</t>
    </rPh>
    <rPh sb="4" eb="5">
      <t>セイ</t>
    </rPh>
    <rPh sb="6" eb="8">
      <t>カイゼン</t>
    </rPh>
    <phoneticPr fontId="6"/>
  </si>
  <si>
    <t>V10.00</t>
    <phoneticPr fontId="1"/>
  </si>
  <si>
    <t>305500001~</t>
    <phoneticPr fontId="1"/>
  </si>
  <si>
    <r>
      <t>V9.0</t>
    </r>
    <r>
      <rPr>
        <sz val="14"/>
        <color rgb="FFFF0000"/>
        <rFont val="游ゴシック"/>
        <family val="3"/>
        <charset val="128"/>
      </rPr>
      <t>1</t>
    </r>
    <phoneticPr fontId="1"/>
  </si>
  <si>
    <t>d29</t>
    <phoneticPr fontId="1"/>
  </si>
  <si>
    <r>
      <t>V8.2</t>
    </r>
    <r>
      <rPr>
        <sz val="14"/>
        <color rgb="FFFF0000"/>
        <rFont val="游ゴシック"/>
        <family val="3"/>
        <charset val="128"/>
      </rPr>
      <t>4</t>
    </r>
    <phoneticPr fontId="1"/>
  </si>
  <si>
    <r>
      <t>V7.0</t>
    </r>
    <r>
      <rPr>
        <sz val="14"/>
        <color rgb="FFFF0000"/>
        <rFont val="游ゴシック"/>
        <family val="3"/>
        <charset val="128"/>
      </rPr>
      <t>5</t>
    </r>
    <phoneticPr fontId="1"/>
  </si>
  <si>
    <r>
      <t>V6.1</t>
    </r>
    <r>
      <rPr>
        <sz val="14"/>
        <color rgb="FFFF0000"/>
        <rFont val="游ゴシック"/>
        <family val="3"/>
        <charset val="128"/>
      </rPr>
      <t>4</t>
    </r>
    <phoneticPr fontId="1"/>
  </si>
  <si>
    <r>
      <t>V5.0</t>
    </r>
    <r>
      <rPr>
        <sz val="14"/>
        <color rgb="FFFF0000"/>
        <rFont val="游ゴシック"/>
        <family val="3"/>
        <charset val="128"/>
      </rPr>
      <t>5</t>
    </r>
    <phoneticPr fontId="1"/>
  </si>
  <si>
    <t>A25FG/A27AB</t>
    <phoneticPr fontId="1"/>
  </si>
  <si>
    <t>不具合修正：油圧パラメータリセット対策</t>
    <rPh sb="0" eb="3">
      <t>フグアイ</t>
    </rPh>
    <rPh sb="3" eb="5">
      <t>シュウセイ</t>
    </rPh>
    <rPh sb="6" eb="8">
      <t>ユアツ</t>
    </rPh>
    <rPh sb="17" eb="19">
      <t>タイサク</t>
    </rPh>
    <phoneticPr fontId="1"/>
  </si>
  <si>
    <t>05742-00323</t>
  </si>
  <si>
    <t>05742-00334</t>
  </si>
  <si>
    <t>05742-00335</t>
  </si>
  <si>
    <t>05742-00773</t>
  </si>
  <si>
    <t>A25G</t>
    <phoneticPr fontId="1"/>
  </si>
  <si>
    <t>A27B</t>
    <phoneticPr fontId="1"/>
  </si>
  <si>
    <t>A25F</t>
    <phoneticPr fontId="1"/>
  </si>
  <si>
    <t>A27A</t>
    <phoneticPr fontId="1"/>
  </si>
  <si>
    <t>仕様変更：コンバルスプール変更によりパラメータ変更</t>
    <rPh sb="0" eb="4">
      <t>シヨウヘンコウ</t>
    </rPh>
    <rPh sb="13" eb="15">
      <t>ヘンコウ</t>
    </rPh>
    <rPh sb="23" eb="25">
      <t>ヘンコウ</t>
    </rPh>
    <phoneticPr fontId="1"/>
  </si>
  <si>
    <t>E3F</t>
    <phoneticPr fontId="1"/>
  </si>
  <si>
    <t>17301-43667</t>
    <phoneticPr fontId="1"/>
  </si>
  <si>
    <t>17301-43671</t>
    <phoneticPr fontId="1"/>
  </si>
  <si>
    <t>パネル剥がれ防止対策品</t>
    <rPh sb="3" eb="4">
      <t>ハ</t>
    </rPh>
    <rPh sb="6" eb="8">
      <t>ボウシ</t>
    </rPh>
    <rPh sb="8" eb="10">
      <t>タイサク</t>
    </rPh>
    <rPh sb="10" eb="11">
      <t>ヒン</t>
    </rPh>
    <phoneticPr fontId="1"/>
  </si>
  <si>
    <t>ディスプレイ</t>
    <phoneticPr fontId="1"/>
  </si>
  <si>
    <t>コントローラ</t>
    <phoneticPr fontId="1"/>
  </si>
  <si>
    <t>ハードウェア</t>
    <phoneticPr fontId="1"/>
  </si>
  <si>
    <t>製造元</t>
    <rPh sb="0" eb="3">
      <t>セイゾウモト</t>
    </rPh>
    <phoneticPr fontId="1"/>
  </si>
  <si>
    <t>DSD</t>
    <phoneticPr fontId="1"/>
  </si>
  <si>
    <t>DP250</t>
    <phoneticPr fontId="1"/>
  </si>
  <si>
    <t>XO</t>
    <phoneticPr fontId="1"/>
  </si>
  <si>
    <t>17301-43695</t>
  </si>
  <si>
    <r>
      <t>L6E/L8C</t>
    </r>
    <r>
      <rPr>
        <strike/>
        <sz val="11"/>
        <rFont val="ＭＳ Ｐゴシック"/>
        <family val="3"/>
        <charset val="128"/>
      </rPr>
      <t>/L9C</t>
    </r>
    <phoneticPr fontId="1"/>
  </si>
  <si>
    <t>C9-5、C10-5用ディスプレイ</t>
    <rPh sb="10" eb="11">
      <t>ヨウ</t>
    </rPh>
    <phoneticPr fontId="1"/>
  </si>
  <si>
    <t>ローダー向けディスプレイ</t>
    <rPh sb="4" eb="5">
      <t>ム</t>
    </rPh>
    <phoneticPr fontId="1"/>
  </si>
  <si>
    <t>17301-43843</t>
    <phoneticPr fontId="1"/>
  </si>
  <si>
    <t>A25H/A27C</t>
    <phoneticPr fontId="1"/>
  </si>
  <si>
    <t>新規</t>
    <rPh sb="0" eb="2">
      <t>シンキ</t>
    </rPh>
    <phoneticPr fontId="1"/>
  </si>
  <si>
    <t>17301-43843</t>
  </si>
  <si>
    <t>B009385</t>
    <phoneticPr fontId="1"/>
  </si>
  <si>
    <t>A27C</t>
    <phoneticPr fontId="1"/>
  </si>
  <si>
    <t>V1.00</t>
    <phoneticPr fontId="1"/>
  </si>
  <si>
    <t>V1.00a4</t>
    <phoneticPr fontId="1"/>
  </si>
  <si>
    <t>試作出図</t>
    <rPh sb="0" eb="2">
      <t>シサク</t>
    </rPh>
    <rPh sb="2" eb="4">
      <t>シュツズ</t>
    </rPh>
    <phoneticPr fontId="1"/>
  </si>
  <si>
    <t>量産出図</t>
    <rPh sb="0" eb="2">
      <t>リョウサン</t>
    </rPh>
    <rPh sb="2" eb="4">
      <t>シュツズ</t>
    </rPh>
    <phoneticPr fontId="1"/>
  </si>
  <si>
    <t>A25H</t>
    <phoneticPr fontId="1"/>
  </si>
  <si>
    <t>A27C</t>
    <phoneticPr fontId="1"/>
  </si>
  <si>
    <t>試作</t>
    <rPh sb="0" eb="2">
      <t>シサク</t>
    </rPh>
    <phoneticPr fontId="1"/>
  </si>
  <si>
    <t>XO-800T</t>
    <phoneticPr fontId="1"/>
  </si>
  <si>
    <t>不具合修正：機種不明エラー誤発報</t>
    <rPh sb="0" eb="3">
      <t>フグアイ</t>
    </rPh>
    <rPh sb="3" eb="5">
      <t>シュウセイ</t>
    </rPh>
    <rPh sb="6" eb="8">
      <t>キシュ</t>
    </rPh>
    <rPh sb="8" eb="10">
      <t>フメイ</t>
    </rPh>
    <rPh sb="13" eb="16">
      <t>ゴハッポウ</t>
    </rPh>
    <phoneticPr fontId="1"/>
  </si>
  <si>
    <t>V6.01</t>
    <phoneticPr fontId="1"/>
  </si>
  <si>
    <t>05742-00550</t>
    <phoneticPr fontId="1"/>
  </si>
  <si>
    <t xml:space="preserve">	05742-00550</t>
  </si>
  <si>
    <t xml:space="preserve">	05742-00550</t>
    <phoneticPr fontId="1"/>
  </si>
  <si>
    <t>採番</t>
    <rPh sb="0" eb="2">
      <t>サイバン</t>
    </rPh>
    <phoneticPr fontId="1"/>
  </si>
  <si>
    <t>E3F(CBN)</t>
    <phoneticPr fontId="1"/>
  </si>
  <si>
    <t>03342-00130</t>
  </si>
  <si>
    <t>CAB量産出図</t>
    <rPh sb="3" eb="5">
      <t>リョウサン</t>
    </rPh>
    <rPh sb="5" eb="7">
      <t>シュツズ</t>
    </rPh>
    <phoneticPr fontId="1"/>
  </si>
  <si>
    <t>A3F</t>
    <phoneticPr fontId="1"/>
  </si>
  <si>
    <t>#691,693は開発対応</t>
    <rPh sb="9" eb="11">
      <t>カイハツ</t>
    </rPh>
    <rPh sb="11" eb="13">
      <t>タイオウ</t>
    </rPh>
    <phoneticPr fontId="1"/>
  </si>
  <si>
    <t>17301-43691</t>
  </si>
  <si>
    <t>17301-43691</t>
    <phoneticPr fontId="1"/>
  </si>
  <si>
    <t>E3F</t>
    <phoneticPr fontId="1"/>
  </si>
  <si>
    <t>V140</t>
    <phoneticPr fontId="1"/>
  </si>
  <si>
    <t>V150</t>
    <phoneticPr fontId="1"/>
  </si>
  <si>
    <t>不具合修正：スライドスイッチ中立条件</t>
    <rPh sb="0" eb="3">
      <t>フグアイ</t>
    </rPh>
    <rPh sb="3" eb="5">
      <t>シュウセイ</t>
    </rPh>
    <rPh sb="14" eb="16">
      <t>チュウリツ</t>
    </rPh>
    <rPh sb="16" eb="18">
      <t>ジョウケン</t>
    </rPh>
    <phoneticPr fontId="1"/>
  </si>
  <si>
    <t>V2.05</t>
    <phoneticPr fontId="1"/>
  </si>
  <si>
    <t>V4.10</t>
    <phoneticPr fontId="1"/>
  </si>
  <si>
    <t>V4.04</t>
    <phoneticPr fontId="1"/>
  </si>
  <si>
    <t>V5.02</t>
    <phoneticPr fontId="1"/>
  </si>
  <si>
    <t>V2.16</t>
    <phoneticPr fontId="1"/>
  </si>
  <si>
    <t>V1.30</t>
    <phoneticPr fontId="1"/>
  </si>
  <si>
    <t>V1.40</t>
    <phoneticPr fontId="1"/>
  </si>
  <si>
    <t>V2.07</t>
    <phoneticPr fontId="1"/>
  </si>
  <si>
    <t>仕様変更：オートグリス警告</t>
    <rPh sb="0" eb="4">
      <t>シヨウヘンコウ</t>
    </rPh>
    <rPh sb="11" eb="13">
      <t>ケイコク</t>
    </rPh>
    <phoneticPr fontId="1"/>
  </si>
  <si>
    <t>GPSユニット</t>
    <phoneticPr fontId="1"/>
  </si>
  <si>
    <t>17301-43431</t>
    <phoneticPr fontId="1"/>
  </si>
  <si>
    <t>17301-43432</t>
    <phoneticPr fontId="1"/>
  </si>
  <si>
    <t>17301-43435</t>
    <phoneticPr fontId="1"/>
  </si>
  <si>
    <t>17301-43436</t>
    <phoneticPr fontId="1"/>
  </si>
  <si>
    <t>17301-43438</t>
    <phoneticPr fontId="1"/>
  </si>
  <si>
    <t>ZTR</t>
    <phoneticPr fontId="1"/>
  </si>
  <si>
    <t>M7H</t>
    <phoneticPr fontId="1"/>
  </si>
  <si>
    <t>-</t>
    <phoneticPr fontId="1"/>
  </si>
  <si>
    <t>250kbps</t>
    <phoneticPr fontId="1"/>
  </si>
  <si>
    <t>17301-43431</t>
    <phoneticPr fontId="1"/>
  </si>
  <si>
    <t>新規出図</t>
    <rPh sb="0" eb="2">
      <t>シンキ</t>
    </rPh>
    <rPh sb="2" eb="4">
      <t>シュツズ</t>
    </rPh>
    <phoneticPr fontId="1"/>
  </si>
  <si>
    <t>不具合修正：エンジンエラーコード表示不具合</t>
    <rPh sb="0" eb="3">
      <t>フグアイ</t>
    </rPh>
    <rPh sb="3" eb="5">
      <t>シュウセイ</t>
    </rPh>
    <rPh sb="16" eb="18">
      <t>ヒョウジ</t>
    </rPh>
    <rPh sb="18" eb="21">
      <t>フグアイ</t>
    </rPh>
    <phoneticPr fontId="1"/>
  </si>
  <si>
    <t>仕様書入手、プログラム変更なし</t>
    <rPh sb="0" eb="3">
      <t>シヨウショ</t>
    </rPh>
    <rPh sb="3" eb="5">
      <t>ニュウシュ</t>
    </rPh>
    <rPh sb="11" eb="13">
      <t>ヘンコウ</t>
    </rPh>
    <phoneticPr fontId="1"/>
  </si>
  <si>
    <t>仕様変更：内部チップ変更</t>
    <rPh sb="0" eb="4">
      <t>シヨウヘンコウ</t>
    </rPh>
    <rPh sb="5" eb="7">
      <t>ナイブ</t>
    </rPh>
    <rPh sb="10" eb="12">
      <t>ヘンコウ</t>
    </rPh>
    <phoneticPr fontId="1"/>
  </si>
  <si>
    <t>500kbps</t>
    <phoneticPr fontId="1"/>
  </si>
  <si>
    <t>17301-43432</t>
    <phoneticPr fontId="1"/>
  </si>
  <si>
    <t>E3F</t>
    <phoneticPr fontId="1"/>
  </si>
  <si>
    <r>
      <t>V5.0</t>
    </r>
    <r>
      <rPr>
        <sz val="14"/>
        <rFont val="游ゴシック"/>
        <family val="3"/>
        <charset val="128"/>
      </rPr>
      <t>5</t>
    </r>
    <phoneticPr fontId="1"/>
  </si>
  <si>
    <r>
      <t>V6.1</t>
    </r>
    <r>
      <rPr>
        <sz val="14"/>
        <rFont val="游ゴシック"/>
        <family val="3"/>
        <charset val="128"/>
      </rPr>
      <t>4</t>
    </r>
    <phoneticPr fontId="1"/>
  </si>
  <si>
    <r>
      <t>V7.0</t>
    </r>
    <r>
      <rPr>
        <sz val="14"/>
        <rFont val="游ゴシック"/>
        <family val="3"/>
        <charset val="128"/>
      </rPr>
      <t>5</t>
    </r>
    <phoneticPr fontId="1"/>
  </si>
  <si>
    <r>
      <t>V8.2</t>
    </r>
    <r>
      <rPr>
        <sz val="14"/>
        <rFont val="游ゴシック"/>
        <family val="3"/>
        <charset val="128"/>
      </rPr>
      <t>4</t>
    </r>
    <phoneticPr fontId="1"/>
  </si>
  <si>
    <r>
      <t>V9.0</t>
    </r>
    <r>
      <rPr>
        <sz val="14"/>
        <rFont val="游ゴシック"/>
        <family val="3"/>
        <charset val="128"/>
      </rPr>
      <t>1</t>
    </r>
    <phoneticPr fontId="1"/>
  </si>
  <si>
    <t>M7L</t>
    <phoneticPr fontId="1"/>
  </si>
  <si>
    <t>250kbps,LTE</t>
    <phoneticPr fontId="1"/>
  </si>
  <si>
    <t>17301-43435</t>
    <phoneticPr fontId="1"/>
  </si>
  <si>
    <t xml:space="preserve">	50115</t>
    <phoneticPr fontId="1"/>
  </si>
  <si>
    <t>500kbps,LTE</t>
    <phoneticPr fontId="1"/>
  </si>
  <si>
    <t>17301-43436</t>
    <phoneticPr fontId="1"/>
  </si>
  <si>
    <t>A13A</t>
    <phoneticPr fontId="1"/>
  </si>
  <si>
    <t>V0.00</t>
    <phoneticPr fontId="1"/>
  </si>
  <si>
    <t>V1.04</t>
    <phoneticPr fontId="1"/>
  </si>
  <si>
    <t>V1.10</t>
    <phoneticPr fontId="1"/>
  </si>
  <si>
    <t>V1.11</t>
    <phoneticPr fontId="1"/>
  </si>
  <si>
    <t>V1.00</t>
    <phoneticPr fontId="1"/>
  </si>
  <si>
    <t>V1.12</t>
    <phoneticPr fontId="1"/>
  </si>
  <si>
    <t>V1.13</t>
    <phoneticPr fontId="1"/>
  </si>
  <si>
    <t>V1.14</t>
    <phoneticPr fontId="1"/>
  </si>
  <si>
    <t>V1.16</t>
    <phoneticPr fontId="1"/>
  </si>
  <si>
    <t>誤記：コントローラ品番</t>
    <rPh sb="0" eb="2">
      <t>ゴキ</t>
    </rPh>
    <rPh sb="9" eb="11">
      <t>ヒンバン</t>
    </rPh>
    <phoneticPr fontId="1"/>
  </si>
  <si>
    <t>量産出図</t>
    <rPh sb="0" eb="2">
      <t>リョウサン</t>
    </rPh>
    <rPh sb="2" eb="4">
      <t>シュツズ</t>
    </rPh>
    <phoneticPr fontId="1"/>
  </si>
  <si>
    <t>仕様変更：油圧ポンプ変更</t>
    <rPh sb="0" eb="4">
      <t>シヨウヘンコウ</t>
    </rPh>
    <rPh sb="5" eb="7">
      <t>ユアツ</t>
    </rPh>
    <rPh sb="10" eb="12">
      <t>ヘンコウ</t>
    </rPh>
    <phoneticPr fontId="1"/>
  </si>
  <si>
    <t>仕様変更：サービス流量表示値の変更</t>
    <rPh sb="0" eb="4">
      <t>シヨウヘンコウ</t>
    </rPh>
    <rPh sb="9" eb="11">
      <t>リュウリョウ</t>
    </rPh>
    <rPh sb="11" eb="14">
      <t>ヒョウジチ</t>
    </rPh>
    <rPh sb="15" eb="17">
      <t>ヘンコウ</t>
    </rPh>
    <phoneticPr fontId="1"/>
  </si>
  <si>
    <t>仕様変更：クレーン仕様追加</t>
    <rPh sb="0" eb="4">
      <t>シヨウヘンコウ</t>
    </rPh>
    <rPh sb="9" eb="11">
      <t>シヨウ</t>
    </rPh>
    <rPh sb="11" eb="13">
      <t>ツイカ</t>
    </rPh>
    <phoneticPr fontId="1"/>
  </si>
  <si>
    <t>不具合修正：過去エラー表示</t>
    <rPh sb="0" eb="3">
      <t>フグアイ</t>
    </rPh>
    <rPh sb="3" eb="5">
      <t>シュウセイ</t>
    </rPh>
    <rPh sb="6" eb="8">
      <t>カコ</t>
    </rPh>
    <rPh sb="11" eb="13">
      <t>ヒョウジ</t>
    </rPh>
    <phoneticPr fontId="1"/>
  </si>
  <si>
    <t>仕様：オートエンジンストップ機能改善</t>
    <rPh sb="0" eb="2">
      <t>シヨウ</t>
    </rPh>
    <rPh sb="14" eb="16">
      <t>キノウ</t>
    </rPh>
    <rPh sb="16" eb="18">
      <t>カイゼン</t>
    </rPh>
    <phoneticPr fontId="1"/>
  </si>
  <si>
    <t>V1.17</t>
    <phoneticPr fontId="1"/>
  </si>
  <si>
    <t>仕様：オートグリス仕様変更</t>
    <rPh sb="0" eb="2">
      <t>シヨウ</t>
    </rPh>
    <rPh sb="9" eb="11">
      <t>シヨウ</t>
    </rPh>
    <rPh sb="11" eb="13">
      <t>ヘンコウ</t>
    </rPh>
    <phoneticPr fontId="1"/>
  </si>
  <si>
    <t>新規</t>
    <rPh sb="0" eb="2">
      <t>シンキ</t>
    </rPh>
    <phoneticPr fontId="1"/>
  </si>
  <si>
    <t>17301-43830</t>
    <phoneticPr fontId="1"/>
  </si>
  <si>
    <t>500kbps、3G、Japan</t>
    <phoneticPr fontId="1"/>
  </si>
  <si>
    <t>17301-43438</t>
    <phoneticPr fontId="1"/>
  </si>
  <si>
    <t xml:space="preserve">	55967</t>
    <phoneticPr fontId="1"/>
  </si>
  <si>
    <t>17301-43830</t>
    <phoneticPr fontId="1"/>
  </si>
  <si>
    <t>17301-43870</t>
    <phoneticPr fontId="1"/>
  </si>
  <si>
    <t>XO-430T</t>
    <phoneticPr fontId="1"/>
  </si>
  <si>
    <t xml:space="preserve">17301-43870	</t>
    <phoneticPr fontId="1"/>
  </si>
  <si>
    <t xml:space="preserve">	61727</t>
    <phoneticPr fontId="1"/>
  </si>
  <si>
    <t>新規：J7Bクレーン仕様として</t>
    <rPh sb="0" eb="2">
      <t>シンキ</t>
    </rPh>
    <rPh sb="10" eb="12">
      <t>シヨウ</t>
    </rPh>
    <phoneticPr fontId="1"/>
  </si>
  <si>
    <t>不具合：水侵入</t>
    <phoneticPr fontId="1"/>
  </si>
  <si>
    <t>J7B(CNP)/J10B(CNP)</t>
    <phoneticPr fontId="1"/>
  </si>
  <si>
    <t>V8.17</t>
    <phoneticPr fontId="1"/>
  </si>
  <si>
    <t>17301-43903</t>
    <phoneticPr fontId="1"/>
  </si>
  <si>
    <t>仕様変更：内部基盤変更</t>
    <rPh sb="0" eb="4">
      <t>シヨウヘンコウ</t>
    </rPh>
    <rPh sb="5" eb="7">
      <t>ナイブ</t>
    </rPh>
    <rPh sb="7" eb="9">
      <t>キバン</t>
    </rPh>
    <rPh sb="9" eb="11">
      <t>ヘンコウ</t>
    </rPh>
    <phoneticPr fontId="1"/>
  </si>
  <si>
    <t>17301-43902</t>
    <phoneticPr fontId="1"/>
  </si>
  <si>
    <t>内部部品変更</t>
    <rPh sb="0" eb="2">
      <t>ナイブ</t>
    </rPh>
    <rPh sb="2" eb="4">
      <t>ブヒン</t>
    </rPh>
    <rPh sb="4" eb="6">
      <t>ヘンコウ</t>
    </rPh>
    <phoneticPr fontId="1"/>
  </si>
  <si>
    <t>17301-43901</t>
    <phoneticPr fontId="1"/>
  </si>
  <si>
    <t>A25F</t>
    <phoneticPr fontId="1"/>
  </si>
  <si>
    <t>05701-00058</t>
    <phoneticPr fontId="1"/>
  </si>
  <si>
    <t>サービスツール</t>
    <phoneticPr fontId="1"/>
  </si>
  <si>
    <t>05642-00505</t>
    <phoneticPr fontId="1"/>
  </si>
  <si>
    <t>05742-00773</t>
    <phoneticPr fontId="1"/>
  </si>
  <si>
    <t>05742-00335</t>
    <phoneticPr fontId="1"/>
  </si>
  <si>
    <t>05742-00334</t>
    <phoneticPr fontId="1"/>
  </si>
  <si>
    <t>05742-00323</t>
    <phoneticPr fontId="1"/>
  </si>
  <si>
    <t>ｄ30</t>
    <phoneticPr fontId="1"/>
  </si>
  <si>
    <r>
      <t>V2.00</t>
    </r>
    <r>
      <rPr>
        <sz val="14"/>
        <color rgb="FFFF0000"/>
        <rFont val="Arial Unicode MS"/>
        <family val="3"/>
        <charset val="128"/>
      </rPr>
      <t>,V3.00</t>
    </r>
    <phoneticPr fontId="1"/>
  </si>
  <si>
    <t>05642-01054</t>
    <phoneticPr fontId="1"/>
  </si>
  <si>
    <r>
      <t>緊急ステアリング</t>
    </r>
    <r>
      <rPr>
        <sz val="14"/>
        <color rgb="FFFF0000"/>
        <rFont val="Calibri"/>
        <family val="3"/>
      </rPr>
      <t>SOL</t>
    </r>
    <r>
      <rPr>
        <sz val="14"/>
        <color rgb="FFFF0000"/>
        <rFont val="ＭＳ Ｐゴシック"/>
        <family val="3"/>
        <charset val="128"/>
      </rPr>
      <t>対応</t>
    </r>
    <r>
      <rPr>
        <sz val="14"/>
        <color rgb="FFFF0000"/>
        <rFont val="Arial Unicode MS"/>
        <family val="3"/>
        <charset val="128"/>
      </rPr>
      <t>(30km/h</t>
    </r>
    <r>
      <rPr>
        <sz val="14"/>
        <color rgb="FFFF0000"/>
        <rFont val="MS UI Gothic"/>
        <family val="3"/>
        <charset val="128"/>
      </rPr>
      <t>、</t>
    </r>
    <r>
      <rPr>
        <sz val="14"/>
        <color rgb="FFFF0000"/>
        <rFont val="ＭＳ Ｐゴシック"/>
        <family val="3"/>
        <charset val="128"/>
      </rPr>
      <t>SOLあり）</t>
    </r>
    <rPh sb="0" eb="2">
      <t>キンキュウ</t>
    </rPh>
    <rPh sb="11" eb="13">
      <t>タイオウ</t>
    </rPh>
    <phoneticPr fontId="1"/>
  </si>
  <si>
    <t>05642-01061</t>
    <phoneticPr fontId="1"/>
  </si>
  <si>
    <r>
      <t>緊急ステアリング</t>
    </r>
    <r>
      <rPr>
        <sz val="14"/>
        <color rgb="FFFF0000"/>
        <rFont val="Calibri"/>
        <family val="3"/>
      </rPr>
      <t>SOL</t>
    </r>
    <r>
      <rPr>
        <sz val="14"/>
        <color rgb="FFFF0000"/>
        <rFont val="ＭＳ Ｐゴシック"/>
        <family val="3"/>
        <charset val="128"/>
      </rPr>
      <t>対応</t>
    </r>
    <r>
      <rPr>
        <sz val="14"/>
        <color rgb="FFFF0000"/>
        <rFont val="Arial Unicode MS"/>
        <family val="3"/>
        <charset val="128"/>
      </rPr>
      <t>(30km/h</t>
    </r>
    <r>
      <rPr>
        <sz val="14"/>
        <color rgb="FFFF0000"/>
        <rFont val="MS UI Gothic"/>
        <family val="3"/>
        <charset val="128"/>
      </rPr>
      <t>、</t>
    </r>
    <r>
      <rPr>
        <sz val="14"/>
        <color rgb="FFFF0000"/>
        <rFont val="Arial Unicode MS"/>
        <family val="3"/>
        <charset val="128"/>
      </rPr>
      <t>SOLなし）</t>
    </r>
    <rPh sb="0" eb="2">
      <t>キンキュウ</t>
    </rPh>
    <rPh sb="11" eb="13">
      <t>タイオウ</t>
    </rPh>
    <phoneticPr fontId="1"/>
  </si>
  <si>
    <t>05542-00189</t>
    <phoneticPr fontId="1"/>
  </si>
  <si>
    <t>05542-00198</t>
    <phoneticPr fontId="1"/>
  </si>
  <si>
    <t>緊急ステアリングソレノイド追加(30km/h、ソレノイドあり)</t>
    <rPh sb="0" eb="2">
      <t>キンキュウ</t>
    </rPh>
    <rPh sb="13" eb="15">
      <t>ツイカ</t>
    </rPh>
    <phoneticPr fontId="1"/>
  </si>
  <si>
    <t>緊急ステアリングソレノイド追加(30km/h、ソレノイドなし)</t>
    <rPh sb="0" eb="2">
      <t>キンキュウ</t>
    </rPh>
    <rPh sb="13" eb="15">
      <t>ツイカ</t>
    </rPh>
    <phoneticPr fontId="1"/>
  </si>
  <si>
    <t>A14J</t>
    <phoneticPr fontId="1"/>
  </si>
  <si>
    <t>V1.07</t>
    <phoneticPr fontId="1"/>
  </si>
  <si>
    <t>V2.19</t>
    <phoneticPr fontId="1"/>
  </si>
  <si>
    <t>V7.06</t>
    <phoneticPr fontId="1"/>
  </si>
  <si>
    <t>V9.02</t>
    <phoneticPr fontId="1"/>
  </si>
  <si>
    <t>V8.25</t>
    <phoneticPr fontId="1"/>
  </si>
  <si>
    <t>V6.15</t>
    <phoneticPr fontId="1"/>
  </si>
  <si>
    <t>V5.06</t>
    <phoneticPr fontId="1"/>
  </si>
  <si>
    <t>仕様：オートグリスパラメタ変更、モノと2Pでパラメータ切り替え</t>
    <rPh sb="0" eb="2">
      <t>シヨウ</t>
    </rPh>
    <rPh sb="13" eb="15">
      <t>ヘンコウ</t>
    </rPh>
    <rPh sb="27" eb="28">
      <t>キ</t>
    </rPh>
    <rPh sb="29" eb="30">
      <t>カ</t>
    </rPh>
    <phoneticPr fontId="1"/>
  </si>
  <si>
    <t>A25E</t>
    <phoneticPr fontId="32"/>
  </si>
  <si>
    <t>05701-00005</t>
    <phoneticPr fontId="32"/>
  </si>
  <si>
    <t>A25EW</t>
    <phoneticPr fontId="32"/>
  </si>
  <si>
    <t>05701-00026</t>
    <phoneticPr fontId="32"/>
  </si>
  <si>
    <t>05601-00120</t>
    <phoneticPr fontId="32"/>
  </si>
  <si>
    <t>05501-00021</t>
    <phoneticPr fontId="32"/>
  </si>
  <si>
    <t>A13A</t>
    <phoneticPr fontId="32"/>
  </si>
  <si>
    <t>05501-00059</t>
    <phoneticPr fontId="32"/>
  </si>
  <si>
    <t>03401-00020</t>
    <phoneticPr fontId="32"/>
  </si>
  <si>
    <t>A14H/I</t>
  </si>
  <si>
    <t>05601-00118</t>
    <phoneticPr fontId="32"/>
  </si>
  <si>
    <t>A14J</t>
    <phoneticPr fontId="32"/>
  </si>
  <si>
    <t>05601-00235</t>
    <phoneticPr fontId="32"/>
  </si>
  <si>
    <t>06901-00001</t>
    <phoneticPr fontId="32"/>
  </si>
  <si>
    <t>06901-00026</t>
    <phoneticPr fontId="32"/>
  </si>
  <si>
    <t>L5E</t>
    <phoneticPr fontId="32"/>
  </si>
  <si>
    <t>L6F</t>
    <phoneticPr fontId="32"/>
  </si>
  <si>
    <t>06601-00024</t>
    <phoneticPr fontId="32"/>
  </si>
  <si>
    <t>F10E</t>
    <phoneticPr fontId="32"/>
  </si>
  <si>
    <t>05601-00139</t>
    <phoneticPr fontId="32"/>
  </si>
  <si>
    <t>A14D-2(中国語）</t>
    <rPh sb="7" eb="10">
      <t>チュウゴクゴ</t>
    </rPh>
    <phoneticPr fontId="32"/>
  </si>
  <si>
    <t>05601-00142</t>
    <phoneticPr fontId="32"/>
  </si>
  <si>
    <t>A14D-2(英語）</t>
    <rPh sb="7" eb="9">
      <t>エイゴ</t>
    </rPh>
    <phoneticPr fontId="32"/>
  </si>
  <si>
    <t>05601-00143</t>
    <phoneticPr fontId="32"/>
  </si>
  <si>
    <t>07001-00012</t>
    <phoneticPr fontId="32"/>
  </si>
  <si>
    <t>C9-4</t>
    <phoneticPr fontId="32"/>
  </si>
  <si>
    <t>A25FG/A27AB</t>
    <phoneticPr fontId="32"/>
  </si>
  <si>
    <t>05601-00197</t>
    <phoneticPr fontId="32"/>
  </si>
  <si>
    <t>A14IW</t>
    <phoneticPr fontId="32"/>
  </si>
  <si>
    <t>05601-00283</t>
    <phoneticPr fontId="32"/>
  </si>
  <si>
    <t>E3F</t>
    <phoneticPr fontId="32"/>
  </si>
  <si>
    <t>03301-00075</t>
    <phoneticPr fontId="32"/>
  </si>
  <si>
    <t>03601-00015</t>
    <phoneticPr fontId="32"/>
  </si>
  <si>
    <t>05501-00087</t>
    <phoneticPr fontId="32"/>
  </si>
  <si>
    <t>05501-00022</t>
    <phoneticPr fontId="32"/>
  </si>
  <si>
    <t>03901-00024</t>
    <phoneticPr fontId="32"/>
  </si>
  <si>
    <t>03901-00050</t>
    <phoneticPr fontId="32"/>
  </si>
  <si>
    <t>07101-00019</t>
    <phoneticPr fontId="32"/>
  </si>
  <si>
    <t>07101-00020</t>
    <phoneticPr fontId="32"/>
  </si>
  <si>
    <t>05701-00005</t>
  </si>
  <si>
    <t>06501-00004</t>
    <phoneticPr fontId="32"/>
  </si>
  <si>
    <t>06501-00008</t>
    <phoneticPr fontId="32"/>
  </si>
  <si>
    <t>05701-00026</t>
  </si>
  <si>
    <t xml:space="preserve">	44135</t>
    <phoneticPr fontId="1"/>
  </si>
  <si>
    <t>V1.01</t>
    <phoneticPr fontId="1"/>
  </si>
  <si>
    <t>V1.02</t>
    <phoneticPr fontId="1"/>
  </si>
  <si>
    <t>V1.04F</t>
    <phoneticPr fontId="1"/>
  </si>
  <si>
    <t>V1.05F</t>
    <phoneticPr fontId="1"/>
  </si>
  <si>
    <t>41940</t>
    <phoneticPr fontId="1"/>
  </si>
  <si>
    <t>42327</t>
    <phoneticPr fontId="1"/>
  </si>
  <si>
    <t>42834</t>
    <phoneticPr fontId="1"/>
  </si>
  <si>
    <t>44135</t>
    <phoneticPr fontId="1"/>
  </si>
  <si>
    <t>62508</t>
    <phoneticPr fontId="1"/>
  </si>
  <si>
    <t>V1.00</t>
    <phoneticPr fontId="1"/>
  </si>
  <si>
    <t>V1.03F</t>
    <phoneticPr fontId="1"/>
  </si>
  <si>
    <t>05601-00120</t>
    <phoneticPr fontId="1"/>
  </si>
  <si>
    <t>44946</t>
    <phoneticPr fontId="1"/>
  </si>
  <si>
    <t>05501-00021</t>
    <phoneticPr fontId="1"/>
  </si>
  <si>
    <t>ラジオ</t>
    <phoneticPr fontId="1"/>
  </si>
  <si>
    <t>東海理化</t>
    <rPh sb="0" eb="4">
      <t>トウカイリカ</t>
    </rPh>
    <phoneticPr fontId="1"/>
  </si>
  <si>
    <t xml:space="preserve">	17050-05227</t>
    <phoneticPr fontId="1"/>
  </si>
  <si>
    <t xml:space="preserve">	17050-05220</t>
    <phoneticPr fontId="1"/>
  </si>
  <si>
    <t>17050-05220</t>
  </si>
  <si>
    <t>17050-05220</t>
    <phoneticPr fontId="1"/>
  </si>
  <si>
    <t>B005396</t>
    <phoneticPr fontId="1"/>
  </si>
  <si>
    <t>55368</t>
    <phoneticPr fontId="1"/>
  </si>
  <si>
    <t>60263</t>
    <phoneticPr fontId="1"/>
  </si>
  <si>
    <t>60990</t>
    <phoneticPr fontId="1"/>
  </si>
  <si>
    <t>A13A</t>
    <phoneticPr fontId="1"/>
  </si>
  <si>
    <t>A13AW</t>
    <phoneticPr fontId="1"/>
  </si>
  <si>
    <t>A14IW</t>
    <phoneticPr fontId="1"/>
  </si>
  <si>
    <t>J10B</t>
    <phoneticPr fontId="1"/>
  </si>
  <si>
    <t>J7B</t>
    <phoneticPr fontId="1"/>
  </si>
  <si>
    <t>新規</t>
    <rPh sb="0" eb="2">
      <t>シンキ</t>
    </rPh>
    <phoneticPr fontId="1"/>
  </si>
  <si>
    <t>仕様：内部部品変更、互換性あり</t>
    <rPh sb="0" eb="2">
      <t>シヨウ</t>
    </rPh>
    <rPh sb="3" eb="5">
      <t>ナイブ</t>
    </rPh>
    <rPh sb="5" eb="7">
      <t>ブヒン</t>
    </rPh>
    <rPh sb="7" eb="9">
      <t>ヘンコウ</t>
    </rPh>
    <rPh sb="10" eb="13">
      <t>ゴカンセイ</t>
    </rPh>
    <phoneticPr fontId="1"/>
  </si>
  <si>
    <t>仕様：仕様書改定、動作の変更なし</t>
    <rPh sb="0" eb="2">
      <t>シヨウ</t>
    </rPh>
    <rPh sb="3" eb="6">
      <t>シヨウショ</t>
    </rPh>
    <rPh sb="6" eb="8">
      <t>カイテイ</t>
    </rPh>
    <rPh sb="9" eb="11">
      <t>ドウサ</t>
    </rPh>
    <rPh sb="12" eb="14">
      <t>ヘンコウ</t>
    </rPh>
    <phoneticPr fontId="1"/>
  </si>
  <si>
    <t>17050-05227</t>
  </si>
  <si>
    <t>V1.02</t>
    <phoneticPr fontId="1"/>
  </si>
  <si>
    <t>B008576</t>
    <phoneticPr fontId="1"/>
  </si>
  <si>
    <t>60393</t>
    <phoneticPr fontId="1"/>
  </si>
  <si>
    <t>仕様：Bluetoothモジュールアップデート、互換性あり</t>
    <rPh sb="0" eb="2">
      <t>シヨウ</t>
    </rPh>
    <rPh sb="24" eb="27">
      <t>ゴカンセイ</t>
    </rPh>
    <phoneticPr fontId="1"/>
  </si>
  <si>
    <t>E7F</t>
    <phoneticPr fontId="1"/>
  </si>
  <si>
    <t>新規採用</t>
    <rPh sb="0" eb="2">
      <t>シンキ</t>
    </rPh>
    <rPh sb="2" eb="4">
      <t>サイヨウ</t>
    </rPh>
    <phoneticPr fontId="1"/>
  </si>
  <si>
    <t>防水対応、+B電源廃止、17050-05220代替品、互換性なし</t>
    <rPh sb="0" eb="4">
      <t>ボウスイタイオウ</t>
    </rPh>
    <rPh sb="7" eb="9">
      <t>デンゲン</t>
    </rPh>
    <rPh sb="9" eb="11">
      <t>ハイシ</t>
    </rPh>
    <rPh sb="23" eb="26">
      <t>ダイタイヒン</t>
    </rPh>
    <rPh sb="27" eb="30">
      <t>ゴカンセイ</t>
    </rPh>
    <phoneticPr fontId="1"/>
  </si>
  <si>
    <t>17050-05227</t>
    <phoneticPr fontId="1"/>
  </si>
  <si>
    <t>A4E/F.J4B</t>
    <phoneticPr fontId="32"/>
  </si>
  <si>
    <t>A5F.A7G.A12B</t>
    <phoneticPr fontId="32"/>
  </si>
  <si>
    <t>A5F.A7G.A12B.A6E.A9F</t>
    <phoneticPr fontId="32"/>
  </si>
  <si>
    <t>A6E.A9F</t>
    <phoneticPr fontId="32"/>
  </si>
  <si>
    <t>L6E.L8C.L9C</t>
    <phoneticPr fontId="1"/>
  </si>
  <si>
    <t>L8E.L9E</t>
    <phoneticPr fontId="1"/>
  </si>
  <si>
    <t>A13AW</t>
    <phoneticPr fontId="1"/>
  </si>
  <si>
    <t>A14GW/HW</t>
    <phoneticPr fontId="32"/>
  </si>
  <si>
    <t>C9-3</t>
    <phoneticPr fontId="1"/>
  </si>
  <si>
    <t>J7B.J10B</t>
    <phoneticPr fontId="1"/>
  </si>
  <si>
    <t>L8EV</t>
    <phoneticPr fontId="1"/>
  </si>
  <si>
    <t>03201-00016</t>
    <phoneticPr fontId="1"/>
  </si>
  <si>
    <t>イモビサービスツールType2</t>
    <phoneticPr fontId="1"/>
  </si>
  <si>
    <t>イモビサービスツールType1</t>
    <phoneticPr fontId="1"/>
  </si>
  <si>
    <t>J2</t>
    <phoneticPr fontId="1"/>
  </si>
  <si>
    <t>A3F</t>
    <phoneticPr fontId="1"/>
  </si>
  <si>
    <t>03601-00030</t>
    <phoneticPr fontId="32"/>
  </si>
  <si>
    <t>ライセンス版</t>
    <rPh sb="5" eb="6">
      <t>バン</t>
    </rPh>
    <phoneticPr fontId="1"/>
  </si>
  <si>
    <t>フリー版</t>
    <rPh sb="3" eb="4">
      <t>バン</t>
    </rPh>
    <phoneticPr fontId="1"/>
  </si>
  <si>
    <t>03701-00066</t>
    <phoneticPr fontId="1"/>
  </si>
  <si>
    <t>05501-00045</t>
    <phoneticPr fontId="1"/>
  </si>
  <si>
    <t>05501-00060</t>
    <phoneticPr fontId="1"/>
  </si>
  <si>
    <t>05501-00086</t>
    <phoneticPr fontId="1"/>
  </si>
  <si>
    <t>フリー版（メイン、走行）</t>
    <rPh sb="3" eb="4">
      <t>バン</t>
    </rPh>
    <rPh sb="9" eb="11">
      <t>ソウコウ</t>
    </rPh>
    <phoneticPr fontId="1"/>
  </si>
  <si>
    <t>未出図</t>
    <rPh sb="0" eb="3">
      <t>ミシュツズ</t>
    </rPh>
    <phoneticPr fontId="1"/>
  </si>
  <si>
    <t>A14I</t>
    <phoneticPr fontId="1"/>
  </si>
  <si>
    <t xml:space="preserve">	05601-00280</t>
    <phoneticPr fontId="1"/>
  </si>
  <si>
    <t>05601-00281</t>
    <phoneticPr fontId="1"/>
  </si>
  <si>
    <t>05601-00282</t>
    <phoneticPr fontId="1"/>
  </si>
  <si>
    <t>フリー版</t>
    <rPh sb="3" eb="4">
      <t>バン</t>
    </rPh>
    <phoneticPr fontId="1"/>
  </si>
  <si>
    <t>06601-00025</t>
    <phoneticPr fontId="32"/>
  </si>
  <si>
    <t>06801-00018</t>
    <phoneticPr fontId="1"/>
  </si>
  <si>
    <t>フリー版、マルチグリップ（グレーダー）仕様</t>
    <rPh sb="3" eb="4">
      <t>バン</t>
    </rPh>
    <rPh sb="19" eb="21">
      <t>シヨウ</t>
    </rPh>
    <phoneticPr fontId="1"/>
  </si>
  <si>
    <t>ライセンス版、マルチグリップ（グレーダー）仕様</t>
    <rPh sb="5" eb="6">
      <t>バン</t>
    </rPh>
    <rPh sb="21" eb="23">
      <t>シヨウ</t>
    </rPh>
    <phoneticPr fontId="1"/>
  </si>
  <si>
    <t>06801-00025</t>
    <phoneticPr fontId="1"/>
  </si>
  <si>
    <t>06801-00028</t>
    <phoneticPr fontId="1"/>
  </si>
  <si>
    <t>06901-00049</t>
    <phoneticPr fontId="32"/>
  </si>
  <si>
    <t>07001-00017</t>
    <phoneticPr fontId="1"/>
  </si>
  <si>
    <t>フリー版、エンジン</t>
    <rPh sb="3" eb="4">
      <t>バン</t>
    </rPh>
    <phoneticPr fontId="1"/>
  </si>
  <si>
    <t>フリー版、日本語</t>
    <rPh sb="3" eb="4">
      <t>バン</t>
    </rPh>
    <rPh sb="5" eb="8">
      <t>ニホンゴ</t>
    </rPh>
    <phoneticPr fontId="1"/>
  </si>
  <si>
    <t>17301-43142</t>
    <phoneticPr fontId="1"/>
  </si>
  <si>
    <t>７インチクラスタ(17301-43901)用プログラム</t>
    <rPh sb="21" eb="22">
      <t>ヨウ</t>
    </rPh>
    <phoneticPr fontId="1"/>
  </si>
  <si>
    <t>A13A</t>
    <phoneticPr fontId="1"/>
  </si>
  <si>
    <t>8インチクラスタ(17301-43810)用プログラム</t>
    <rPh sb="21" eb="22">
      <t>ヨウ</t>
    </rPh>
    <phoneticPr fontId="1"/>
  </si>
  <si>
    <t>05501-00072</t>
    <phoneticPr fontId="1"/>
  </si>
  <si>
    <t>BAL'S</t>
    <phoneticPr fontId="1"/>
  </si>
  <si>
    <t>06601-00431</t>
    <phoneticPr fontId="1"/>
  </si>
  <si>
    <t>L6C</t>
    <phoneticPr fontId="1"/>
  </si>
  <si>
    <t>L6C用メンテナンスソフト</t>
    <rPh sb="3" eb="4">
      <t>ヨウ</t>
    </rPh>
    <phoneticPr fontId="1"/>
  </si>
  <si>
    <t>ALL</t>
    <phoneticPr fontId="1"/>
  </si>
  <si>
    <t>RFIDタグ(赤)の複製書き込み治具用ソフト</t>
    <rPh sb="7" eb="8">
      <t>アカ</t>
    </rPh>
    <rPh sb="10" eb="12">
      <t>フクセイ</t>
    </rPh>
    <rPh sb="12" eb="13">
      <t>カ</t>
    </rPh>
    <rPh sb="14" eb="15">
      <t>コ</t>
    </rPh>
    <rPh sb="16" eb="18">
      <t>ジグ</t>
    </rPh>
    <rPh sb="18" eb="19">
      <t>ヨウ</t>
    </rPh>
    <phoneticPr fontId="1"/>
  </si>
  <si>
    <t>17301-41859</t>
    <phoneticPr fontId="1"/>
  </si>
  <si>
    <t>03701-00065</t>
    <phoneticPr fontId="1"/>
  </si>
  <si>
    <t>03301-00034</t>
    <phoneticPr fontId="1"/>
  </si>
  <si>
    <t>07001-00019</t>
    <phoneticPr fontId="1"/>
  </si>
  <si>
    <t>07101-00012</t>
    <phoneticPr fontId="1"/>
  </si>
  <si>
    <t>06801-00027</t>
    <phoneticPr fontId="1"/>
  </si>
  <si>
    <t>A14HW/GW.A25F/G.A27A./B</t>
    <phoneticPr fontId="1"/>
  </si>
  <si>
    <t>61087</t>
    <phoneticPr fontId="1"/>
  </si>
  <si>
    <t>63574</t>
    <phoneticPr fontId="1"/>
  </si>
  <si>
    <t>A25F/G,A27A/B</t>
    <phoneticPr fontId="1"/>
  </si>
  <si>
    <t>V2.19</t>
    <phoneticPr fontId="1"/>
  </si>
  <si>
    <t>V4.06</t>
    <phoneticPr fontId="1"/>
  </si>
  <si>
    <t>V5.07</t>
    <phoneticPr fontId="1"/>
  </si>
  <si>
    <t>V6.16</t>
    <phoneticPr fontId="1"/>
  </si>
  <si>
    <t>V7.07</t>
    <phoneticPr fontId="1"/>
  </si>
  <si>
    <t>V8.26</t>
    <phoneticPr fontId="1"/>
  </si>
  <si>
    <t>V9.03</t>
    <phoneticPr fontId="1"/>
  </si>
  <si>
    <t>不具合：エバポレータ温度表示</t>
    <rPh sb="0" eb="3">
      <t>フグアイ</t>
    </rPh>
    <rPh sb="10" eb="12">
      <t>オンド</t>
    </rPh>
    <rPh sb="12" eb="14">
      <t>ヒョウジ</t>
    </rPh>
    <phoneticPr fontId="1"/>
  </si>
  <si>
    <t>03242-00069</t>
    <phoneticPr fontId="1"/>
  </si>
  <si>
    <t>E2F</t>
    <phoneticPr fontId="1"/>
  </si>
  <si>
    <t>63567</t>
    <phoneticPr fontId="1"/>
  </si>
  <si>
    <t>17301-43696</t>
    <phoneticPr fontId="1"/>
  </si>
  <si>
    <t>新規</t>
    <rPh sb="0" eb="2">
      <t>シンキ</t>
    </rPh>
    <phoneticPr fontId="1"/>
  </si>
  <si>
    <t>V028</t>
    <phoneticPr fontId="1"/>
  </si>
  <si>
    <t>63602</t>
    <phoneticPr fontId="1"/>
  </si>
  <si>
    <t>63124</t>
    <phoneticPr fontId="1"/>
  </si>
  <si>
    <t>仕様：エンジンオートストップ機能、始動時ビーコン動作、オートグリスパラメータ</t>
    <rPh sb="0" eb="2">
      <t>シヨウ</t>
    </rPh>
    <rPh sb="14" eb="16">
      <t>キノウ</t>
    </rPh>
    <rPh sb="17" eb="20">
      <t>シドウジ</t>
    </rPh>
    <rPh sb="24" eb="26">
      <t>ドウサ</t>
    </rPh>
    <phoneticPr fontId="1"/>
  </si>
  <si>
    <t>V2.13</t>
    <phoneticPr fontId="1"/>
  </si>
  <si>
    <t>V3.02</t>
    <phoneticPr fontId="1"/>
  </si>
  <si>
    <t>05501-00029</t>
    <phoneticPr fontId="1"/>
  </si>
  <si>
    <t>05501-00086</t>
    <phoneticPr fontId="1"/>
  </si>
  <si>
    <t>V1.10F</t>
    <phoneticPr fontId="1"/>
  </si>
  <si>
    <t>V1.04L</t>
    <phoneticPr fontId="1"/>
  </si>
  <si>
    <t>仕様：始動時ビーコン動作</t>
    <rPh sb="0" eb="2">
      <t>シヨウ</t>
    </rPh>
    <rPh sb="3" eb="6">
      <t>シドウジ</t>
    </rPh>
    <rPh sb="10" eb="12">
      <t>ドウサ</t>
    </rPh>
    <phoneticPr fontId="1"/>
  </si>
  <si>
    <t>V2.14</t>
    <phoneticPr fontId="1"/>
  </si>
  <si>
    <t>V3.03</t>
    <phoneticPr fontId="1"/>
  </si>
  <si>
    <t>A14IW</t>
    <phoneticPr fontId="1"/>
  </si>
  <si>
    <t>A13AW</t>
    <phoneticPr fontId="1"/>
  </si>
  <si>
    <t>V1.10</t>
    <phoneticPr fontId="1"/>
  </si>
  <si>
    <t>V2.05</t>
    <phoneticPr fontId="1"/>
  </si>
  <si>
    <t>V2.03</t>
    <phoneticPr fontId="1"/>
  </si>
  <si>
    <t>V1.05</t>
    <phoneticPr fontId="1"/>
  </si>
  <si>
    <t>05501-00059</t>
    <phoneticPr fontId="1"/>
  </si>
  <si>
    <t>V1.11F</t>
    <phoneticPr fontId="1"/>
  </si>
  <si>
    <t>V1.05L</t>
    <phoneticPr fontId="1"/>
  </si>
  <si>
    <t>05501-00060</t>
    <phoneticPr fontId="1"/>
  </si>
  <si>
    <t>V1.02L</t>
    <phoneticPr fontId="1"/>
  </si>
  <si>
    <t>不具合：前回変更時の修正もれ</t>
    <rPh sb="0" eb="3">
      <t>フグアイ</t>
    </rPh>
    <rPh sb="4" eb="6">
      <t>ゼンカイ</t>
    </rPh>
    <rPh sb="6" eb="9">
      <t>ヘンコウジ</t>
    </rPh>
    <rPh sb="10" eb="12">
      <t>シュウセイ</t>
    </rPh>
    <phoneticPr fontId="1"/>
  </si>
  <si>
    <t>仕様：始動時のスイング/アジャストモード設定</t>
    <rPh sb="0" eb="2">
      <t>シヨウ</t>
    </rPh>
    <rPh sb="3" eb="6">
      <t>シドウジ</t>
    </rPh>
    <rPh sb="20" eb="22">
      <t>セッテイ</t>
    </rPh>
    <phoneticPr fontId="1"/>
  </si>
  <si>
    <t>-</t>
    <phoneticPr fontId="1"/>
  </si>
  <si>
    <t>〇</t>
    <phoneticPr fontId="1"/>
  </si>
  <si>
    <t>新規、E3Fキャノピ</t>
    <phoneticPr fontId="1"/>
  </si>
  <si>
    <t>E3F</t>
    <phoneticPr fontId="1"/>
  </si>
  <si>
    <t>54582</t>
    <phoneticPr fontId="1"/>
  </si>
  <si>
    <t>17301-43690</t>
    <phoneticPr fontId="1"/>
  </si>
  <si>
    <t>49120</t>
    <phoneticPr fontId="1"/>
  </si>
  <si>
    <t>53520</t>
    <phoneticPr fontId="1"/>
  </si>
  <si>
    <t>54076</t>
    <phoneticPr fontId="1"/>
  </si>
  <si>
    <t>新規：E3F</t>
    <rPh sb="0" eb="2">
      <t>シンキ</t>
    </rPh>
    <phoneticPr fontId="1"/>
  </si>
  <si>
    <t>V110</t>
    <phoneticPr fontId="1"/>
  </si>
  <si>
    <t>仕様：バッテリ残量表示、他</t>
    <rPh sb="0" eb="2">
      <t>シヨウ</t>
    </rPh>
    <rPh sb="7" eb="9">
      <t>ザンリョウ</t>
    </rPh>
    <rPh sb="9" eb="11">
      <t>ヒョウジ</t>
    </rPh>
    <rPh sb="12" eb="13">
      <t>ホカ</t>
    </rPh>
    <phoneticPr fontId="1"/>
  </si>
  <si>
    <t>仕様：ヒーター追加、他</t>
    <rPh sb="0" eb="2">
      <t>シヨウ</t>
    </rPh>
    <rPh sb="7" eb="9">
      <t>ツイカ</t>
    </rPh>
    <rPh sb="10" eb="11">
      <t>ホカ</t>
    </rPh>
    <phoneticPr fontId="1"/>
  </si>
  <si>
    <t>03742-00557</t>
    <phoneticPr fontId="1"/>
  </si>
  <si>
    <t>J7B</t>
    <phoneticPr fontId="1"/>
  </si>
  <si>
    <t>新規 US仕様EPA対応</t>
    <rPh sb="0" eb="2">
      <t>シンキ</t>
    </rPh>
    <rPh sb="5" eb="7">
      <t>シヨウ</t>
    </rPh>
    <rPh sb="10" eb="12">
      <t>タイオウ</t>
    </rPh>
    <phoneticPr fontId="1"/>
  </si>
  <si>
    <t>V3.00</t>
    <phoneticPr fontId="1"/>
  </si>
  <si>
    <t>XL104-0019</t>
    <phoneticPr fontId="1"/>
  </si>
  <si>
    <t>63310</t>
    <phoneticPr fontId="1"/>
  </si>
  <si>
    <t>新規：US仕様EPA対応</t>
    <rPh sb="0" eb="2">
      <t>シンキ</t>
    </rPh>
    <rPh sb="5" eb="7">
      <t>シヨウ</t>
    </rPh>
    <rPh sb="10" eb="12">
      <t>タイオウ</t>
    </rPh>
    <phoneticPr fontId="1"/>
  </si>
  <si>
    <t>仕様：V2.xxと互換性あり</t>
    <rPh sb="0" eb="2">
      <t>シヨウ</t>
    </rPh>
    <rPh sb="9" eb="12">
      <t>ゴカンセイ</t>
    </rPh>
    <phoneticPr fontId="1"/>
  </si>
  <si>
    <t>-</t>
    <phoneticPr fontId="1"/>
  </si>
  <si>
    <t>17301-43840</t>
  </si>
  <si>
    <t>17301-43840</t>
    <phoneticPr fontId="1"/>
  </si>
  <si>
    <t>新規</t>
    <rPh sb="0" eb="2">
      <t>シンキ</t>
    </rPh>
    <phoneticPr fontId="1"/>
  </si>
  <si>
    <t>55898</t>
    <phoneticPr fontId="1"/>
  </si>
  <si>
    <t>55973</t>
    <phoneticPr fontId="1"/>
  </si>
  <si>
    <t>56474</t>
    <phoneticPr fontId="1"/>
  </si>
  <si>
    <t>60245</t>
    <phoneticPr fontId="1"/>
  </si>
  <si>
    <t>60642</t>
    <phoneticPr fontId="1"/>
  </si>
  <si>
    <t>61698</t>
    <phoneticPr fontId="1"/>
  </si>
  <si>
    <t>62495</t>
    <phoneticPr fontId="1"/>
  </si>
  <si>
    <t>新規：</t>
    <rPh sb="0" eb="2">
      <t>シンキ</t>
    </rPh>
    <phoneticPr fontId="1"/>
  </si>
  <si>
    <t>54721</t>
    <phoneticPr fontId="1"/>
  </si>
  <si>
    <t>B007816</t>
    <phoneticPr fontId="1"/>
  </si>
  <si>
    <t>P102</t>
    <phoneticPr fontId="1"/>
  </si>
  <si>
    <t>仕様：ラジオ情報表示改善（番組名、ミュートボタン、スキャンなど）</t>
    <rPh sb="0" eb="2">
      <t>シヨウ</t>
    </rPh>
    <rPh sb="6" eb="8">
      <t>ジョウホウ</t>
    </rPh>
    <rPh sb="8" eb="10">
      <t>ヒョウジ</t>
    </rPh>
    <rPh sb="10" eb="12">
      <t>カイゼン</t>
    </rPh>
    <rPh sb="13" eb="16">
      <t>バングミメイ</t>
    </rPh>
    <phoneticPr fontId="1"/>
  </si>
  <si>
    <t>P117</t>
    <phoneticPr fontId="1"/>
  </si>
  <si>
    <t>仕様：ラジオ番組一覧表示</t>
    <rPh sb="0" eb="2">
      <t>シヨウ</t>
    </rPh>
    <rPh sb="6" eb="8">
      <t>バングミ</t>
    </rPh>
    <rPh sb="8" eb="10">
      <t>イチラン</t>
    </rPh>
    <rPh sb="10" eb="12">
      <t>ヒョウジ</t>
    </rPh>
    <phoneticPr fontId="1"/>
  </si>
  <si>
    <t>不具合：A14IWの流量設定の初期値が仕様と違う</t>
    <rPh sb="0" eb="3">
      <t>フグアイ</t>
    </rPh>
    <rPh sb="10" eb="12">
      <t>リュウリョウ</t>
    </rPh>
    <rPh sb="12" eb="14">
      <t>セッテイ</t>
    </rPh>
    <rPh sb="15" eb="18">
      <t>ショキチ</t>
    </rPh>
    <rPh sb="19" eb="21">
      <t>シヨウ</t>
    </rPh>
    <rPh sb="22" eb="23">
      <t>チガ</t>
    </rPh>
    <phoneticPr fontId="1"/>
  </si>
  <si>
    <t>P124</t>
    <phoneticPr fontId="1"/>
  </si>
  <si>
    <t>P133</t>
    <phoneticPr fontId="1"/>
  </si>
  <si>
    <t>不具合：バックカメラ画像の揺れ改善
仕様：拡張出力機能追加、ジョイスティックステアリング機能追加、オートディギング機能追加、エコプラス機能追加</t>
    <rPh sb="0" eb="3">
      <t>フグアイ</t>
    </rPh>
    <rPh sb="10" eb="12">
      <t>ガゾウ</t>
    </rPh>
    <rPh sb="13" eb="14">
      <t>ユ</t>
    </rPh>
    <rPh sb="15" eb="17">
      <t>カイゼン</t>
    </rPh>
    <rPh sb="18" eb="20">
      <t>シヨウ</t>
    </rPh>
    <rPh sb="21" eb="23">
      <t>カクチョウ</t>
    </rPh>
    <rPh sb="23" eb="25">
      <t>シュツリョク</t>
    </rPh>
    <rPh sb="25" eb="27">
      <t>キノウ</t>
    </rPh>
    <rPh sb="27" eb="29">
      <t>ツイカ</t>
    </rPh>
    <rPh sb="44" eb="46">
      <t>キノウ</t>
    </rPh>
    <rPh sb="46" eb="48">
      <t>ツイカ</t>
    </rPh>
    <rPh sb="57" eb="59">
      <t>キノウ</t>
    </rPh>
    <rPh sb="59" eb="61">
      <t>ツイカ</t>
    </rPh>
    <rPh sb="67" eb="69">
      <t>キノウ</t>
    </rPh>
    <rPh sb="69" eb="71">
      <t>ツイカ</t>
    </rPh>
    <phoneticPr fontId="1"/>
  </si>
  <si>
    <t>P135</t>
    <phoneticPr fontId="1"/>
  </si>
  <si>
    <t>不具合：電話番号が表示されない</t>
    <rPh sb="0" eb="3">
      <t>フグアイ</t>
    </rPh>
    <rPh sb="4" eb="8">
      <t>デンワバンゴウ</t>
    </rPh>
    <rPh sb="9" eb="11">
      <t>ヒョウジ</t>
    </rPh>
    <phoneticPr fontId="1"/>
  </si>
  <si>
    <t>P140</t>
    <phoneticPr fontId="1"/>
  </si>
  <si>
    <t>不具合：機種判別に失敗しパラメータがリセットされる
仕様：オートディギングピン情報追加</t>
    <rPh sb="0" eb="3">
      <t>フグアイ</t>
    </rPh>
    <rPh sb="4" eb="8">
      <t>キシュハンベツ</t>
    </rPh>
    <rPh sb="9" eb="11">
      <t>シッパイ</t>
    </rPh>
    <rPh sb="26" eb="28">
      <t>シヨウ</t>
    </rPh>
    <rPh sb="39" eb="41">
      <t>ジョウホウ</t>
    </rPh>
    <rPh sb="41" eb="43">
      <t>ツイカ</t>
    </rPh>
    <phoneticPr fontId="1"/>
  </si>
  <si>
    <t>A14IW/A13AW</t>
    <phoneticPr fontId="1"/>
  </si>
  <si>
    <t>P1xx</t>
    <phoneticPr fontId="1"/>
  </si>
  <si>
    <t>17301-43842</t>
  </si>
  <si>
    <t>17301-43842</t>
    <phoneticPr fontId="1"/>
  </si>
  <si>
    <t>P2xx</t>
    <phoneticPr fontId="1"/>
  </si>
  <si>
    <t>仕様：EN474:2020対応</t>
    <rPh sb="0" eb="2">
      <t>シヨウ</t>
    </rPh>
    <rPh sb="13" eb="15">
      <t>タイオウ</t>
    </rPh>
    <phoneticPr fontId="1"/>
  </si>
  <si>
    <t>61205</t>
    <phoneticPr fontId="1"/>
  </si>
  <si>
    <t>61591</t>
    <phoneticPr fontId="1"/>
  </si>
  <si>
    <t>63514</t>
    <phoneticPr fontId="1"/>
  </si>
  <si>
    <t>新規：EN474-5対応（品番設定のみ）</t>
    <rPh sb="0" eb="2">
      <t>シンキ</t>
    </rPh>
    <rPh sb="10" eb="12">
      <t>タイオウ</t>
    </rPh>
    <rPh sb="13" eb="15">
      <t>ヒンバン</t>
    </rPh>
    <rPh sb="15" eb="17">
      <t>セッテイ</t>
    </rPh>
    <phoneticPr fontId="1"/>
  </si>
  <si>
    <t>不具合：機種判別に失敗しパラメータがリセットされる
仕様：緊急ステアリング警告アイコン追加</t>
    <rPh sb="0" eb="3">
      <t>フグアイ</t>
    </rPh>
    <rPh sb="4" eb="8">
      <t>キシュハンベツ</t>
    </rPh>
    <rPh sb="9" eb="11">
      <t>シッパイ</t>
    </rPh>
    <rPh sb="26" eb="28">
      <t>シヨウ</t>
    </rPh>
    <rPh sb="29" eb="31">
      <t>キンキュウ</t>
    </rPh>
    <rPh sb="37" eb="39">
      <t>ケイコク</t>
    </rPh>
    <rPh sb="43" eb="45">
      <t>ツイカ</t>
    </rPh>
    <phoneticPr fontId="1"/>
  </si>
  <si>
    <t>P215</t>
    <phoneticPr fontId="1"/>
  </si>
  <si>
    <t>仕様：緊急ステアリングソレノイド断線エラー追加</t>
    <rPh sb="0" eb="2">
      <t>シヨウ</t>
    </rPh>
    <rPh sb="3" eb="5">
      <t>キンキュウ</t>
    </rPh>
    <rPh sb="16" eb="18">
      <t>ダンセン</t>
    </rPh>
    <rPh sb="21" eb="23">
      <t>ツイカ</t>
    </rPh>
    <phoneticPr fontId="1"/>
  </si>
  <si>
    <t>P206</t>
    <phoneticPr fontId="1"/>
  </si>
  <si>
    <t>P212</t>
    <phoneticPr fontId="1"/>
  </si>
  <si>
    <t>63577</t>
    <phoneticPr fontId="1"/>
  </si>
  <si>
    <t>V1.01</t>
    <phoneticPr fontId="1"/>
  </si>
  <si>
    <t>-</t>
    <phoneticPr fontId="1"/>
  </si>
  <si>
    <t>06896-00001</t>
    <phoneticPr fontId="1"/>
  </si>
  <si>
    <t>治具</t>
    <rPh sb="0" eb="2">
      <t>ジグ</t>
    </rPh>
    <phoneticPr fontId="1"/>
  </si>
  <si>
    <t>DP250-01-01-04-05</t>
    <phoneticPr fontId="1"/>
  </si>
  <si>
    <t>V1.40</t>
    <phoneticPr fontId="1"/>
  </si>
  <si>
    <t>62014</t>
    <phoneticPr fontId="1"/>
  </si>
  <si>
    <t>63712</t>
    <phoneticPr fontId="1"/>
  </si>
  <si>
    <t>03701-00065</t>
    <phoneticPr fontId="1"/>
  </si>
  <si>
    <t>63753</t>
    <phoneticPr fontId="1"/>
  </si>
  <si>
    <t>03701-00066</t>
    <phoneticPr fontId="1"/>
  </si>
  <si>
    <t>05701-00058</t>
    <phoneticPr fontId="1"/>
  </si>
  <si>
    <t>J7B･J10B</t>
    <phoneticPr fontId="1"/>
  </si>
  <si>
    <t>全て</t>
    <rPh sb="0" eb="1">
      <t>スベ</t>
    </rPh>
    <phoneticPr fontId="1"/>
  </si>
  <si>
    <t>50307</t>
    <phoneticPr fontId="1"/>
  </si>
  <si>
    <t>62508</t>
    <phoneticPr fontId="1"/>
  </si>
  <si>
    <t>54648</t>
    <phoneticPr fontId="1"/>
  </si>
  <si>
    <t>63236</t>
    <phoneticPr fontId="1"/>
  </si>
  <si>
    <t>V1.00</t>
    <phoneticPr fontId="1"/>
  </si>
  <si>
    <t>新規：</t>
    <rPh sb="0" eb="2">
      <t>シンキ</t>
    </rPh>
    <phoneticPr fontId="1"/>
  </si>
  <si>
    <t>V1.01F</t>
    <phoneticPr fontId="1"/>
  </si>
  <si>
    <t>仕様：クレーン仕様追加</t>
    <rPh sb="0" eb="2">
      <t>シヨウ</t>
    </rPh>
    <rPh sb="7" eb="9">
      <t>シヨウ</t>
    </rPh>
    <rPh sb="9" eb="11">
      <t>ツイカ</t>
    </rPh>
    <phoneticPr fontId="1"/>
  </si>
  <si>
    <t>不具合：クラスタパスワード設定機能</t>
    <rPh sb="0" eb="3">
      <t>フグアイ</t>
    </rPh>
    <rPh sb="13" eb="15">
      <t>セッテイ</t>
    </rPh>
    <rPh sb="15" eb="17">
      <t>キノウ</t>
    </rPh>
    <phoneticPr fontId="1"/>
  </si>
  <si>
    <t>V1.02F</t>
    <phoneticPr fontId="1"/>
  </si>
  <si>
    <t>V1.04F</t>
    <phoneticPr fontId="1"/>
  </si>
  <si>
    <t>V1.13F</t>
    <phoneticPr fontId="1"/>
  </si>
  <si>
    <t>仕様：オートエンジンストップ機能変更、ビーコン起動時の仕様変更</t>
    <rPh sb="0" eb="2">
      <t>シヨウ</t>
    </rPh>
    <rPh sb="14" eb="16">
      <t>キノウ</t>
    </rPh>
    <rPh sb="16" eb="18">
      <t>ヘンコウ</t>
    </rPh>
    <rPh sb="23" eb="26">
      <t>キドウジ</t>
    </rPh>
    <rPh sb="27" eb="29">
      <t>シヨウ</t>
    </rPh>
    <rPh sb="29" eb="31">
      <t>ヘンコウ</t>
    </rPh>
    <phoneticPr fontId="1"/>
  </si>
  <si>
    <t>V1.00L</t>
    <phoneticPr fontId="1"/>
  </si>
  <si>
    <t>新規：ライセンス版</t>
    <rPh sb="0" eb="2">
      <t>シンキ</t>
    </rPh>
    <rPh sb="8" eb="9">
      <t>バン</t>
    </rPh>
    <phoneticPr fontId="1"/>
  </si>
  <si>
    <t>V1.01L</t>
    <phoneticPr fontId="1"/>
  </si>
  <si>
    <t>V1.03L</t>
    <phoneticPr fontId="1"/>
  </si>
  <si>
    <t>54718</t>
    <phoneticPr fontId="1"/>
  </si>
  <si>
    <t>60410</t>
    <phoneticPr fontId="1"/>
  </si>
  <si>
    <t>62019</t>
    <phoneticPr fontId="1"/>
  </si>
  <si>
    <t>不具合：エンジンサービスツール機能不具合改善</t>
    <rPh sb="0" eb="3">
      <t>フグアイ</t>
    </rPh>
    <rPh sb="15" eb="17">
      <t>キノウ</t>
    </rPh>
    <rPh sb="17" eb="20">
      <t>フグアイ</t>
    </rPh>
    <rPh sb="20" eb="22">
      <t>カイゼン</t>
    </rPh>
    <phoneticPr fontId="1"/>
  </si>
  <si>
    <t>V1.00F</t>
    <phoneticPr fontId="1"/>
  </si>
  <si>
    <t>V1.05F</t>
    <phoneticPr fontId="1"/>
  </si>
  <si>
    <t>V1.06F</t>
    <phoneticPr fontId="1"/>
  </si>
  <si>
    <t>V1.07F</t>
    <phoneticPr fontId="1"/>
  </si>
  <si>
    <t>V1.12F</t>
    <phoneticPr fontId="1"/>
  </si>
  <si>
    <t>45920</t>
    <phoneticPr fontId="1"/>
  </si>
  <si>
    <t>46921</t>
    <phoneticPr fontId="1"/>
  </si>
  <si>
    <t>47644</t>
    <phoneticPr fontId="1"/>
  </si>
  <si>
    <t>48255</t>
    <phoneticPr fontId="1"/>
  </si>
  <si>
    <t>48542</t>
    <phoneticPr fontId="1"/>
  </si>
  <si>
    <t>48593</t>
    <phoneticPr fontId="1"/>
  </si>
  <si>
    <t>49487</t>
    <phoneticPr fontId="1"/>
  </si>
  <si>
    <t>52310</t>
    <phoneticPr fontId="1"/>
  </si>
  <si>
    <t>53853</t>
    <phoneticPr fontId="1"/>
  </si>
  <si>
    <t>新規：新規出図</t>
    <rPh sb="0" eb="2">
      <t>シンキ</t>
    </rPh>
    <rPh sb="3" eb="7">
      <t>シンキシュツズ</t>
    </rPh>
    <phoneticPr fontId="1"/>
  </si>
  <si>
    <t>仕様：オートバックカメラ、サービスパターンチェンジ</t>
    <rPh sb="0" eb="2">
      <t>シヨウ</t>
    </rPh>
    <phoneticPr fontId="1"/>
  </si>
  <si>
    <t>仕様：ハードロック仕様追加</t>
    <rPh sb="0" eb="2">
      <t>シヨウ</t>
    </rPh>
    <rPh sb="9" eb="11">
      <t>シヨウ</t>
    </rPh>
    <rPh sb="11" eb="13">
      <t>ツイカ</t>
    </rPh>
    <phoneticPr fontId="1"/>
  </si>
  <si>
    <t>仕様：パワーモード廃止、低温時エンジン保護追加</t>
    <rPh sb="0" eb="2">
      <t>シヨウ</t>
    </rPh>
    <rPh sb="9" eb="11">
      <t>ハイシ</t>
    </rPh>
    <rPh sb="12" eb="15">
      <t>テイオンジ</t>
    </rPh>
    <rPh sb="19" eb="21">
      <t>ホゴ</t>
    </rPh>
    <rPh sb="21" eb="23">
      <t>ツイカ</t>
    </rPh>
    <phoneticPr fontId="1"/>
  </si>
  <si>
    <t>仕様：A25G/A27Bファンドライブパラメータ追加</t>
    <rPh sb="0" eb="2">
      <t>シヨウ</t>
    </rPh>
    <rPh sb="24" eb="26">
      <t>ツイカ</t>
    </rPh>
    <phoneticPr fontId="1"/>
  </si>
  <si>
    <t>V10.01</t>
    <phoneticPr fontId="1"/>
  </si>
  <si>
    <t>V8.01</t>
    <phoneticPr fontId="1"/>
  </si>
  <si>
    <t>63644</t>
    <phoneticPr fontId="1"/>
  </si>
  <si>
    <t>E3F</t>
    <phoneticPr fontId="1"/>
  </si>
  <si>
    <t>不具合：アワメータカウント、コンタクタ溶着、左レバー中立以上、IOXコントローラ電源電圧</t>
    <rPh sb="0" eb="3">
      <t>フグアイ</t>
    </rPh>
    <rPh sb="19" eb="21">
      <t>ヨウチャク</t>
    </rPh>
    <rPh sb="22" eb="23">
      <t>ヒダリ</t>
    </rPh>
    <rPh sb="26" eb="28">
      <t>チュウリツ</t>
    </rPh>
    <rPh sb="28" eb="30">
      <t>イジョウ</t>
    </rPh>
    <rPh sb="40" eb="42">
      <t>デンゲン</t>
    </rPh>
    <rPh sb="42" eb="44">
      <t>デンアツ</t>
    </rPh>
    <phoneticPr fontId="1"/>
  </si>
  <si>
    <t>不具合：アワメータカウント</t>
    <rPh sb="0" eb="3">
      <t>フグアイ</t>
    </rPh>
    <phoneticPr fontId="1"/>
  </si>
  <si>
    <t>07101-00026</t>
    <phoneticPr fontId="1"/>
  </si>
  <si>
    <t>新規：通常版</t>
    <rPh sb="0" eb="2">
      <t>シンキ</t>
    </rPh>
    <rPh sb="3" eb="5">
      <t>ツウジョウ</t>
    </rPh>
    <rPh sb="5" eb="6">
      <t>バン</t>
    </rPh>
    <phoneticPr fontId="1"/>
  </si>
  <si>
    <t>61457</t>
    <phoneticPr fontId="1"/>
  </si>
  <si>
    <t>V1.00F</t>
    <phoneticPr fontId="1"/>
  </si>
  <si>
    <t>-</t>
    <phoneticPr fontId="1"/>
  </si>
  <si>
    <t>C9-5</t>
    <phoneticPr fontId="1"/>
  </si>
  <si>
    <t>05742-00550</t>
  </si>
  <si>
    <t>05742-00550</t>
    <phoneticPr fontId="1"/>
  </si>
  <si>
    <t>63576</t>
    <phoneticPr fontId="1"/>
  </si>
  <si>
    <t>V1.01</t>
    <phoneticPr fontId="1"/>
  </si>
  <si>
    <t>仕様：AUX圧力調整SOLパラメータ変更、他量産P指摘事項対応</t>
    <rPh sb="0" eb="2">
      <t>シヨウ</t>
    </rPh>
    <rPh sb="6" eb="8">
      <t>アツリョク</t>
    </rPh>
    <rPh sb="8" eb="10">
      <t>チョウセイ</t>
    </rPh>
    <rPh sb="18" eb="20">
      <t>ヘンコウ</t>
    </rPh>
    <rPh sb="21" eb="22">
      <t>ホカ</t>
    </rPh>
    <rPh sb="22" eb="24">
      <t>リョウサン</t>
    </rPh>
    <rPh sb="25" eb="29">
      <t>シテキジコウ</t>
    </rPh>
    <rPh sb="29" eb="31">
      <t>タイオウ</t>
    </rPh>
    <phoneticPr fontId="1"/>
  </si>
  <si>
    <t>設変</t>
    <rPh sb="0" eb="2">
      <t>セツヘン</t>
    </rPh>
    <phoneticPr fontId="1"/>
  </si>
  <si>
    <t>5.7"COLOR DISPLAY WITH OUT VIDEO</t>
    <phoneticPr fontId="1"/>
  </si>
  <si>
    <t>5.7"COLOR DISPLAY WITH VIDEO</t>
    <phoneticPr fontId="1"/>
  </si>
  <si>
    <t>17301-43820</t>
  </si>
  <si>
    <t>17301-43820</t>
    <phoneticPr fontId="1"/>
  </si>
  <si>
    <t>17301-43821</t>
  </si>
  <si>
    <t>17301-43821</t>
    <phoneticPr fontId="1"/>
  </si>
  <si>
    <t>カメラあり</t>
    <phoneticPr fontId="1"/>
  </si>
  <si>
    <r>
      <rPr>
        <sz val="11"/>
        <rFont val="ＭＳ Ｐゴシック"/>
        <family val="2"/>
        <charset val="128"/>
      </rPr>
      <t xml:space="preserve">在庫書き換え
</t>
    </r>
    <r>
      <rPr>
        <sz val="11"/>
        <rFont val="ＭＳ Ｐゴシック"/>
        <family val="2"/>
        <charset val="128"/>
      </rPr>
      <t>-</t>
    </r>
    <r>
      <rPr>
        <sz val="11"/>
        <rFont val="ＭＳ Ｐゴシック"/>
        <family val="2"/>
        <charset val="128"/>
      </rPr>
      <t xml:space="preserve">：不要
〇：要
</t>
    </r>
    <r>
      <rPr>
        <sz val="11"/>
        <rFont val="Segoe UI Symbol"/>
        <family val="2"/>
      </rPr>
      <t>●</t>
    </r>
    <r>
      <rPr>
        <sz val="11"/>
        <rFont val="ＭＳ Ｐゴシック"/>
        <family val="2"/>
        <charset val="128"/>
      </rPr>
      <t>：済</t>
    </r>
    <rPh sb="0" eb="2">
      <t>ザイコ</t>
    </rPh>
    <rPh sb="2" eb="3">
      <t>カ</t>
    </rPh>
    <rPh sb="4" eb="5">
      <t>カ</t>
    </rPh>
    <rPh sb="9" eb="11">
      <t>フヨウ</t>
    </rPh>
    <rPh sb="14" eb="15">
      <t>ヨウ</t>
    </rPh>
    <rPh sb="18" eb="19">
      <t>スミ</t>
    </rPh>
    <phoneticPr fontId="1"/>
  </si>
  <si>
    <r>
      <t>E3F</t>
    </r>
    <r>
      <rPr>
        <sz val="11"/>
        <rFont val="游ゴシック"/>
        <family val="3"/>
        <charset val="128"/>
      </rPr>
      <t>(CBN)</t>
    </r>
    <phoneticPr fontId="1"/>
  </si>
  <si>
    <r>
      <rPr>
        <sz val="11"/>
        <rFont val="Calibri"/>
        <family val="3"/>
      </rPr>
      <t>V</t>
    </r>
    <r>
      <rPr>
        <sz val="11"/>
        <rFont val="ＭＳ Ｐゴシック"/>
        <family val="3"/>
        <charset val="128"/>
      </rPr>
      <t>1.19</t>
    </r>
    <phoneticPr fontId="1"/>
  </si>
  <si>
    <r>
      <t>V2.</t>
    </r>
    <r>
      <rPr>
        <sz val="11"/>
        <rFont val="Arial"/>
        <family val="3"/>
        <charset val="128"/>
      </rPr>
      <t>00</t>
    </r>
    <phoneticPr fontId="1"/>
  </si>
  <si>
    <r>
      <t>仕様変更：</t>
    </r>
    <r>
      <rPr>
        <sz val="11"/>
        <rFont val="Calibri"/>
        <family val="3"/>
      </rPr>
      <t>J10B</t>
    </r>
    <r>
      <rPr>
        <sz val="11"/>
        <rFont val="ＭＳ Ｐゴシック"/>
        <family val="3"/>
        <charset val="128"/>
      </rPr>
      <t>追加</t>
    </r>
    <rPh sb="0" eb="4">
      <t>シヨウヘンコウ</t>
    </rPh>
    <rPh sb="9" eb="11">
      <t>ツイカ</t>
    </rPh>
    <phoneticPr fontId="1"/>
  </si>
  <si>
    <r>
      <t>仕様変更：</t>
    </r>
    <r>
      <rPr>
        <sz val="11"/>
        <rFont val="Calibri"/>
        <family val="3"/>
      </rPr>
      <t>DAB</t>
    </r>
    <r>
      <rPr>
        <sz val="11"/>
        <rFont val="ＭＳ Ｐゴシック"/>
        <family val="3"/>
        <charset val="128"/>
      </rPr>
      <t>ラジオ番組名表示、ミュートボタン追加</t>
    </r>
    <rPh sb="0" eb="4">
      <t>シヨウヘンコウ</t>
    </rPh>
    <rPh sb="11" eb="14">
      <t>バングミメイ</t>
    </rPh>
    <rPh sb="14" eb="16">
      <t>ヒョウジ</t>
    </rPh>
    <rPh sb="24" eb="26">
      <t>ツイカ</t>
    </rPh>
    <phoneticPr fontId="1"/>
  </si>
  <si>
    <r>
      <t>仕様変更：</t>
    </r>
    <r>
      <rPr>
        <sz val="11"/>
        <rFont val="Calibri"/>
        <family val="3"/>
      </rPr>
      <t>J10B</t>
    </r>
    <r>
      <rPr>
        <sz val="11"/>
        <rFont val="MS UI Gothic"/>
        <family val="3"/>
        <charset val="128"/>
      </rPr>
      <t>クレーン仕様追加</t>
    </r>
    <rPh sb="0" eb="4">
      <t>シヨウヘンコウ</t>
    </rPh>
    <rPh sb="13" eb="15">
      <t>シヨウ</t>
    </rPh>
    <rPh sb="15" eb="17">
      <t>ツイカ</t>
    </rPh>
    <phoneticPr fontId="1"/>
  </si>
  <si>
    <r>
      <t>不具合：</t>
    </r>
    <r>
      <rPr>
        <sz val="11"/>
        <rFont val="Calibri"/>
        <family val="3"/>
      </rPr>
      <t>J10B</t>
    </r>
    <r>
      <rPr>
        <sz val="11"/>
        <rFont val="ＭＳ Ｐゴシック"/>
        <family val="3"/>
        <charset val="128"/>
      </rPr>
      <t>エンジン停止スイッチ警告誤発報</t>
    </r>
    <rPh sb="0" eb="3">
      <t>フグアイ</t>
    </rPh>
    <rPh sb="12" eb="14">
      <t>テイシ</t>
    </rPh>
    <rPh sb="18" eb="20">
      <t>ケイコク</t>
    </rPh>
    <rPh sb="20" eb="23">
      <t>ゴハッポウ</t>
    </rPh>
    <phoneticPr fontId="1"/>
  </si>
  <si>
    <r>
      <rPr>
        <sz val="11"/>
        <rFont val="ＭＳ Ｐゴシック"/>
        <family val="2"/>
        <charset val="128"/>
      </rPr>
      <t>不具合</t>
    </r>
    <r>
      <rPr>
        <sz val="11"/>
        <rFont val="ＭＳ Ｐゴシック"/>
        <family val="2"/>
        <charset val="128"/>
      </rPr>
      <t>:DAB</t>
    </r>
    <r>
      <rPr>
        <sz val="11"/>
        <rFont val="ＭＳ Ｐゴシック"/>
        <family val="2"/>
        <charset val="128"/>
      </rPr>
      <t>ラジオアンテナ電源が有効にならない</t>
    </r>
    <rPh sb="0" eb="3">
      <t>フグアイ</t>
    </rPh>
    <rPh sb="14" eb="16">
      <t>デンゲン</t>
    </rPh>
    <rPh sb="17" eb="19">
      <t>ユウコウ</t>
    </rPh>
    <phoneticPr fontId="1"/>
  </si>
  <si>
    <r>
      <rPr>
        <sz val="11"/>
        <rFont val="ＭＳ Ｐゴシック"/>
        <family val="2"/>
        <charset val="128"/>
      </rPr>
      <t>不具合</t>
    </r>
    <r>
      <rPr>
        <sz val="11"/>
        <rFont val="ＭＳ Ｐゴシック"/>
        <family val="2"/>
        <charset val="128"/>
      </rPr>
      <t>:</t>
    </r>
    <r>
      <rPr>
        <sz val="11"/>
        <rFont val="ＭＳ Ｐゴシック"/>
        <family val="2"/>
        <charset val="128"/>
      </rPr>
      <t>キー</t>
    </r>
    <r>
      <rPr>
        <sz val="11"/>
        <rFont val="ＭＳ Ｐゴシック"/>
        <family val="2"/>
        <charset val="128"/>
      </rPr>
      <t>ON</t>
    </r>
    <r>
      <rPr>
        <sz val="11"/>
        <rFont val="ＭＳ Ｐゴシック"/>
        <family val="2"/>
        <charset val="128"/>
      </rPr>
      <t>時ラジオが</t>
    </r>
    <r>
      <rPr>
        <sz val="11"/>
        <rFont val="ＭＳ Ｐゴシック"/>
        <family val="2"/>
        <charset val="128"/>
      </rPr>
      <t>AM</t>
    </r>
    <r>
      <rPr>
        <sz val="11"/>
        <rFont val="ＭＳ Ｐゴシック"/>
        <family val="2"/>
        <charset val="128"/>
      </rPr>
      <t>に切り替わる</t>
    </r>
    <rPh sb="0" eb="3">
      <t>フグアイ</t>
    </rPh>
    <rPh sb="8" eb="9">
      <t>ジ</t>
    </rPh>
    <rPh sb="16" eb="17">
      <t>キ</t>
    </rPh>
    <rPh sb="18" eb="19">
      <t>カ</t>
    </rPh>
    <phoneticPr fontId="1"/>
  </si>
  <si>
    <r>
      <t>03742</t>
    </r>
    <r>
      <rPr>
        <sz val="11"/>
        <rFont val="游ゴシック"/>
        <family val="3"/>
        <charset val="128"/>
      </rPr>
      <t>-</t>
    </r>
    <r>
      <rPr>
        <sz val="11"/>
        <rFont val="ＭＳ Ｐゴシック"/>
        <family val="3"/>
        <charset val="128"/>
      </rPr>
      <t>00414</t>
    </r>
    <phoneticPr fontId="1"/>
  </si>
  <si>
    <r>
      <rPr>
        <sz val="11"/>
        <rFont val="Calibri"/>
        <family val="3"/>
      </rPr>
      <t>V</t>
    </r>
    <r>
      <rPr>
        <sz val="11"/>
        <rFont val="ＭＳ Ｐゴシック"/>
        <family val="3"/>
        <charset val="128"/>
      </rPr>
      <t>1.10</t>
    </r>
    <phoneticPr fontId="1"/>
  </si>
  <si>
    <r>
      <rPr>
        <sz val="11"/>
        <rFont val="ＭＳ Ｐゴシック"/>
        <family val="2"/>
        <charset val="128"/>
      </rPr>
      <t>設変</t>
    </r>
    <r>
      <rPr>
        <sz val="11"/>
        <rFont val="ＭＳ Ｐゴシック"/>
        <family val="2"/>
        <charset val="128"/>
      </rPr>
      <t>No.42011</t>
    </r>
    <r>
      <rPr>
        <sz val="11"/>
        <rFont val="ＭＳ Ｐゴシック"/>
        <family val="2"/>
        <charset val="128"/>
      </rPr>
      <t>で設計変更されています</t>
    </r>
    <rPh sb="0" eb="2">
      <t>セッペン</t>
    </rPh>
    <rPh sb="11" eb="13">
      <t>セッケイ</t>
    </rPh>
    <rPh sb="13" eb="15">
      <t>ヘンコウ</t>
    </rPh>
    <phoneticPr fontId="1"/>
  </si>
  <si>
    <r>
      <t>50466</t>
    </r>
    <r>
      <rPr>
        <sz val="11"/>
        <rFont val="ＭＳ Ｐゴシック"/>
        <family val="2"/>
        <charset val="128"/>
      </rPr>
      <t>で設変されています</t>
    </r>
    <rPh sb="6" eb="8">
      <t>セッペン</t>
    </rPh>
    <phoneticPr fontId="1"/>
  </si>
  <si>
    <r>
      <t>V5.0</t>
    </r>
    <r>
      <rPr>
        <sz val="11"/>
        <rFont val="游ゴシック"/>
        <family val="3"/>
        <charset val="128"/>
      </rPr>
      <t>5</t>
    </r>
    <phoneticPr fontId="1"/>
  </si>
  <si>
    <r>
      <t>V6.1</t>
    </r>
    <r>
      <rPr>
        <sz val="11"/>
        <rFont val="游ゴシック"/>
        <family val="3"/>
        <charset val="128"/>
      </rPr>
      <t>4</t>
    </r>
    <phoneticPr fontId="1"/>
  </si>
  <si>
    <r>
      <t>V7.0</t>
    </r>
    <r>
      <rPr>
        <sz val="11"/>
        <rFont val="游ゴシック"/>
        <family val="3"/>
        <charset val="128"/>
      </rPr>
      <t>5</t>
    </r>
    <phoneticPr fontId="1"/>
  </si>
  <si>
    <r>
      <t>V8.2</t>
    </r>
    <r>
      <rPr>
        <sz val="11"/>
        <rFont val="游ゴシック"/>
        <family val="3"/>
        <charset val="128"/>
      </rPr>
      <t>4</t>
    </r>
    <phoneticPr fontId="1"/>
  </si>
  <si>
    <r>
      <t>V9.0</t>
    </r>
    <r>
      <rPr>
        <sz val="11"/>
        <rFont val="游ゴシック"/>
        <family val="3"/>
        <charset val="128"/>
      </rPr>
      <t>1</t>
    </r>
    <phoneticPr fontId="1"/>
  </si>
  <si>
    <r>
      <rPr>
        <sz val="11"/>
        <rFont val="ＭＳ Ｐゴシック"/>
        <family val="2"/>
        <charset val="128"/>
      </rPr>
      <t>仕様：</t>
    </r>
    <r>
      <rPr>
        <sz val="11"/>
        <rFont val="ＭＳ Ｐゴシック"/>
        <family val="2"/>
        <charset val="128"/>
      </rPr>
      <t>SOH</t>
    </r>
    <r>
      <rPr>
        <sz val="11"/>
        <rFont val="ＭＳ Ｐゴシック"/>
        <family val="2"/>
        <charset val="128"/>
      </rPr>
      <t>未更新エラー抑制、他</t>
    </r>
    <rPh sb="0" eb="2">
      <t>シヨウ</t>
    </rPh>
    <rPh sb="6" eb="9">
      <t>ミコウシン</t>
    </rPh>
    <rPh sb="12" eb="14">
      <t>ヨクセイ</t>
    </rPh>
    <rPh sb="15" eb="16">
      <t>ホカ</t>
    </rPh>
    <phoneticPr fontId="1"/>
  </si>
  <si>
    <r>
      <rPr>
        <sz val="11"/>
        <rFont val="ＭＳ Ｐゴシック"/>
        <family val="2"/>
        <charset val="128"/>
      </rPr>
      <t>不具合：エラーコード</t>
    </r>
    <r>
      <rPr>
        <sz val="11"/>
        <rFont val="ＭＳ Ｐゴシック"/>
        <family val="2"/>
        <charset val="128"/>
      </rPr>
      <t>602</t>
    </r>
    <r>
      <rPr>
        <sz val="11"/>
        <rFont val="ＭＳ Ｐゴシック"/>
        <family val="2"/>
        <charset val="128"/>
      </rPr>
      <t>誤発報</t>
    </r>
    <rPh sb="0" eb="3">
      <t>フグアイ</t>
    </rPh>
    <rPh sb="13" eb="16">
      <t>ゴハッポウ</t>
    </rPh>
    <phoneticPr fontId="1"/>
  </si>
  <si>
    <r>
      <rPr>
        <sz val="11"/>
        <rFont val="ＭＳ Ｐゴシック"/>
        <family val="2"/>
        <charset val="128"/>
      </rPr>
      <t>不具合：エラーコード</t>
    </r>
    <r>
      <rPr>
        <sz val="11"/>
        <rFont val="ＭＳ Ｐゴシック"/>
        <family val="2"/>
        <charset val="128"/>
      </rPr>
      <t>602</t>
    </r>
    <r>
      <rPr>
        <sz val="11"/>
        <rFont val="ＭＳ Ｐゴシック"/>
        <family val="2"/>
        <charset val="128"/>
      </rPr>
      <t>誤発報</t>
    </r>
    <phoneticPr fontId="1"/>
  </si>
  <si>
    <r>
      <t>V1.02</t>
    </r>
    <r>
      <rPr>
        <sz val="11"/>
        <rFont val="ＭＳ Ｐゴシック"/>
        <family val="2"/>
        <charset val="128"/>
      </rPr>
      <t>、</t>
    </r>
    <r>
      <rPr>
        <sz val="11"/>
        <rFont val="ＭＳ Ｐゴシック"/>
        <family val="2"/>
        <charset val="128"/>
      </rPr>
      <t>V1.01</t>
    </r>
    <phoneticPr fontId="1"/>
  </si>
  <si>
    <r>
      <t>V1.04F</t>
    </r>
    <r>
      <rPr>
        <sz val="11"/>
        <rFont val="ＭＳ Ｐゴシック"/>
        <family val="2"/>
        <charset val="128"/>
      </rPr>
      <t>、</t>
    </r>
    <r>
      <rPr>
        <sz val="11"/>
        <rFont val="ＭＳ Ｐゴシック"/>
        <family val="2"/>
        <charset val="128"/>
      </rPr>
      <t>V1.02F</t>
    </r>
    <phoneticPr fontId="1"/>
  </si>
  <si>
    <r>
      <t>V1.05F</t>
    </r>
    <r>
      <rPr>
        <sz val="11"/>
        <rFont val="ＭＳ Ｐゴシック"/>
        <family val="2"/>
        <charset val="128"/>
      </rPr>
      <t>、</t>
    </r>
    <r>
      <rPr>
        <sz val="11"/>
        <rFont val="ＭＳ Ｐゴシック"/>
        <family val="2"/>
        <charset val="128"/>
      </rPr>
      <t>V1.03F</t>
    </r>
    <phoneticPr fontId="1"/>
  </si>
  <si>
    <r>
      <t>V1.07F</t>
    </r>
    <r>
      <rPr>
        <sz val="11"/>
        <rFont val="ＭＳ Ｐゴシック"/>
        <family val="2"/>
        <charset val="128"/>
      </rPr>
      <t>、</t>
    </r>
    <r>
      <rPr>
        <sz val="11"/>
        <rFont val="ＭＳ Ｐゴシック"/>
        <family val="2"/>
        <charset val="128"/>
      </rPr>
      <t>V1.04F</t>
    </r>
    <phoneticPr fontId="1"/>
  </si>
  <si>
    <r>
      <rPr>
        <sz val="11"/>
        <rFont val="ＭＳ Ｐゴシック"/>
        <family val="2"/>
        <charset val="128"/>
      </rPr>
      <t>仕様：</t>
    </r>
    <r>
      <rPr>
        <sz val="11"/>
        <rFont val="ＭＳ Ｐゴシック"/>
        <family val="2"/>
        <charset val="128"/>
      </rPr>
      <t>DAB</t>
    </r>
    <r>
      <rPr>
        <sz val="11"/>
        <rFont val="ＭＳ Ｐゴシック"/>
        <family val="2"/>
        <charset val="128"/>
      </rPr>
      <t>アンテナ電源初期値変更</t>
    </r>
    <r>
      <rPr>
        <sz val="11"/>
        <rFont val="ＭＳ Ｐゴシック"/>
        <family val="2"/>
        <charset val="128"/>
      </rPr>
      <t>OFF</t>
    </r>
    <r>
      <rPr>
        <sz val="11"/>
        <rFont val="ＭＳ Ｐゴシック"/>
        <family val="2"/>
        <charset val="128"/>
      </rPr>
      <t>→</t>
    </r>
    <r>
      <rPr>
        <sz val="11"/>
        <rFont val="ＭＳ Ｐゴシック"/>
        <family val="2"/>
        <charset val="128"/>
      </rPr>
      <t>ON</t>
    </r>
    <rPh sb="0" eb="2">
      <t>シヨウ</t>
    </rPh>
    <rPh sb="10" eb="12">
      <t>デンゲン</t>
    </rPh>
    <rPh sb="12" eb="15">
      <t>ショキチ</t>
    </rPh>
    <rPh sb="15" eb="17">
      <t>ヘンコウ</t>
    </rPh>
    <phoneticPr fontId="1"/>
  </si>
  <si>
    <r>
      <t>Pri:V1.37</t>
    </r>
    <r>
      <rPr>
        <sz val="11"/>
        <rFont val="ＭＳ Ｐゴシック"/>
        <family val="2"/>
        <charset val="128"/>
      </rPr>
      <t>、</t>
    </r>
    <r>
      <rPr>
        <sz val="11"/>
        <rFont val="ＭＳ Ｐゴシック"/>
        <family val="2"/>
        <charset val="128"/>
      </rPr>
      <t>Sec:V1.29</t>
    </r>
    <phoneticPr fontId="1"/>
  </si>
  <si>
    <r>
      <rPr>
        <sz val="11"/>
        <rFont val="ＭＳ Ｐゴシック"/>
        <family val="2"/>
        <charset val="128"/>
      </rPr>
      <t>新規：量産</t>
    </r>
    <r>
      <rPr>
        <sz val="11"/>
        <rFont val="ＭＳ Ｐゴシック"/>
        <family val="2"/>
        <charset val="128"/>
      </rPr>
      <t>P</t>
    </r>
    <r>
      <rPr>
        <sz val="11"/>
        <rFont val="ＭＳ Ｐゴシック"/>
        <family val="2"/>
        <charset val="128"/>
      </rPr>
      <t>暫定</t>
    </r>
    <rPh sb="0" eb="2">
      <t>シンキ</t>
    </rPh>
    <rPh sb="3" eb="5">
      <t>リョウサン</t>
    </rPh>
    <rPh sb="6" eb="8">
      <t>ザンテイ</t>
    </rPh>
    <phoneticPr fontId="1"/>
  </si>
  <si>
    <r>
      <rPr>
        <sz val="11"/>
        <rFont val="ＭＳ Ｐゴシック"/>
        <family val="2"/>
        <charset val="128"/>
      </rPr>
      <t>量産：</t>
    </r>
    <r>
      <rPr>
        <sz val="11"/>
        <rFont val="ＭＳ Ｐゴシック"/>
        <family val="2"/>
        <charset val="128"/>
      </rPr>
      <t>E3F</t>
    </r>
    <rPh sb="0" eb="2">
      <t>リョウサン</t>
    </rPh>
    <phoneticPr fontId="1"/>
  </si>
  <si>
    <r>
      <rPr>
        <sz val="11"/>
        <rFont val="ＭＳ Ｐゴシック"/>
        <family val="2"/>
        <charset val="128"/>
      </rPr>
      <t>仕様：レバーパターン</t>
    </r>
    <r>
      <rPr>
        <sz val="11"/>
        <rFont val="ＭＳ Ｐゴシック"/>
        <family val="2"/>
        <charset val="128"/>
      </rPr>
      <t>A/B</t>
    </r>
    <r>
      <rPr>
        <sz val="11"/>
        <rFont val="ＭＳ Ｐゴシック"/>
        <family val="2"/>
        <charset val="128"/>
      </rPr>
      <t>対応、日本語対応</t>
    </r>
    <rPh sb="0" eb="2">
      <t>シヨウ</t>
    </rPh>
    <rPh sb="13" eb="15">
      <t>タイオウ</t>
    </rPh>
    <rPh sb="16" eb="19">
      <t>ニホンゴ</t>
    </rPh>
    <rPh sb="19" eb="21">
      <t>タイオウ</t>
    </rPh>
    <phoneticPr fontId="1"/>
  </si>
  <si>
    <r>
      <rPr>
        <sz val="11"/>
        <rFont val="ＭＳ Ｐゴシック"/>
        <family val="2"/>
        <charset val="128"/>
      </rPr>
      <t>不具合：日付設定</t>
    </r>
    <r>
      <rPr>
        <sz val="11"/>
        <rFont val="ＭＳ Ｐゴシック"/>
        <family val="2"/>
        <charset val="128"/>
      </rPr>
      <t>(</t>
    </r>
    <r>
      <rPr>
        <sz val="11"/>
        <rFont val="ＭＳ Ｐゴシック"/>
        <family val="2"/>
        <charset val="128"/>
      </rPr>
      <t>バッテリパック対応</t>
    </r>
    <r>
      <rPr>
        <sz val="11"/>
        <rFont val="ＭＳ Ｐゴシック"/>
        <family val="2"/>
        <charset val="128"/>
      </rPr>
      <t>)</t>
    </r>
    <rPh sb="0" eb="3">
      <t>フグアイ</t>
    </rPh>
    <rPh sb="4" eb="6">
      <t>ヒヅケ</t>
    </rPh>
    <rPh sb="6" eb="8">
      <t>セッテイ</t>
    </rPh>
    <rPh sb="16" eb="18">
      <t>タイオウ</t>
    </rPh>
    <phoneticPr fontId="1"/>
  </si>
  <si>
    <r>
      <rPr>
        <sz val="11"/>
        <rFont val="ＭＳ Ｐゴシック"/>
        <family val="2"/>
        <charset val="128"/>
      </rPr>
      <t>仕様：反射防止のため</t>
    </r>
    <r>
      <rPr>
        <sz val="11"/>
        <rFont val="ＭＳ Ｐゴシック"/>
        <family val="2"/>
        <charset val="128"/>
      </rPr>
      <t>LCD</t>
    </r>
    <r>
      <rPr>
        <sz val="11"/>
        <rFont val="ＭＳ Ｐゴシック"/>
        <family val="2"/>
        <charset val="128"/>
      </rPr>
      <t>パネル変更</t>
    </r>
    <rPh sb="0" eb="2">
      <t>シヨウ</t>
    </rPh>
    <rPh sb="3" eb="5">
      <t>ハンシャ</t>
    </rPh>
    <rPh sb="5" eb="7">
      <t>ボウシ</t>
    </rPh>
    <rPh sb="16" eb="18">
      <t>ヘンコウ</t>
    </rPh>
    <phoneticPr fontId="1"/>
  </si>
  <si>
    <r>
      <rPr>
        <sz val="11"/>
        <rFont val="ＭＳ Ｐゴシック"/>
        <family val="2"/>
        <charset val="128"/>
      </rPr>
      <t>不具合：ラジオアンテナ電源が</t>
    </r>
    <r>
      <rPr>
        <sz val="11"/>
        <rFont val="ＭＳ Ｐゴシック"/>
        <family val="2"/>
        <charset val="128"/>
      </rPr>
      <t>ON</t>
    </r>
    <r>
      <rPr>
        <sz val="11"/>
        <rFont val="ＭＳ Ｐゴシック"/>
        <family val="2"/>
        <charset val="128"/>
      </rPr>
      <t>にならない
仕様：自動圧抜き</t>
    </r>
    <r>
      <rPr>
        <sz val="11"/>
        <rFont val="ＭＳ Ｐゴシック"/>
        <family val="2"/>
        <charset val="128"/>
      </rPr>
      <t>ON/OFF</t>
    </r>
    <r>
      <rPr>
        <sz val="11"/>
        <rFont val="ＭＳ Ｐゴシック"/>
        <family val="2"/>
        <charset val="128"/>
      </rPr>
      <t>切替追加</t>
    </r>
    <rPh sb="0" eb="3">
      <t>フグアイ</t>
    </rPh>
    <rPh sb="11" eb="13">
      <t>デンゲン</t>
    </rPh>
    <rPh sb="22" eb="24">
      <t>シヨウ</t>
    </rPh>
    <rPh sb="25" eb="27">
      <t>ジドウ</t>
    </rPh>
    <rPh sb="27" eb="29">
      <t>アツヌ</t>
    </rPh>
    <rPh sb="36" eb="38">
      <t>キリカエ</t>
    </rPh>
    <rPh sb="38" eb="40">
      <t>ツイカ</t>
    </rPh>
    <phoneticPr fontId="1"/>
  </si>
  <si>
    <r>
      <rPr>
        <sz val="11"/>
        <rFont val="ＭＳ Ｐゴシック"/>
        <family val="2"/>
        <charset val="128"/>
      </rPr>
      <t>仕様：</t>
    </r>
    <r>
      <rPr>
        <sz val="11"/>
        <rFont val="ＭＳ Ｐゴシック"/>
        <family val="2"/>
        <charset val="128"/>
      </rPr>
      <t>EN474-5</t>
    </r>
    <r>
      <rPr>
        <sz val="11"/>
        <rFont val="ＭＳ Ｐゴシック"/>
        <family val="2"/>
        <charset val="128"/>
      </rPr>
      <t>対応、カメラ画面の制御変更</t>
    </r>
    <rPh sb="0" eb="2">
      <t>シヨウ</t>
    </rPh>
    <rPh sb="10" eb="12">
      <t>タイオウ</t>
    </rPh>
    <rPh sb="16" eb="18">
      <t>ガメン</t>
    </rPh>
    <rPh sb="19" eb="21">
      <t>セイギョ</t>
    </rPh>
    <rPh sb="21" eb="23">
      <t>ヘンコウ</t>
    </rPh>
    <phoneticPr fontId="1"/>
  </si>
  <si>
    <r>
      <rPr>
        <sz val="11"/>
        <rFont val="ＭＳ Ｐゴシック"/>
        <family val="2"/>
        <charset val="128"/>
      </rPr>
      <t>仕様：</t>
    </r>
    <r>
      <rPr>
        <sz val="11"/>
        <rFont val="ＭＳ Ｐゴシック"/>
        <family val="2"/>
        <charset val="128"/>
      </rPr>
      <t>A25H</t>
    </r>
    <r>
      <rPr>
        <sz val="11"/>
        <rFont val="ＭＳ Ｐゴシック"/>
        <family val="2"/>
        <charset val="128"/>
      </rPr>
      <t>追加</t>
    </r>
    <r>
      <rPr>
        <sz val="11"/>
        <rFont val="ＭＳ Ｐゴシック"/>
        <family val="2"/>
        <charset val="128"/>
      </rPr>
      <t>(</t>
    </r>
    <r>
      <rPr>
        <sz val="11"/>
        <rFont val="ＭＳ Ｐゴシック"/>
        <family val="2"/>
        <charset val="128"/>
      </rPr>
      <t>スイングペダルエラー追加</t>
    </r>
    <r>
      <rPr>
        <sz val="11"/>
        <rFont val="ＭＳ Ｐゴシック"/>
        <family val="2"/>
        <charset val="128"/>
      </rPr>
      <t xml:space="preserve">)
</t>
    </r>
    <r>
      <rPr>
        <sz val="11"/>
        <rFont val="ＭＳ Ｐゴシック"/>
        <family val="2"/>
        <charset val="128"/>
      </rPr>
      <t>仕様：アクセスマネジメント情報更新</t>
    </r>
    <r>
      <rPr>
        <sz val="11"/>
        <rFont val="ＭＳ Ｐゴシック"/>
        <family val="2"/>
        <charset val="128"/>
      </rPr>
      <t>CAN[UA6]</t>
    </r>
    <r>
      <rPr>
        <sz val="11"/>
        <rFont val="ＭＳ Ｐゴシック"/>
        <family val="2"/>
        <charset val="128"/>
      </rPr>
      <t>追加</t>
    </r>
    <rPh sb="0" eb="2">
      <t>シヨウ</t>
    </rPh>
    <rPh sb="7" eb="9">
      <t>ツイカ</t>
    </rPh>
    <rPh sb="20" eb="22">
      <t>ツイカ</t>
    </rPh>
    <rPh sb="24" eb="26">
      <t>シヨウ</t>
    </rPh>
    <rPh sb="37" eb="39">
      <t>ジョウホウ</t>
    </rPh>
    <rPh sb="39" eb="41">
      <t>コウシン</t>
    </rPh>
    <rPh sb="49" eb="51">
      <t>ツイカ</t>
    </rPh>
    <phoneticPr fontId="1"/>
  </si>
  <si>
    <r>
      <rPr>
        <sz val="11"/>
        <rFont val="ＭＳ Ｐゴシック"/>
        <family val="2"/>
        <charset val="128"/>
      </rPr>
      <t>不具合：</t>
    </r>
    <r>
      <rPr>
        <sz val="11"/>
        <rFont val="ＭＳ Ｐゴシック"/>
        <family val="2"/>
        <charset val="128"/>
      </rPr>
      <t>6553hr</t>
    </r>
    <r>
      <rPr>
        <sz val="11"/>
        <rFont val="ＭＳ Ｐゴシック"/>
        <family val="2"/>
        <charset val="128"/>
      </rPr>
      <t>以上のアワメータを設定できない</t>
    </r>
    <rPh sb="0" eb="3">
      <t>フグアイ</t>
    </rPh>
    <rPh sb="10" eb="12">
      <t>イジョウ</t>
    </rPh>
    <rPh sb="19" eb="21">
      <t>セッテイ</t>
    </rPh>
    <phoneticPr fontId="1"/>
  </si>
  <si>
    <r>
      <t>V1.</t>
    </r>
    <r>
      <rPr>
        <sz val="11"/>
        <rFont val="ＭＳ Ｐゴシック"/>
        <family val="2"/>
        <charset val="128"/>
      </rPr>
      <t>０</t>
    </r>
    <r>
      <rPr>
        <sz val="11"/>
        <rFont val="ＭＳ Ｐゴシック"/>
        <family val="2"/>
        <charset val="128"/>
      </rPr>
      <t>5L</t>
    </r>
    <phoneticPr fontId="1"/>
  </si>
  <si>
    <r>
      <rPr>
        <sz val="11"/>
        <rFont val="ＭＳ Ｐゴシック"/>
        <family val="2"/>
        <charset val="128"/>
      </rPr>
      <t>仕様：機種判別、</t>
    </r>
    <r>
      <rPr>
        <sz val="11"/>
        <rFont val="ＭＳ Ｐゴシック"/>
        <family val="2"/>
        <charset val="128"/>
      </rPr>
      <t>AUX1</t>
    </r>
    <r>
      <rPr>
        <sz val="11"/>
        <rFont val="ＭＳ Ｐゴシック"/>
        <family val="2"/>
        <charset val="128"/>
      </rPr>
      <t>リリーフ圧変更、オートエンジンストップ追加</t>
    </r>
    <rPh sb="0" eb="2">
      <t>シヨウ</t>
    </rPh>
    <rPh sb="3" eb="5">
      <t>キシュ</t>
    </rPh>
    <rPh sb="5" eb="7">
      <t>ハンベツ</t>
    </rPh>
    <rPh sb="16" eb="17">
      <t>アツ</t>
    </rPh>
    <rPh sb="17" eb="19">
      <t>ヘンコウ</t>
    </rPh>
    <rPh sb="31" eb="33">
      <t>ツイカ</t>
    </rPh>
    <phoneticPr fontId="1"/>
  </si>
  <si>
    <r>
      <rPr>
        <sz val="11"/>
        <rFont val="ＭＳ Ｐゴシック"/>
        <family val="2"/>
        <charset val="128"/>
      </rPr>
      <t>仕様：</t>
    </r>
    <r>
      <rPr>
        <sz val="11"/>
        <rFont val="ＭＳ Ｐゴシック"/>
        <family val="2"/>
        <charset val="128"/>
      </rPr>
      <t>AUX1</t>
    </r>
    <r>
      <rPr>
        <sz val="11"/>
        <rFont val="ＭＳ Ｐゴシック"/>
        <family val="2"/>
        <charset val="128"/>
      </rPr>
      <t>リリーフ圧変更</t>
    </r>
    <rPh sb="0" eb="2">
      <t>シヨウ</t>
    </rPh>
    <rPh sb="11" eb="12">
      <t>アツ</t>
    </rPh>
    <rPh sb="12" eb="14">
      <t>ヘンコウ</t>
    </rPh>
    <phoneticPr fontId="1"/>
  </si>
  <si>
    <r>
      <rPr>
        <sz val="11"/>
        <rFont val="ＭＳ Ｐゴシック"/>
        <family val="2"/>
        <charset val="128"/>
      </rPr>
      <t>仕様：</t>
    </r>
    <r>
      <rPr>
        <sz val="11"/>
        <rFont val="ＭＳ Ｐゴシック"/>
        <family val="2"/>
        <charset val="128"/>
      </rPr>
      <t>A25H/G</t>
    </r>
    <r>
      <rPr>
        <sz val="11"/>
        <rFont val="ＭＳ Ｐゴシック"/>
        <family val="2"/>
        <charset val="128"/>
      </rPr>
      <t>ファンドライブ制御変更</t>
    </r>
    <rPh sb="0" eb="2">
      <t>シヨウ</t>
    </rPh>
    <rPh sb="16" eb="18">
      <t>セイギョ</t>
    </rPh>
    <rPh sb="18" eb="20">
      <t>ヘンコウ</t>
    </rPh>
    <phoneticPr fontId="1"/>
  </si>
  <si>
    <r>
      <rPr>
        <sz val="11"/>
        <rFont val="ＭＳ Ｐゴシック"/>
        <family val="2"/>
        <charset val="128"/>
      </rPr>
      <t>仕様：</t>
    </r>
    <r>
      <rPr>
        <sz val="11"/>
        <rFont val="ＭＳ Ｐゴシック"/>
        <family val="2"/>
        <charset val="128"/>
      </rPr>
      <t>270</t>
    </r>
    <r>
      <rPr>
        <sz val="11"/>
        <rFont val="ＭＳ Ｐゴシック"/>
        <family val="2"/>
        <charset val="128"/>
      </rPr>
      <t>度カメラ対応、オートグリス対応</t>
    </r>
    <rPh sb="0" eb="2">
      <t>シヨウ</t>
    </rPh>
    <rPh sb="6" eb="7">
      <t>ド</t>
    </rPh>
    <rPh sb="10" eb="12">
      <t>タイオウ</t>
    </rPh>
    <rPh sb="19" eb="21">
      <t>タイオウ</t>
    </rPh>
    <phoneticPr fontId="1"/>
  </si>
  <si>
    <t>B007078</t>
    <phoneticPr fontId="1"/>
  </si>
  <si>
    <t>54648</t>
    <phoneticPr fontId="1"/>
  </si>
  <si>
    <t>55139</t>
    <phoneticPr fontId="1"/>
  </si>
  <si>
    <t>54721</t>
    <phoneticPr fontId="1"/>
  </si>
  <si>
    <t>55521</t>
    <phoneticPr fontId="1"/>
  </si>
  <si>
    <t>60217</t>
    <phoneticPr fontId="1"/>
  </si>
  <si>
    <t>62539</t>
    <phoneticPr fontId="1"/>
  </si>
  <si>
    <t xml:space="preserve">	62938</t>
    <phoneticPr fontId="1"/>
  </si>
  <si>
    <t>仕様：クレーン仕様追加</t>
    <rPh sb="0" eb="2">
      <t>シヨウ</t>
    </rPh>
    <rPh sb="7" eb="9">
      <t>シヨウ</t>
    </rPh>
    <rPh sb="9" eb="11">
      <t>ツイカ</t>
    </rPh>
    <phoneticPr fontId="1"/>
  </si>
  <si>
    <t>不具合：過去エラー表示</t>
    <rPh sb="0" eb="3">
      <t>フグアイ</t>
    </rPh>
    <rPh sb="4" eb="6">
      <t>カコ</t>
    </rPh>
    <rPh sb="9" eb="11">
      <t>ヒョウジ</t>
    </rPh>
    <phoneticPr fontId="1"/>
  </si>
  <si>
    <t>仕様：DAB画面番組名表示</t>
    <rPh sb="0" eb="2">
      <t>シヨウ</t>
    </rPh>
    <rPh sb="6" eb="8">
      <t>ガメン</t>
    </rPh>
    <rPh sb="8" eb="11">
      <t>バングミメイ</t>
    </rPh>
    <rPh sb="11" eb="13">
      <t>ヒョウジ</t>
    </rPh>
    <phoneticPr fontId="1"/>
  </si>
  <si>
    <t>仕様：DAB画面番組一覧表示
不具合：PM体積量、灰体積量の表示</t>
    <rPh sb="0" eb="2">
      <t>シヨウ</t>
    </rPh>
    <rPh sb="6" eb="8">
      <t>ガメン</t>
    </rPh>
    <rPh sb="8" eb="10">
      <t>バングミ</t>
    </rPh>
    <rPh sb="10" eb="12">
      <t>イチラン</t>
    </rPh>
    <rPh sb="12" eb="14">
      <t>ヒョウジ</t>
    </rPh>
    <rPh sb="15" eb="18">
      <t>フグアイ</t>
    </rPh>
    <rPh sb="21" eb="24">
      <t>タイセキリョウ</t>
    </rPh>
    <rPh sb="25" eb="26">
      <t>ハイ</t>
    </rPh>
    <rPh sb="26" eb="29">
      <t>タイセキリョウ</t>
    </rPh>
    <rPh sb="30" eb="32">
      <t>ヒョウジ</t>
    </rPh>
    <phoneticPr fontId="1"/>
  </si>
  <si>
    <t>仕様：J7B減馬力制御変更に伴い裏画面入出力画面にピン情報追加</t>
    <rPh sb="0" eb="2">
      <t>シヨウ</t>
    </rPh>
    <rPh sb="6" eb="9">
      <t>ゲンバリキ</t>
    </rPh>
    <rPh sb="9" eb="11">
      <t>セイギョ</t>
    </rPh>
    <rPh sb="11" eb="13">
      <t>ヘンコウ</t>
    </rPh>
    <rPh sb="14" eb="15">
      <t>トモナ</t>
    </rPh>
    <rPh sb="16" eb="19">
      <t>ウラガメン</t>
    </rPh>
    <rPh sb="19" eb="22">
      <t>ニュウシュツリョク</t>
    </rPh>
    <rPh sb="22" eb="24">
      <t>ガメン</t>
    </rPh>
    <rPh sb="27" eb="29">
      <t>ジョウホウ</t>
    </rPh>
    <rPh sb="29" eb="31">
      <t>ツイカ</t>
    </rPh>
    <phoneticPr fontId="1"/>
  </si>
  <si>
    <t>不具合：エラーコード表示漏れ</t>
    <rPh sb="0" eb="3">
      <t>フグアイ</t>
    </rPh>
    <rPh sb="10" eb="12">
      <t>ヒョウジ</t>
    </rPh>
    <rPh sb="12" eb="13">
      <t>モ</t>
    </rPh>
    <phoneticPr fontId="1"/>
  </si>
  <si>
    <t>61035</t>
    <phoneticPr fontId="1"/>
  </si>
  <si>
    <t>61445</t>
    <phoneticPr fontId="1"/>
  </si>
  <si>
    <t>62938</t>
    <phoneticPr fontId="1"/>
  </si>
  <si>
    <t>新規：EN474対応バックカメラ仕様追加</t>
    <rPh sb="0" eb="2">
      <t>シンキ</t>
    </rPh>
    <rPh sb="8" eb="10">
      <t>タイオウ</t>
    </rPh>
    <rPh sb="16" eb="18">
      <t>シヨウ</t>
    </rPh>
    <rPh sb="18" eb="20">
      <t>ツイカ</t>
    </rPh>
    <phoneticPr fontId="1"/>
  </si>
  <si>
    <t>不具合：アイコンの視認性向上</t>
    <rPh sb="0" eb="3">
      <t>フグアイ</t>
    </rPh>
    <rPh sb="9" eb="12">
      <t>シニンセイ</t>
    </rPh>
    <rPh sb="12" eb="14">
      <t>コウジョウ</t>
    </rPh>
    <phoneticPr fontId="1"/>
  </si>
  <si>
    <t>V130</t>
    <phoneticPr fontId="1"/>
  </si>
  <si>
    <t>DM700 BASIC WITH TOUCH</t>
    <phoneticPr fontId="1"/>
  </si>
  <si>
    <t>-</t>
    <phoneticPr fontId="1"/>
  </si>
  <si>
    <t>V111</t>
    <phoneticPr fontId="1"/>
  </si>
  <si>
    <t>不具合：FRAM破損、HWDファイルアップデート(v311)</t>
    <rPh sb="0" eb="3">
      <t>フグアイ</t>
    </rPh>
    <rPh sb="8" eb="10">
      <t>ハソン</t>
    </rPh>
    <phoneticPr fontId="1"/>
  </si>
  <si>
    <t>V121</t>
    <phoneticPr fontId="1"/>
  </si>
  <si>
    <t>V131</t>
    <phoneticPr fontId="1"/>
  </si>
  <si>
    <t>J10B</t>
  </si>
  <si>
    <t>J7B</t>
  </si>
  <si>
    <t>17301-43830</t>
    <phoneticPr fontId="1"/>
  </si>
  <si>
    <t>XO-430TJ</t>
    <phoneticPr fontId="1"/>
  </si>
  <si>
    <t>17301-43695</t>
    <phoneticPr fontId="1"/>
  </si>
  <si>
    <t>XO-570T</t>
    <phoneticPr fontId="1"/>
  </si>
  <si>
    <t>62602</t>
    <phoneticPr fontId="1"/>
  </si>
  <si>
    <t>63187</t>
    <phoneticPr fontId="1"/>
  </si>
  <si>
    <t>C9-5/C10-5</t>
    <phoneticPr fontId="1"/>
  </si>
  <si>
    <t>C10-5</t>
    <phoneticPr fontId="1"/>
  </si>
  <si>
    <t>C9-5</t>
    <phoneticPr fontId="1"/>
  </si>
  <si>
    <t>17301-43667</t>
  </si>
  <si>
    <t>B008955</t>
    <phoneticPr fontId="1"/>
  </si>
  <si>
    <t>56003</t>
    <phoneticPr fontId="1"/>
  </si>
  <si>
    <t>56041</t>
    <phoneticPr fontId="1"/>
  </si>
  <si>
    <t>新規：</t>
    <rPh sb="0" eb="2">
      <t>シンキ</t>
    </rPh>
    <phoneticPr fontId="1"/>
  </si>
  <si>
    <t>仕様：ラベルにQRコード追加</t>
    <rPh sb="0" eb="2">
      <t>シヨウ</t>
    </rPh>
    <rPh sb="12" eb="14">
      <t>ツイカ</t>
    </rPh>
    <phoneticPr fontId="1"/>
  </si>
  <si>
    <t>56084</t>
    <phoneticPr fontId="1"/>
  </si>
  <si>
    <t>56317</t>
    <phoneticPr fontId="1"/>
  </si>
  <si>
    <t>61008</t>
    <phoneticPr fontId="1"/>
  </si>
  <si>
    <t>60762</t>
    <phoneticPr fontId="1"/>
  </si>
  <si>
    <t>61125</t>
    <phoneticPr fontId="1"/>
  </si>
  <si>
    <t>L5E</t>
    <phoneticPr fontId="1"/>
  </si>
  <si>
    <t>L5E2</t>
    <phoneticPr fontId="1"/>
  </si>
  <si>
    <t>L6F</t>
    <phoneticPr fontId="1"/>
  </si>
  <si>
    <t>L9ER</t>
    <phoneticPr fontId="1"/>
  </si>
  <si>
    <t xml:space="preserve">	L9EV</t>
    <phoneticPr fontId="1"/>
  </si>
  <si>
    <t xml:space="preserve">	L8EV2</t>
    <phoneticPr fontId="1"/>
  </si>
  <si>
    <t>L8EV</t>
    <phoneticPr fontId="1"/>
  </si>
  <si>
    <t>L9EV2</t>
    <phoneticPr fontId="1"/>
  </si>
  <si>
    <t>L9ER2</t>
    <phoneticPr fontId="1"/>
  </si>
  <si>
    <t xml:space="preserve">	L5E2</t>
    <phoneticPr fontId="1"/>
  </si>
  <si>
    <t xml:space="preserve">	L6F</t>
    <phoneticPr fontId="1"/>
  </si>
  <si>
    <t xml:space="preserve">	L9ER</t>
    <phoneticPr fontId="1"/>
  </si>
  <si>
    <t>L8EV2</t>
    <phoneticPr fontId="1"/>
  </si>
  <si>
    <t xml:space="preserve">	L8EV</t>
    <phoneticPr fontId="1"/>
  </si>
  <si>
    <t>V1.01</t>
    <phoneticPr fontId="1"/>
  </si>
  <si>
    <t>V1.00</t>
    <phoneticPr fontId="1"/>
  </si>
  <si>
    <t>不具合：バグ修正</t>
    <rPh sb="0" eb="3">
      <t>フグアイ</t>
    </rPh>
    <rPh sb="6" eb="8">
      <t>シュウセイ</t>
    </rPh>
    <phoneticPr fontId="1"/>
  </si>
  <si>
    <t>V1.02</t>
    <phoneticPr fontId="1"/>
  </si>
  <si>
    <t>V1.04</t>
    <phoneticPr fontId="1"/>
  </si>
  <si>
    <t>仕様：機能の初期値を変更
不具合：一定時間で画面が消える不具合を修正</t>
    <rPh sb="0" eb="2">
      <t>シヨウ</t>
    </rPh>
    <rPh sb="3" eb="5">
      <t>キノウ</t>
    </rPh>
    <rPh sb="6" eb="9">
      <t>ショキチ</t>
    </rPh>
    <rPh sb="10" eb="12">
      <t>ヘンコウ</t>
    </rPh>
    <rPh sb="13" eb="16">
      <t>フグアイ</t>
    </rPh>
    <rPh sb="17" eb="21">
      <t>イッテイジカン</t>
    </rPh>
    <rPh sb="22" eb="24">
      <t>ガメン</t>
    </rPh>
    <rPh sb="25" eb="26">
      <t>キ</t>
    </rPh>
    <rPh sb="28" eb="31">
      <t>フグアイ</t>
    </rPh>
    <rPh sb="32" eb="34">
      <t>シュウセイ</t>
    </rPh>
    <phoneticPr fontId="1"/>
  </si>
  <si>
    <t>V1.07</t>
    <phoneticPr fontId="1"/>
  </si>
  <si>
    <t>不具合：クリープモード時ATTアイコンが選択できない
不具合：昼夜モードが切り替わらない
不具合：裏画面Input情報の表示桁数
不具合：エンジンエラーコード表示</t>
    <rPh sb="0" eb="3">
      <t>フグアイ</t>
    </rPh>
    <rPh sb="11" eb="12">
      <t>ジ</t>
    </rPh>
    <rPh sb="20" eb="22">
      <t>センタク</t>
    </rPh>
    <rPh sb="27" eb="30">
      <t>フグアイ</t>
    </rPh>
    <rPh sb="31" eb="33">
      <t>ヒルヨル</t>
    </rPh>
    <rPh sb="37" eb="38">
      <t>キ</t>
    </rPh>
    <rPh sb="39" eb="40">
      <t>カ</t>
    </rPh>
    <rPh sb="45" eb="48">
      <t>フグアイ</t>
    </rPh>
    <rPh sb="49" eb="52">
      <t>ウラガメン</t>
    </rPh>
    <rPh sb="57" eb="59">
      <t>ジョウホウ</t>
    </rPh>
    <rPh sb="60" eb="62">
      <t>ヒョウジ</t>
    </rPh>
    <rPh sb="62" eb="64">
      <t>ケタスウ</t>
    </rPh>
    <rPh sb="65" eb="68">
      <t>フグアイ</t>
    </rPh>
    <rPh sb="79" eb="81">
      <t>ヒョウジ</t>
    </rPh>
    <phoneticPr fontId="1"/>
  </si>
  <si>
    <t>不具合：防水対策</t>
    <rPh sb="0" eb="3">
      <t>フグアイ</t>
    </rPh>
    <rPh sb="4" eb="6">
      <t>ボウスイ</t>
    </rPh>
    <rPh sb="6" eb="8">
      <t>タイサク</t>
    </rPh>
    <phoneticPr fontId="1"/>
  </si>
  <si>
    <t>不具合：ディスプレイCAN通信異常の誤発報</t>
    <rPh sb="0" eb="3">
      <t>フグアイ</t>
    </rPh>
    <rPh sb="13" eb="15">
      <t>ツウシン</t>
    </rPh>
    <rPh sb="15" eb="17">
      <t>イジョウ</t>
    </rPh>
    <rPh sb="18" eb="21">
      <t>ゴハッポウ</t>
    </rPh>
    <phoneticPr fontId="1"/>
  </si>
  <si>
    <t>不具合：液晶剥がれ対策（プライマ処理追加）</t>
    <rPh sb="0" eb="3">
      <t>フグアイ</t>
    </rPh>
    <rPh sb="4" eb="7">
      <t>エキショウハ</t>
    </rPh>
    <rPh sb="9" eb="11">
      <t>タイサク</t>
    </rPh>
    <rPh sb="16" eb="18">
      <t>ショリ</t>
    </rPh>
    <rPh sb="18" eb="20">
      <t>ツイカ</t>
    </rPh>
    <phoneticPr fontId="1"/>
  </si>
  <si>
    <t>V1.08</t>
    <phoneticPr fontId="1"/>
  </si>
  <si>
    <t>17301-43671</t>
  </si>
  <si>
    <t>XO-570TM</t>
    <phoneticPr fontId="1"/>
  </si>
  <si>
    <t>17301-43671</t>
    <phoneticPr fontId="1"/>
  </si>
  <si>
    <t>63034</t>
    <phoneticPr fontId="1"/>
  </si>
  <si>
    <t>V1.10</t>
    <phoneticPr fontId="1"/>
  </si>
  <si>
    <t>不具合：防水対策
不具合：カメラ画像が表示されない</t>
    <rPh sb="0" eb="3">
      <t>フグアイ</t>
    </rPh>
    <rPh sb="4" eb="8">
      <t>ボウスイタイサク</t>
    </rPh>
    <rPh sb="9" eb="12">
      <t>フグアイ</t>
    </rPh>
    <rPh sb="16" eb="18">
      <t>ガゾウ</t>
    </rPh>
    <rPh sb="19" eb="21">
      <t>ヒョウジ</t>
    </rPh>
    <phoneticPr fontId="1"/>
  </si>
  <si>
    <t>KOSO</t>
    <phoneticPr fontId="1"/>
  </si>
  <si>
    <t>竹内</t>
    <rPh sb="0" eb="2">
      <t>タケウチ</t>
    </rPh>
    <phoneticPr fontId="1"/>
  </si>
  <si>
    <t>17301-43870</t>
  </si>
  <si>
    <t>L85G</t>
  </si>
  <si>
    <t>A25F/G、A27A/B</t>
    <phoneticPr fontId="1"/>
  </si>
  <si>
    <t>A13A</t>
    <phoneticPr fontId="1"/>
  </si>
  <si>
    <t>17301-43850</t>
  </si>
  <si>
    <t>17301-43850</t>
    <phoneticPr fontId="1"/>
  </si>
  <si>
    <t>17301-43852</t>
  </si>
  <si>
    <t>17301-43852</t>
    <phoneticPr fontId="1"/>
  </si>
  <si>
    <t>8inch</t>
    <phoneticPr fontId="1"/>
  </si>
  <si>
    <t>P1xx</t>
    <phoneticPr fontId="1"/>
  </si>
  <si>
    <t>新規</t>
    <rPh sb="0" eb="2">
      <t>シンキ</t>
    </rPh>
    <phoneticPr fontId="1"/>
  </si>
  <si>
    <t>55446</t>
    <phoneticPr fontId="1"/>
  </si>
  <si>
    <t>60086</t>
    <phoneticPr fontId="1"/>
  </si>
  <si>
    <t>60031</t>
    <phoneticPr fontId="1"/>
  </si>
  <si>
    <t>61757</t>
    <phoneticPr fontId="1"/>
  </si>
  <si>
    <t>A14HW/GW、A25F/G、A27A/B</t>
    <phoneticPr fontId="1"/>
  </si>
  <si>
    <t>54713</t>
    <phoneticPr fontId="1"/>
  </si>
  <si>
    <t>新規：製造元変更</t>
    <rPh sb="0" eb="2">
      <t>シンキ</t>
    </rPh>
    <rPh sb="3" eb="5">
      <t>セイゾウ</t>
    </rPh>
    <rPh sb="5" eb="6">
      <t>モト</t>
    </rPh>
    <rPh sb="6" eb="8">
      <t>ヘンコウ</t>
    </rPh>
    <phoneticPr fontId="1"/>
  </si>
  <si>
    <t>P103</t>
    <phoneticPr fontId="1"/>
  </si>
  <si>
    <t>P102</t>
    <phoneticPr fontId="1"/>
  </si>
  <si>
    <t>不具合：起動時の機種判別の不具合、エンジンモデルが表示されない</t>
    <rPh sb="0" eb="3">
      <t>フグアイ</t>
    </rPh>
    <rPh sb="4" eb="7">
      <t>キドウジ</t>
    </rPh>
    <rPh sb="8" eb="10">
      <t>キシュ</t>
    </rPh>
    <rPh sb="10" eb="12">
      <t>ハンベツ</t>
    </rPh>
    <rPh sb="13" eb="16">
      <t>フグアイ</t>
    </rPh>
    <rPh sb="25" eb="27">
      <t>ヒョウジ</t>
    </rPh>
    <phoneticPr fontId="1"/>
  </si>
  <si>
    <t>仕様：反射防止</t>
    <rPh sb="0" eb="2">
      <t>シヨウ</t>
    </rPh>
    <rPh sb="3" eb="5">
      <t>ハンシャ</t>
    </rPh>
    <rPh sb="5" eb="7">
      <t>ボウシ</t>
    </rPh>
    <phoneticPr fontId="1"/>
  </si>
  <si>
    <t>P106</t>
    <phoneticPr fontId="1"/>
  </si>
  <si>
    <t>不具合：サービス圧抜け対策、他バグ修正</t>
    <rPh sb="0" eb="3">
      <t>フグアイ</t>
    </rPh>
    <rPh sb="8" eb="9">
      <t>アツ</t>
    </rPh>
    <rPh sb="9" eb="10">
      <t>ヌ</t>
    </rPh>
    <rPh sb="11" eb="13">
      <t>タイサク</t>
    </rPh>
    <rPh sb="14" eb="15">
      <t>ホカ</t>
    </rPh>
    <rPh sb="17" eb="19">
      <t>シュウセイ</t>
    </rPh>
    <phoneticPr fontId="1"/>
  </si>
  <si>
    <t>P111</t>
    <phoneticPr fontId="1"/>
  </si>
  <si>
    <t>不具合：サイドカメラ仕様でフリーズする（補用向け）</t>
    <rPh sb="0" eb="3">
      <t>フグアイ</t>
    </rPh>
    <rPh sb="10" eb="12">
      <t>シヨウ</t>
    </rPh>
    <rPh sb="20" eb="22">
      <t>ホヨウ</t>
    </rPh>
    <rPh sb="22" eb="23">
      <t>ム</t>
    </rPh>
    <phoneticPr fontId="1"/>
  </si>
  <si>
    <t>61205</t>
    <phoneticPr fontId="1"/>
  </si>
  <si>
    <t xml:space="preserve">	61591</t>
    <phoneticPr fontId="1"/>
  </si>
  <si>
    <t>新規：EN474対応</t>
    <rPh sb="0" eb="2">
      <t>シンキ</t>
    </rPh>
    <rPh sb="8" eb="10">
      <t>タイオウ</t>
    </rPh>
    <phoneticPr fontId="1"/>
  </si>
  <si>
    <t>A14IW</t>
  </si>
  <si>
    <t>新規：EN474対応（採番のみ）</t>
    <rPh sb="0" eb="2">
      <t>シンキ</t>
    </rPh>
    <rPh sb="8" eb="10">
      <t>タイオウ</t>
    </rPh>
    <rPh sb="11" eb="13">
      <t>サイバン</t>
    </rPh>
    <phoneticPr fontId="1"/>
  </si>
  <si>
    <t>新規：EN474対応
不具合：カメラ画面フリーズ対策
不具合：電話番号表示不具合</t>
    <rPh sb="0" eb="2">
      <t>シンキ</t>
    </rPh>
    <rPh sb="8" eb="10">
      <t>タイオウ</t>
    </rPh>
    <rPh sb="11" eb="14">
      <t>フグアイ</t>
    </rPh>
    <rPh sb="18" eb="20">
      <t>ガメン</t>
    </rPh>
    <rPh sb="24" eb="26">
      <t>タイサク</t>
    </rPh>
    <rPh sb="27" eb="30">
      <t>フグアイ</t>
    </rPh>
    <rPh sb="31" eb="35">
      <t>デンワバンゴウ</t>
    </rPh>
    <rPh sb="35" eb="37">
      <t>ヒョウジ</t>
    </rPh>
    <rPh sb="37" eb="40">
      <t>フグアイ</t>
    </rPh>
    <phoneticPr fontId="1"/>
  </si>
  <si>
    <t>17301-43880</t>
  </si>
  <si>
    <t>17301-43880</t>
    <phoneticPr fontId="1"/>
  </si>
  <si>
    <t>17301-43860</t>
  </si>
  <si>
    <t>17301-43860</t>
    <phoneticPr fontId="1"/>
  </si>
  <si>
    <t>17301-43861</t>
  </si>
  <si>
    <t>17301-43861</t>
    <phoneticPr fontId="1"/>
  </si>
  <si>
    <t>L85G</t>
    <phoneticPr fontId="1"/>
  </si>
  <si>
    <t>B008576</t>
    <phoneticPr fontId="1"/>
  </si>
  <si>
    <t>61086</t>
    <phoneticPr fontId="1"/>
  </si>
  <si>
    <t>61807</t>
    <phoneticPr fontId="1"/>
  </si>
  <si>
    <t>63719</t>
    <phoneticPr fontId="1"/>
  </si>
  <si>
    <t>新規：量産出図</t>
    <rPh sb="0" eb="2">
      <t>シンキ</t>
    </rPh>
    <rPh sb="3" eb="5">
      <t>リョウサン</t>
    </rPh>
    <rPh sb="5" eb="7">
      <t>シュツズ</t>
    </rPh>
    <phoneticPr fontId="1"/>
  </si>
  <si>
    <t>P114</t>
    <phoneticPr fontId="1"/>
  </si>
  <si>
    <t>不具合：クリープゲージが表示されない</t>
    <rPh sb="0" eb="3">
      <t>フグアイ</t>
    </rPh>
    <rPh sb="12" eb="14">
      <t>ヒョウジ</t>
    </rPh>
    <phoneticPr fontId="1"/>
  </si>
  <si>
    <t>P119</t>
    <phoneticPr fontId="1"/>
  </si>
  <si>
    <t>仕様：アクセスマネジメント（データ更新時にCAN信号を送信）対応</t>
    <rPh sb="0" eb="2">
      <t>シヨウ</t>
    </rPh>
    <rPh sb="17" eb="19">
      <t>コウシン</t>
    </rPh>
    <rPh sb="19" eb="20">
      <t>ジ</t>
    </rPh>
    <rPh sb="24" eb="26">
      <t>シンゴウ</t>
    </rPh>
    <rPh sb="27" eb="29">
      <t>ソウシン</t>
    </rPh>
    <rPh sb="30" eb="32">
      <t>タイオウ</t>
    </rPh>
    <phoneticPr fontId="1"/>
  </si>
  <si>
    <t xml:space="preserve">	B008623</t>
    <phoneticPr fontId="1"/>
  </si>
  <si>
    <t xml:space="preserve">	55857</t>
    <phoneticPr fontId="1"/>
  </si>
  <si>
    <t xml:space="preserve">	56474</t>
    <phoneticPr fontId="1"/>
  </si>
  <si>
    <t xml:space="preserve">	61698</t>
    <phoneticPr fontId="1"/>
  </si>
  <si>
    <t>P104</t>
    <phoneticPr fontId="1"/>
  </si>
  <si>
    <t>新規：部品手配</t>
    <rPh sb="0" eb="2">
      <t>シンキ</t>
    </rPh>
    <rPh sb="3" eb="5">
      <t>ブヒン</t>
    </rPh>
    <rPh sb="5" eb="7">
      <t>テハイ</t>
    </rPh>
    <phoneticPr fontId="1"/>
  </si>
  <si>
    <t>新規：製造元変更
仕様：DABラジオに番組表を表示
注）コントローラとの組み合わせにより互換性あり</t>
    <rPh sb="0" eb="2">
      <t>シンキ</t>
    </rPh>
    <rPh sb="3" eb="6">
      <t>セイゾウモト</t>
    </rPh>
    <rPh sb="6" eb="8">
      <t>ヘンコウ</t>
    </rPh>
    <rPh sb="9" eb="11">
      <t>シヨウ</t>
    </rPh>
    <rPh sb="19" eb="22">
      <t>バングミヒョウ</t>
    </rPh>
    <rPh sb="23" eb="25">
      <t>ヒョウジ</t>
    </rPh>
    <rPh sb="26" eb="27">
      <t>チュウ</t>
    </rPh>
    <rPh sb="36" eb="37">
      <t>ク</t>
    </rPh>
    <rPh sb="38" eb="39">
      <t>ア</t>
    </rPh>
    <rPh sb="44" eb="47">
      <t>ゴカンセイ</t>
    </rPh>
    <phoneticPr fontId="1"/>
  </si>
  <si>
    <t>不具合：電話番号表示不具合</t>
    <rPh sb="0" eb="3">
      <t>フグアイ</t>
    </rPh>
    <rPh sb="4" eb="8">
      <t>デンワバンゴウ</t>
    </rPh>
    <rPh sb="8" eb="10">
      <t>ヒョウジ</t>
    </rPh>
    <rPh sb="10" eb="13">
      <t>フグアイ</t>
    </rPh>
    <phoneticPr fontId="1"/>
  </si>
  <si>
    <t>61591</t>
    <phoneticPr fontId="1"/>
  </si>
  <si>
    <t>P206</t>
    <phoneticPr fontId="1"/>
  </si>
  <si>
    <t>A14IW、A13AW</t>
    <phoneticPr fontId="1"/>
  </si>
  <si>
    <t>54969</t>
    <phoneticPr fontId="1"/>
  </si>
  <si>
    <t>61727</t>
    <phoneticPr fontId="1"/>
  </si>
  <si>
    <t>62317</t>
    <phoneticPr fontId="1"/>
  </si>
  <si>
    <t>J7B</t>
    <phoneticPr fontId="1"/>
  </si>
  <si>
    <t>新規：キャノピクレーン仕様として</t>
    <rPh sb="0" eb="2">
      <t>シンキ</t>
    </rPh>
    <rPh sb="11" eb="13">
      <t>シヨウ</t>
    </rPh>
    <phoneticPr fontId="1"/>
  </si>
  <si>
    <t>V1.17、MCU2.13</t>
    <phoneticPr fontId="1"/>
  </si>
  <si>
    <t>不具合：エラーコード602（CAN通信異常）誤発報</t>
    <rPh sb="0" eb="3">
      <t>フグアイ</t>
    </rPh>
    <rPh sb="17" eb="19">
      <t>ツウシン</t>
    </rPh>
    <rPh sb="19" eb="21">
      <t>イジョウ</t>
    </rPh>
    <rPh sb="22" eb="25">
      <t>ゴハッポウ</t>
    </rPh>
    <phoneticPr fontId="1"/>
  </si>
  <si>
    <t>不具合：防水対策（暫定）</t>
    <rPh sb="0" eb="3">
      <t>フグアイ</t>
    </rPh>
    <rPh sb="4" eb="8">
      <t>ボウスイタイサク</t>
    </rPh>
    <rPh sb="9" eb="11">
      <t>ザンテイ</t>
    </rPh>
    <phoneticPr fontId="1"/>
  </si>
  <si>
    <t>不具合：防水対策（暫定）</t>
    <rPh sb="0" eb="3">
      <t>フグアイ</t>
    </rPh>
    <rPh sb="4" eb="8">
      <t>ボウスイタイサク</t>
    </rPh>
    <rPh sb="9" eb="11">
      <t>ザンテイ</t>
    </rPh>
    <phoneticPr fontId="1"/>
  </si>
  <si>
    <t>DM700N-TN-2NB-2D-A-2-TK</t>
    <phoneticPr fontId="1"/>
  </si>
  <si>
    <t>XL104-0000</t>
    <phoneticPr fontId="1"/>
  </si>
  <si>
    <t>05642-01054</t>
    <phoneticPr fontId="1"/>
  </si>
  <si>
    <t xml:space="preserve">	63173</t>
    <phoneticPr fontId="1"/>
  </si>
  <si>
    <t>63514</t>
    <phoneticPr fontId="1"/>
  </si>
  <si>
    <t>新規：EN474対応、緊急ステアリングSOL追加（採番のみ）</t>
    <rPh sb="0" eb="2">
      <t>シンキ</t>
    </rPh>
    <rPh sb="8" eb="10">
      <t>タイオウ</t>
    </rPh>
    <rPh sb="11" eb="13">
      <t>キンキュウ</t>
    </rPh>
    <rPh sb="22" eb="24">
      <t>ツイカ</t>
    </rPh>
    <rPh sb="25" eb="27">
      <t>サイバン</t>
    </rPh>
    <phoneticPr fontId="1"/>
  </si>
  <si>
    <t>新規：EN474対応、緊急ステアリングSOL追加（ソフトゥエア設定）</t>
    <rPh sb="0" eb="2">
      <t>シンキ</t>
    </rPh>
    <rPh sb="8" eb="10">
      <t>タイオウ</t>
    </rPh>
    <rPh sb="11" eb="13">
      <t>キンキュウ</t>
    </rPh>
    <rPh sb="22" eb="24">
      <t>ツイカ</t>
    </rPh>
    <rPh sb="31" eb="33">
      <t>セッテイ</t>
    </rPh>
    <phoneticPr fontId="1"/>
  </si>
  <si>
    <t>A14IW</t>
    <phoneticPr fontId="1"/>
  </si>
  <si>
    <t>05642-01061</t>
  </si>
  <si>
    <t>05642-01061</t>
    <phoneticPr fontId="1"/>
  </si>
  <si>
    <t>05542-00189</t>
  </si>
  <si>
    <t>05542-00189</t>
    <phoneticPr fontId="1"/>
  </si>
  <si>
    <t>63312</t>
    <phoneticPr fontId="1"/>
  </si>
  <si>
    <t>A13AW</t>
    <phoneticPr fontId="1"/>
  </si>
  <si>
    <t>05542-00198</t>
  </si>
  <si>
    <t>03342-00503</t>
  </si>
  <si>
    <t>03342-00503</t>
    <phoneticPr fontId="1"/>
  </si>
  <si>
    <t xml:space="preserve">	55360</t>
    <phoneticPr fontId="1"/>
  </si>
  <si>
    <t>61467</t>
    <phoneticPr fontId="1"/>
  </si>
  <si>
    <t>仕様：バッテリパック変更による</t>
    <rPh sb="0" eb="2">
      <t>シヨウ</t>
    </rPh>
    <rPh sb="10" eb="12">
      <t>ヘンコウ</t>
    </rPh>
    <phoneticPr fontId="1"/>
  </si>
  <si>
    <t>E3F</t>
    <phoneticPr fontId="1"/>
  </si>
  <si>
    <t>V4.00</t>
    <phoneticPr fontId="1"/>
  </si>
  <si>
    <t>仕様：</t>
    <rPh sb="0" eb="2">
      <t>シヨウ</t>
    </rPh>
    <phoneticPr fontId="1"/>
  </si>
  <si>
    <t>グリップ左</t>
    <rPh sb="4" eb="5">
      <t>ヒダリ</t>
    </rPh>
    <phoneticPr fontId="1"/>
  </si>
  <si>
    <t>Engcon</t>
    <phoneticPr fontId="1"/>
  </si>
  <si>
    <t>A14IW</t>
    <phoneticPr fontId="1"/>
  </si>
  <si>
    <t>16502-06460</t>
  </si>
  <si>
    <t>16502-06460</t>
    <phoneticPr fontId="1"/>
  </si>
  <si>
    <t>16502-06470</t>
  </si>
  <si>
    <t>16502-06470</t>
    <phoneticPr fontId="1"/>
  </si>
  <si>
    <t>新規：A14IWで新規採用</t>
    <rPh sb="0" eb="2">
      <t>シンキ</t>
    </rPh>
    <rPh sb="9" eb="11">
      <t>シンキ</t>
    </rPh>
    <rPh sb="11" eb="13">
      <t>サイヨウ</t>
    </rPh>
    <phoneticPr fontId="1"/>
  </si>
  <si>
    <t>62290</t>
    <phoneticPr fontId="1"/>
  </si>
  <si>
    <t>B007886</t>
    <phoneticPr fontId="1"/>
  </si>
  <si>
    <t>55653</t>
    <phoneticPr fontId="1"/>
  </si>
  <si>
    <t>仕様：ケーブル素材変更</t>
    <rPh sb="0" eb="2">
      <t>シヨウ</t>
    </rPh>
    <rPh sb="7" eb="9">
      <t>ソザイ</t>
    </rPh>
    <rPh sb="9" eb="11">
      <t>ヘンコウ</t>
    </rPh>
    <phoneticPr fontId="1"/>
  </si>
  <si>
    <t>仕様：内部基盤変更</t>
    <rPh sb="0" eb="2">
      <t>シヨウ</t>
    </rPh>
    <rPh sb="3" eb="7">
      <t>ナイブキバン</t>
    </rPh>
    <rPh sb="7" eb="9">
      <t>ヘンコウ</t>
    </rPh>
    <phoneticPr fontId="1"/>
  </si>
  <si>
    <t>-</t>
    <phoneticPr fontId="1"/>
  </si>
  <si>
    <t>A14IW</t>
    <phoneticPr fontId="1"/>
  </si>
  <si>
    <t>グリップ右</t>
    <rPh sb="4" eb="5">
      <t>ミギ</t>
    </rPh>
    <phoneticPr fontId="1"/>
  </si>
  <si>
    <t>63315</t>
    <phoneticPr fontId="1"/>
  </si>
  <si>
    <t>63345</t>
    <phoneticPr fontId="1"/>
  </si>
  <si>
    <t>001</t>
    <phoneticPr fontId="1"/>
  </si>
  <si>
    <t>002</t>
    <phoneticPr fontId="1"/>
  </si>
  <si>
    <t>003</t>
    <phoneticPr fontId="1"/>
  </si>
  <si>
    <t>004</t>
    <phoneticPr fontId="1"/>
  </si>
  <si>
    <t>005</t>
    <phoneticPr fontId="1"/>
  </si>
  <si>
    <t>006</t>
    <phoneticPr fontId="1"/>
  </si>
  <si>
    <t>A</t>
  </si>
  <si>
    <t>A</t>
    <phoneticPr fontId="1"/>
  </si>
  <si>
    <t>B</t>
    <phoneticPr fontId="1"/>
  </si>
  <si>
    <t>C</t>
  </si>
  <si>
    <t>C</t>
    <phoneticPr fontId="1"/>
  </si>
  <si>
    <t>D</t>
    <phoneticPr fontId="1"/>
  </si>
  <si>
    <t>A列</t>
    <rPh sb="1" eb="2">
      <t>レツ</t>
    </rPh>
    <phoneticPr fontId="1"/>
  </si>
  <si>
    <t>B列</t>
    <rPh sb="1" eb="2">
      <t>レツ</t>
    </rPh>
    <phoneticPr fontId="1"/>
  </si>
  <si>
    <t>帳票番号</t>
  </si>
  <si>
    <t>帳票番号</t>
    <rPh sb="0" eb="2">
      <t>チョウヒョウ</t>
    </rPh>
    <rPh sb="2" eb="4">
      <t>バンゴウ</t>
    </rPh>
    <phoneticPr fontId="1"/>
  </si>
  <si>
    <t>商品</t>
    <rPh sb="0" eb="2">
      <t>ショウヒン</t>
    </rPh>
    <phoneticPr fontId="1"/>
  </si>
  <si>
    <t>数量</t>
    <rPh sb="0" eb="2">
      <t>スウリョウ</t>
    </rPh>
    <phoneticPr fontId="1"/>
  </si>
  <si>
    <t>商品結合</t>
  </si>
  <si>
    <t>A,B,C,D</t>
  </si>
  <si>
    <t>A,B,C</t>
  </si>
  <si>
    <t>B,C</t>
  </si>
  <si>
    <t>名称</t>
    <rPh sb="0" eb="2">
      <t>メイショウ</t>
    </rPh>
    <phoneticPr fontId="1"/>
  </si>
  <si>
    <t>グリップ</t>
    <phoneticPr fontId="1"/>
  </si>
  <si>
    <t>メイン</t>
    <phoneticPr fontId="1"/>
  </si>
  <si>
    <t>サブ</t>
    <phoneticPr fontId="1"/>
  </si>
  <si>
    <t>SC050</t>
    <phoneticPr fontId="1"/>
  </si>
  <si>
    <t>下部隊</t>
    <rPh sb="0" eb="3">
      <t>カブタイ</t>
    </rPh>
    <phoneticPr fontId="1"/>
  </si>
  <si>
    <t>キー</t>
    <phoneticPr fontId="1"/>
  </si>
  <si>
    <t>機種</t>
    <rPh sb="0" eb="2">
      <t>キシュ</t>
    </rPh>
    <phoneticPr fontId="1"/>
  </si>
  <si>
    <t>区分</t>
    <rPh sb="0" eb="2">
      <t>クブン</t>
    </rPh>
    <phoneticPr fontId="1"/>
  </si>
  <si>
    <t>分類</t>
    <rPh sb="0" eb="2">
      <t>ブンルイ</t>
    </rPh>
    <phoneticPr fontId="1"/>
  </si>
  <si>
    <t>名称一覧</t>
    <rPh sb="0" eb="2">
      <t>メイショウ</t>
    </rPh>
    <rPh sb="2" eb="4">
      <t>イチラン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</si>
</sst>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24" formatCode="\$#,##0_);[Red]\(\$#,##0\)"/>
    <numFmt numFmtId="176" formatCode="0.00_ "/>
    <numFmt numFmtId="177" formatCode="0_ "/>
    <numFmt numFmtId="178" formatCode="0_);[Red]\(0\)"/>
  </numFmts>
  <fonts count="44">
    <font>
      <sz val="11"/>
      <name val="ＭＳ Ｐゴシック"/>
      <family val="3"/>
      <charset val="128"/>
    </font>
    <font>
      <sz val="6"/>
      <name val="ＭＳ Ｐゴシック"/>
      <family val="3"/>
      <charset val="128"/>
    </font>
    <font>
      <sz val="14"/>
      <name val="ＭＳ Ｐゴシック"/>
      <family val="3"/>
      <charset val="128"/>
    </font>
    <font>
      <sz val="14"/>
      <name val="Arial"/>
      <family val="2"/>
    </font>
    <font>
      <b/>
      <sz val="9"/>
      <color indexed="81"/>
      <name val="ＭＳ Ｐゴシック"/>
      <family val="3"/>
      <charset val="128"/>
    </font>
    <font>
      <sz val="9"/>
      <color indexed="81"/>
      <name val="ＭＳ Ｐゴシック"/>
      <family val="3"/>
      <charset val="128"/>
    </font>
    <font>
      <strike/>
      <sz val="14"/>
      <name val="ＭＳ Ｐゴシック"/>
      <family val="3"/>
      <charset val="128"/>
    </font>
    <font>
      <sz val="14"/>
      <name val="Arial Unicode MS"/>
      <family val="3"/>
      <charset val="128"/>
    </font>
    <font>
      <strike/>
      <sz val="14"/>
      <name val="Arial Unicode MS"/>
      <family val="3"/>
      <charset val="128"/>
    </font>
    <font>
      <sz val="14"/>
      <name val="ＭＳ Ｐゴシック"/>
      <family val="2"/>
      <charset val="128"/>
    </font>
    <font>
      <sz val="14"/>
      <name val="Arial"/>
      <family val="3"/>
      <charset val="128"/>
    </font>
    <font>
      <sz val="14"/>
      <color rgb="FFFF0000"/>
      <name val="Arial Unicode MS"/>
      <family val="3"/>
      <charset val="128"/>
    </font>
    <font>
      <sz val="14"/>
      <color rgb="FFFF0000"/>
      <name val="Arial"/>
      <family val="2"/>
    </font>
    <font>
      <sz val="14"/>
      <name val="游ゴシック"/>
      <family val="3"/>
      <charset val="128"/>
    </font>
    <font>
      <b/>
      <sz val="14"/>
      <name val="Arial Unicode MS"/>
      <family val="3"/>
      <charset val="128"/>
    </font>
    <font>
      <sz val="13"/>
      <name val="Arial Unicode MS"/>
      <family val="3"/>
      <charset val="128"/>
    </font>
    <font>
      <sz val="12"/>
      <name val="Arial Unicode MS"/>
      <family val="3"/>
      <charset val="128"/>
    </font>
    <font>
      <sz val="11"/>
      <name val="ＭＳ Ｐゴシック"/>
      <family val="3"/>
      <charset val="128"/>
      <scheme val="minor"/>
    </font>
    <font>
      <sz val="9"/>
      <color rgb="FF333333"/>
      <name val="ＭＳ Ｐゴシック"/>
      <family val="3"/>
      <charset val="128"/>
      <scheme val="minor"/>
    </font>
    <font>
      <sz val="11"/>
      <color rgb="FF333333"/>
      <name val="ＭＳ Ｐゴシック"/>
      <family val="3"/>
      <charset val="128"/>
      <scheme val="minor"/>
    </font>
    <font>
      <sz val="14"/>
      <color rgb="FFFF0000"/>
      <name val="游ゴシック"/>
      <family val="3"/>
      <charset val="128"/>
    </font>
    <font>
      <sz val="14"/>
      <name val="Arial Unicode MS"/>
      <charset val="128"/>
    </font>
    <font>
      <sz val="14"/>
      <name val="Arial Unicode MS"/>
      <family val="2"/>
      <charset val="128"/>
    </font>
    <font>
      <sz val="14"/>
      <color theme="1"/>
      <name val="Arial"/>
      <family val="2"/>
    </font>
    <font>
      <sz val="14"/>
      <color theme="1"/>
      <name val="ＭＳ Ｐゴシック"/>
      <family val="3"/>
      <charset val="128"/>
    </font>
    <font>
      <sz val="9"/>
      <color rgb="FF333333"/>
      <name val="Meiryo UI"/>
      <family val="3"/>
      <charset val="128"/>
    </font>
    <font>
      <strike/>
      <sz val="11"/>
      <name val="ＭＳ Ｐゴシック"/>
      <family val="3"/>
      <charset val="128"/>
    </font>
    <font>
      <sz val="14"/>
      <color rgb="FFFF0000"/>
      <name val="ＭＳ Ｐゴシック"/>
      <family val="2"/>
      <charset val="128"/>
    </font>
    <font>
      <sz val="14"/>
      <color rgb="FFFF0000"/>
      <name val="ＭＳ Ｐゴシック"/>
      <family val="3"/>
      <charset val="128"/>
    </font>
    <font>
      <sz val="14"/>
      <color rgb="FFFF0000"/>
      <name val="Arial"/>
      <family val="3"/>
      <charset val="128"/>
    </font>
    <font>
      <sz val="14"/>
      <color rgb="FFFF0000"/>
      <name val="Calibri"/>
      <family val="3"/>
    </font>
    <font>
      <sz val="14"/>
      <color rgb="FFFF0000"/>
      <name val="MS UI Gothic"/>
      <family val="3"/>
      <charset val="128"/>
    </font>
    <font>
      <sz val="6"/>
      <name val="ＭＳ Ｐゴシック"/>
      <family val="3"/>
      <charset val="128"/>
      <scheme val="minor"/>
    </font>
    <font>
      <sz val="11"/>
      <color theme="0" tint="-0.249977111117893"/>
      <name val="ＭＳ Ｐゴシック"/>
      <family val="3"/>
      <charset val="128"/>
      <scheme val="minor"/>
    </font>
    <font>
      <sz val="11"/>
      <name val="ＭＳ Ｐゴシック"/>
      <family val="2"/>
      <charset val="128"/>
    </font>
    <font>
      <sz val="11"/>
      <name val="Segoe UI Symbol"/>
      <family val="2"/>
    </font>
    <font>
      <sz val="11"/>
      <name val="游ゴシック"/>
      <family val="3"/>
      <charset val="128"/>
    </font>
    <font>
      <sz val="11"/>
      <name val="Calibri"/>
      <family val="3"/>
    </font>
    <font>
      <sz val="11"/>
      <name val="Arial"/>
      <family val="3"/>
      <charset val="128"/>
    </font>
    <font>
      <sz val="11"/>
      <name val="MS UI Gothic"/>
      <family val="3"/>
      <charset val="128"/>
    </font>
    <font>
      <sz val="11"/>
      <color theme="2" tint="-0.24994659260841701"/>
      <name val="ＭＳ Ｐゴシック"/>
      <family val="3"/>
      <charset val="128"/>
    </font>
    <font>
      <sz val="11"/>
      <color theme="2" tint="-0.249977111117893"/>
      <name val="ＭＳ Ｐゴシック"/>
      <family val="3"/>
      <charset val="128"/>
    </font>
    <font>
      <b/>
      <sz val="11"/>
      <color theme="0"/>
      <name val="ＭＳ Ｐゴシック"/>
      <family val="3"/>
      <charset val="128"/>
    </font>
    <font>
      <sz val="11"/>
      <color theme="1"/>
      <name val="ＭＳ Ｐゴシック"/>
      <family val="3"/>
      <charset val="128"/>
    </font>
  </fonts>
  <fills count="13">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theme="1" tint="0.499984740745262"/>
        <bgColor indexed="64"/>
      </patternFill>
    </fill>
    <fill>
      <patternFill patternType="solid">
        <fgColor rgb="FFFF0000"/>
        <bgColor indexed="64"/>
      </patternFill>
    </fill>
    <fill>
      <patternFill patternType="solid">
        <fgColor theme="5" tint="0.59999389629810485"/>
        <bgColor indexed="64"/>
      </patternFill>
    </fill>
    <fill>
      <patternFill patternType="solid">
        <fgColor theme="4"/>
        <bgColor theme="4"/>
      </patternFill>
    </fill>
    <fill>
      <patternFill patternType="solid">
        <fgColor theme="4" tint="0.79998168889431442"/>
        <bgColor theme="4" tint="0.79998168889431442"/>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F4F4F4"/>
      </right>
      <top/>
      <bottom style="medium">
        <color rgb="FFF4F4F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alignment vertical="center"/>
    </xf>
  </cellStyleXfs>
  <cellXfs count="267">
    <xf numFmtId="0" fontId="0" fillId="0" borderId="0" xfId="0">
      <alignment vertical="center"/>
    </xf>
    <xf numFmtId="0" fontId="2" fillId="0" borderId="0" xfId="0" applyFont="1" applyAlignment="1">
      <alignment vertical="center" shrinkToFit="1"/>
    </xf>
    <xf numFmtId="0" fontId="2" fillId="0" borderId="1" xfId="0" applyFont="1" applyBorder="1" applyAlignment="1">
      <alignment vertical="center" shrinkToFit="1"/>
    </xf>
    <xf numFmtId="0" fontId="3" fillId="0" borderId="1" xfId="0" applyFont="1" applyBorder="1" applyAlignment="1">
      <alignment vertical="center" shrinkToFit="1"/>
    </xf>
    <xf numFmtId="0" fontId="3" fillId="0" borderId="0" xfId="0" applyFont="1" applyAlignment="1">
      <alignment vertical="center" shrinkToFit="1"/>
    </xf>
    <xf numFmtId="0" fontId="2" fillId="0" borderId="0" xfId="0" applyFont="1">
      <alignment vertical="center"/>
    </xf>
    <xf numFmtId="0" fontId="2" fillId="0" borderId="1" xfId="0" applyFont="1" applyBorder="1" applyAlignment="1">
      <alignment horizontal="right" vertical="center" shrinkToFit="1"/>
    </xf>
    <xf numFmtId="0" fontId="3" fillId="4" borderId="1" xfId="0" applyFont="1" applyFill="1" applyBorder="1" applyAlignment="1">
      <alignment vertical="center" shrinkToFit="1"/>
    </xf>
    <xf numFmtId="0" fontId="2" fillId="5" borderId="1" xfId="0" applyFont="1" applyFill="1" applyBorder="1" applyAlignment="1">
      <alignment vertical="center" shrinkToFit="1"/>
    </xf>
    <xf numFmtId="14" fontId="3" fillId="0" borderId="0" xfId="0" applyNumberFormat="1" applyFont="1" applyAlignment="1">
      <alignment vertical="center" shrinkToFit="1"/>
    </xf>
    <xf numFmtId="0" fontId="2" fillId="3" borderId="1" xfId="0" applyFont="1" applyFill="1" applyBorder="1" applyAlignment="1">
      <alignment vertical="center" shrinkToFit="1"/>
    </xf>
    <xf numFmtId="0" fontId="3" fillId="0" borderId="0" xfId="0" applyFont="1" applyAlignment="1">
      <alignment horizontal="right" vertical="center" shrinkToFit="1"/>
    </xf>
    <xf numFmtId="0" fontId="3" fillId="0" borderId="1" xfId="0" applyFont="1" applyBorder="1" applyAlignment="1">
      <alignment horizontal="right" vertical="center" shrinkToFit="1"/>
    </xf>
    <xf numFmtId="0" fontId="3" fillId="0" borderId="1" xfId="0" applyFont="1" applyBorder="1" applyAlignment="1">
      <alignment horizontal="center" vertical="center" shrinkToFit="1"/>
    </xf>
    <xf numFmtId="0" fontId="7" fillId="0" borderId="0" xfId="0" applyFont="1" applyAlignment="1">
      <alignment vertical="center" shrinkToFit="1"/>
    </xf>
    <xf numFmtId="0" fontId="7" fillId="0" borderId="0" xfId="0" applyFont="1">
      <alignment vertical="center"/>
    </xf>
    <xf numFmtId="14" fontId="2" fillId="0" borderId="0" xfId="0" applyNumberFormat="1" applyFont="1" applyAlignment="1">
      <alignment vertical="center" shrinkToFit="1"/>
    </xf>
    <xf numFmtId="0" fontId="3" fillId="0" borderId="0" xfId="0" applyFont="1" applyAlignment="1">
      <alignment vertical="center" wrapText="1" shrinkToFit="1"/>
    </xf>
    <xf numFmtId="0" fontId="3" fillId="7" borderId="0" xfId="0" applyFont="1" applyFill="1" applyAlignment="1">
      <alignment vertical="center" shrinkToFit="1"/>
    </xf>
    <xf numFmtId="0" fontId="7" fillId="7" borderId="0" xfId="0" applyFont="1" applyFill="1" applyAlignment="1">
      <alignment vertical="center" shrinkToFit="1"/>
    </xf>
    <xf numFmtId="0" fontId="7" fillId="0" borderId="1" xfId="0" applyFont="1" applyBorder="1" applyAlignment="1">
      <alignment horizontal="right" vertical="center" shrinkToFit="1"/>
    </xf>
    <xf numFmtId="0" fontId="7" fillId="0" borderId="3" xfId="0" applyFont="1" applyBorder="1" applyAlignment="1">
      <alignment vertical="center" shrinkToFit="1"/>
    </xf>
    <xf numFmtId="0" fontId="7" fillId="0" borderId="1" xfId="0" applyFont="1" applyBorder="1" applyAlignment="1">
      <alignment vertical="center" shrinkToFit="1"/>
    </xf>
    <xf numFmtId="176" fontId="7" fillId="0" borderId="1" xfId="0" applyNumberFormat="1" applyFont="1" applyBorder="1" applyAlignment="1">
      <alignment horizontal="right" vertical="center" shrinkToFit="1"/>
    </xf>
    <xf numFmtId="176" fontId="7" fillId="0" borderId="1" xfId="0" applyNumberFormat="1" applyFont="1" applyBorder="1">
      <alignment vertical="center"/>
    </xf>
    <xf numFmtId="0" fontId="7" fillId="0" borderId="1" xfId="0" applyFont="1" applyBorder="1">
      <alignment vertical="center"/>
    </xf>
    <xf numFmtId="0" fontId="7" fillId="0" borderId="1" xfId="0" applyFont="1" applyBorder="1" applyAlignment="1">
      <alignment vertical="center" wrapText="1" shrinkToFit="1"/>
    </xf>
    <xf numFmtId="0" fontId="7" fillId="0" borderId="1" xfId="0" quotePrefix="1" applyFont="1" applyBorder="1">
      <alignment vertical="center"/>
    </xf>
    <xf numFmtId="0" fontId="7" fillId="7" borderId="1" xfId="0" applyFont="1" applyFill="1" applyBorder="1" applyAlignment="1">
      <alignment horizontal="right" vertical="center" shrinkToFit="1"/>
    </xf>
    <xf numFmtId="0" fontId="7" fillId="7" borderId="1" xfId="0" applyFont="1" applyFill="1" applyBorder="1" applyAlignment="1">
      <alignment vertical="center" shrinkToFit="1"/>
    </xf>
    <xf numFmtId="0" fontId="7" fillId="7" borderId="1" xfId="0" quotePrefix="1" applyFont="1" applyFill="1" applyBorder="1">
      <alignment vertical="center"/>
    </xf>
    <xf numFmtId="176" fontId="7" fillId="7" borderId="1" xfId="0" applyNumberFormat="1" applyFont="1" applyFill="1" applyBorder="1" applyAlignment="1">
      <alignment horizontal="right" vertical="center" shrinkToFit="1"/>
    </xf>
    <xf numFmtId="176" fontId="7" fillId="7" borderId="1" xfId="0" applyNumberFormat="1" applyFont="1" applyFill="1" applyBorder="1">
      <alignment vertical="center"/>
    </xf>
    <xf numFmtId="0" fontId="7" fillId="0" borderId="1" xfId="0" applyFont="1" applyBorder="1" applyAlignment="1">
      <alignment horizontal="left" vertical="center" shrinkToFit="1"/>
    </xf>
    <xf numFmtId="0" fontId="7" fillId="7" borderId="1" xfId="0" applyFont="1" applyFill="1" applyBorder="1" applyAlignment="1">
      <alignment horizontal="left" vertical="center" shrinkToFit="1"/>
    </xf>
    <xf numFmtId="0" fontId="7" fillId="6" borderId="1" xfId="0" applyFont="1" applyFill="1" applyBorder="1" applyAlignment="1">
      <alignment horizontal="right" vertical="center" shrinkToFit="1"/>
    </xf>
    <xf numFmtId="0" fontId="7" fillId="6" borderId="1" xfId="0" applyFont="1" applyFill="1" applyBorder="1" applyAlignment="1">
      <alignment vertical="center" shrinkToFit="1"/>
    </xf>
    <xf numFmtId="176" fontId="7" fillId="6" borderId="1" xfId="0" applyNumberFormat="1" applyFont="1" applyFill="1" applyBorder="1" applyAlignment="1">
      <alignment horizontal="right" vertical="center" shrinkToFit="1"/>
    </xf>
    <xf numFmtId="0" fontId="7" fillId="7" borderId="1" xfId="0" applyFont="1" applyFill="1" applyBorder="1">
      <alignment vertical="center"/>
    </xf>
    <xf numFmtId="0" fontId="7" fillId="7" borderId="1" xfId="0" applyFont="1" applyFill="1" applyBorder="1" applyAlignment="1">
      <alignment vertical="center" wrapText="1" shrinkToFit="1"/>
    </xf>
    <xf numFmtId="24" fontId="3" fillId="0" borderId="0" xfId="0" applyNumberFormat="1" applyFont="1" applyAlignment="1">
      <alignment vertical="center" shrinkToFit="1"/>
    </xf>
    <xf numFmtId="0" fontId="7" fillId="0" borderId="0" xfId="0" applyFont="1" applyAlignment="1">
      <alignment horizontal="right" vertical="center" shrinkToFit="1"/>
    </xf>
    <xf numFmtId="176" fontId="7" fillId="0" borderId="1" xfId="0" applyNumberFormat="1" applyFont="1" applyBorder="1" applyAlignment="1">
      <alignment horizontal="right" vertical="center"/>
    </xf>
    <xf numFmtId="176" fontId="7" fillId="7" borderId="1" xfId="0" applyNumberFormat="1" applyFont="1" applyFill="1" applyBorder="1" applyAlignment="1">
      <alignment horizontal="right" vertical="center"/>
    </xf>
    <xf numFmtId="0" fontId="3" fillId="0" borderId="0" xfId="0" applyFont="1" applyAlignment="1">
      <alignment horizontal="left" vertical="center" shrinkToFit="1"/>
    </xf>
    <xf numFmtId="176" fontId="7" fillId="0" borderId="3" xfId="0" applyNumberFormat="1" applyFont="1" applyBorder="1" applyAlignment="1">
      <alignment horizontal="right" vertical="center"/>
    </xf>
    <xf numFmtId="0" fontId="7" fillId="7" borderId="3" xfId="0" applyFont="1" applyFill="1" applyBorder="1" applyAlignment="1">
      <alignment vertical="center" shrinkToFit="1"/>
    </xf>
    <xf numFmtId="0" fontId="7" fillId="0" borderId="3" xfId="0" applyFont="1" applyBorder="1" applyAlignment="1">
      <alignment horizontal="right" vertical="center" shrinkToFit="1"/>
    </xf>
    <xf numFmtId="0" fontId="7" fillId="0" borderId="3" xfId="0" applyFont="1" applyBorder="1" applyAlignment="1">
      <alignment vertical="center" wrapText="1" shrinkToFit="1"/>
    </xf>
    <xf numFmtId="176" fontId="7" fillId="0" borderId="3" xfId="0" applyNumberFormat="1" applyFont="1" applyBorder="1" applyAlignment="1">
      <alignment horizontal="right" vertical="center" shrinkToFit="1"/>
    </xf>
    <xf numFmtId="176" fontId="7" fillId="0" borderId="3" xfId="0" applyNumberFormat="1" applyFont="1" applyBorder="1">
      <alignment vertical="center"/>
    </xf>
    <xf numFmtId="0" fontId="2" fillId="0" borderId="3" xfId="0" applyFont="1" applyBorder="1" applyAlignment="1">
      <alignment vertical="center" shrinkToFit="1"/>
    </xf>
    <xf numFmtId="0" fontId="7" fillId="7" borderId="3" xfId="0" applyFont="1" applyFill="1" applyBorder="1" applyAlignment="1">
      <alignment horizontal="right" vertical="center" shrinkToFit="1"/>
    </xf>
    <xf numFmtId="0" fontId="10" fillId="0" borderId="0" xfId="0" applyFont="1" applyAlignment="1">
      <alignment vertical="center" shrinkToFit="1"/>
    </xf>
    <xf numFmtId="176" fontId="7" fillId="0" borderId="2" xfId="0" applyNumberFormat="1" applyFont="1" applyBorder="1" applyAlignment="1">
      <alignment horizontal="right" vertical="center"/>
    </xf>
    <xf numFmtId="176" fontId="7" fillId="7" borderId="2" xfId="0" applyNumberFormat="1" applyFont="1" applyFill="1" applyBorder="1" applyAlignment="1">
      <alignment horizontal="right" vertical="center"/>
    </xf>
    <xf numFmtId="0" fontId="7" fillId="8" borderId="1" xfId="0" applyFont="1" applyFill="1" applyBorder="1" applyAlignment="1">
      <alignment horizontal="right" vertical="center" shrinkToFit="1"/>
    </xf>
    <xf numFmtId="0" fontId="8" fillId="8" borderId="1" xfId="0" applyFont="1" applyFill="1" applyBorder="1" applyAlignment="1">
      <alignment vertical="center" shrinkToFit="1"/>
    </xf>
    <xf numFmtId="176" fontId="8" fillId="8" borderId="1" xfId="0" applyNumberFormat="1" applyFont="1" applyFill="1" applyBorder="1" applyAlignment="1">
      <alignment horizontal="right" vertical="center" shrinkToFit="1"/>
    </xf>
    <xf numFmtId="176" fontId="8" fillId="8" borderId="1" xfId="0" applyNumberFormat="1" applyFont="1" applyFill="1" applyBorder="1">
      <alignment vertical="center"/>
    </xf>
    <xf numFmtId="176" fontId="8" fillId="8" borderId="1" xfId="0" applyNumberFormat="1" applyFont="1" applyFill="1" applyBorder="1" applyAlignment="1">
      <alignment horizontal="right" vertical="center"/>
    </xf>
    <xf numFmtId="0" fontId="7" fillId="8" borderId="0" xfId="0" applyFont="1" applyFill="1">
      <alignment vertical="center"/>
    </xf>
    <xf numFmtId="0" fontId="7" fillId="8" borderId="0" xfId="0" applyFont="1" applyFill="1" applyAlignment="1">
      <alignment vertical="center" shrinkToFit="1"/>
    </xf>
    <xf numFmtId="0" fontId="3" fillId="8" borderId="0" xfId="0" applyFont="1" applyFill="1" applyAlignment="1">
      <alignment vertical="center" shrinkToFit="1"/>
    </xf>
    <xf numFmtId="0" fontId="7" fillId="8" borderId="1" xfId="0" applyFont="1" applyFill="1" applyBorder="1" applyAlignment="1">
      <alignment vertical="center" shrinkToFit="1"/>
    </xf>
    <xf numFmtId="176" fontId="7" fillId="8" borderId="1" xfId="0" applyNumberFormat="1" applyFont="1" applyFill="1" applyBorder="1" applyAlignment="1">
      <alignment horizontal="right" vertical="center" shrinkToFit="1"/>
    </xf>
    <xf numFmtId="176" fontId="7" fillId="8" borderId="1" xfId="0" applyNumberFormat="1" applyFont="1" applyFill="1" applyBorder="1">
      <alignment vertical="center"/>
    </xf>
    <xf numFmtId="176" fontId="7" fillId="8" borderId="1" xfId="0" applyNumberFormat="1" applyFont="1" applyFill="1" applyBorder="1" applyAlignment="1">
      <alignment horizontal="right" vertical="center"/>
    </xf>
    <xf numFmtId="0" fontId="7" fillId="8" borderId="1" xfId="0" applyFont="1" applyFill="1" applyBorder="1" applyAlignment="1">
      <alignment vertical="center" wrapText="1" shrinkToFit="1"/>
    </xf>
    <xf numFmtId="0" fontId="7" fillId="8" borderId="1" xfId="0" applyFont="1" applyFill="1" applyBorder="1">
      <alignment vertical="center"/>
    </xf>
    <xf numFmtId="0" fontId="7" fillId="0" borderId="9" xfId="0" applyFont="1" applyBorder="1" applyAlignment="1">
      <alignment horizontal="right" vertical="center" shrinkToFit="1"/>
    </xf>
    <xf numFmtId="0" fontId="11" fillId="0" borderId="1" xfId="0" applyFont="1" applyBorder="1" applyAlignment="1">
      <alignment vertical="center" wrapText="1" shrinkToFit="1"/>
    </xf>
    <xf numFmtId="0" fontId="11" fillId="0" borderId="1" xfId="0" applyFont="1" applyBorder="1" applyAlignment="1">
      <alignment horizontal="center" vertical="center" wrapText="1" shrinkToFit="1"/>
    </xf>
    <xf numFmtId="0" fontId="7" fillId="0" borderId="2" xfId="0" applyFont="1" applyBorder="1" applyAlignment="1">
      <alignment vertical="center" shrinkToFit="1"/>
    </xf>
    <xf numFmtId="0" fontId="7" fillId="0" borderId="2" xfId="0" applyFont="1" applyBorder="1" applyAlignment="1">
      <alignment vertical="center" wrapText="1" shrinkToFit="1"/>
    </xf>
    <xf numFmtId="176" fontId="7" fillId="0" borderId="2" xfId="0" applyNumberFormat="1" applyFont="1" applyBorder="1" applyAlignment="1">
      <alignment horizontal="center" vertical="center"/>
    </xf>
    <xf numFmtId="0" fontId="7" fillId="9" borderId="1" xfId="0" applyFont="1" applyFill="1" applyBorder="1" applyAlignment="1">
      <alignment horizontal="left" vertical="center" shrinkToFit="1"/>
    </xf>
    <xf numFmtId="0" fontId="7" fillId="9" borderId="1" xfId="0" applyFont="1" applyFill="1" applyBorder="1" applyAlignment="1">
      <alignment vertical="center" shrinkToFit="1"/>
    </xf>
    <xf numFmtId="0" fontId="7" fillId="9" borderId="1" xfId="0" applyFont="1" applyFill="1" applyBorder="1" applyAlignment="1">
      <alignment horizontal="center" vertical="center" shrinkToFit="1"/>
    </xf>
    <xf numFmtId="0" fontId="7" fillId="9" borderId="1" xfId="0" applyFont="1" applyFill="1" applyBorder="1">
      <alignment vertical="center"/>
    </xf>
    <xf numFmtId="176" fontId="7" fillId="9" borderId="1" xfId="0" applyNumberFormat="1" applyFont="1" applyFill="1" applyBorder="1" applyAlignment="1">
      <alignment horizontal="right" vertical="center" shrinkToFit="1"/>
    </xf>
    <xf numFmtId="176" fontId="7" fillId="0" borderId="2" xfId="0" applyNumberFormat="1" applyFont="1" applyBorder="1" applyAlignment="1">
      <alignment horizontal="center" vertical="center" shrinkToFit="1"/>
    </xf>
    <xf numFmtId="0" fontId="14" fillId="0" borderId="0" xfId="0" applyFont="1">
      <alignment vertical="center"/>
    </xf>
    <xf numFmtId="0" fontId="7" fillId="0" borderId="1" xfId="0" applyFont="1" applyBorder="1" applyAlignment="1">
      <alignment horizontal="center" vertical="center" shrinkToFit="1"/>
    </xf>
    <xf numFmtId="0" fontId="7" fillId="0" borderId="1" xfId="0" applyFont="1" applyBorder="1" applyAlignment="1">
      <alignment horizontal="center" vertical="center" wrapText="1" shrinkToFit="1"/>
    </xf>
    <xf numFmtId="176" fontId="7" fillId="0" borderId="1" xfId="0" applyNumberFormat="1" applyFont="1" applyBorder="1" applyAlignment="1">
      <alignment horizontal="center" vertical="center" shrinkToFit="1"/>
    </xf>
    <xf numFmtId="0" fontId="8" fillId="8" borderId="1" xfId="0" applyFont="1" applyFill="1" applyBorder="1" applyAlignment="1">
      <alignment horizontal="center" vertical="center" shrinkToFit="1"/>
    </xf>
    <xf numFmtId="176" fontId="15" fillId="0" borderId="3" xfId="0" applyNumberFormat="1" applyFont="1" applyBorder="1" applyAlignment="1">
      <alignment vertical="center" shrinkToFit="1"/>
    </xf>
    <xf numFmtId="176" fontId="15" fillId="0" borderId="3" xfId="0" applyNumberFormat="1" applyFont="1" applyBorder="1" applyAlignment="1">
      <alignment vertical="center" wrapText="1" shrinkToFit="1"/>
    </xf>
    <xf numFmtId="176" fontId="7" fillId="0" borderId="1" xfId="0" applyNumberFormat="1" applyFont="1" applyBorder="1" applyAlignment="1">
      <alignment horizontal="center" vertical="center" wrapText="1"/>
    </xf>
    <xf numFmtId="176" fontId="7" fillId="0" borderId="1" xfId="0" applyNumberFormat="1" applyFont="1" applyBorder="1" applyAlignment="1">
      <alignment vertical="center" wrapText="1"/>
    </xf>
    <xf numFmtId="176" fontId="7" fillId="0" borderId="1" xfId="0" applyNumberFormat="1" applyFont="1" applyBorder="1" applyAlignment="1">
      <alignment vertical="center" wrapText="1" shrinkToFit="1"/>
    </xf>
    <xf numFmtId="176" fontId="7" fillId="0" borderId="1" xfId="0" applyNumberFormat="1" applyFont="1" applyBorder="1" applyAlignment="1">
      <alignment vertical="center" shrinkToFit="1"/>
    </xf>
    <xf numFmtId="176" fontId="7" fillId="7" borderId="1" xfId="0" applyNumberFormat="1" applyFont="1" applyFill="1" applyBorder="1" applyAlignment="1">
      <alignment vertical="center" shrinkToFit="1"/>
    </xf>
    <xf numFmtId="176" fontId="7" fillId="0" borderId="1" xfId="0" applyNumberFormat="1" applyFont="1" applyBorder="1" applyAlignment="1">
      <alignment horizontal="right" vertical="center" wrapText="1" shrinkToFit="1"/>
    </xf>
    <xf numFmtId="176" fontId="7" fillId="7" borderId="1" xfId="0" applyNumberFormat="1" applyFont="1" applyFill="1" applyBorder="1" applyAlignment="1">
      <alignment horizontal="center" vertical="center" shrinkToFit="1"/>
    </xf>
    <xf numFmtId="176" fontId="7" fillId="0" borderId="0" xfId="0" applyNumberFormat="1" applyFont="1" applyAlignment="1">
      <alignment horizontal="right" vertical="center" shrinkToFit="1"/>
    </xf>
    <xf numFmtId="176" fontId="16" fillId="7" borderId="0" xfId="0" applyNumberFormat="1" applyFont="1" applyFill="1" applyAlignment="1">
      <alignment horizontal="right" vertical="center"/>
    </xf>
    <xf numFmtId="176" fontId="7" fillId="0" borderId="0" xfId="0" applyNumberFormat="1" applyFont="1" applyAlignment="1">
      <alignment horizontal="right" vertical="center"/>
    </xf>
    <xf numFmtId="176" fontId="7" fillId="7" borderId="1" xfId="0" applyNumberFormat="1" applyFont="1" applyFill="1" applyBorder="1" applyAlignment="1">
      <alignment horizontal="right" vertical="center" wrapText="1" shrinkToFit="1"/>
    </xf>
    <xf numFmtId="176" fontId="7" fillId="0" borderId="1" xfId="0" applyNumberFormat="1" applyFont="1" applyBorder="1" applyAlignment="1">
      <alignment horizontal="center" vertical="center" wrapText="1" shrinkToFit="1"/>
    </xf>
    <xf numFmtId="176" fontId="7" fillId="0" borderId="3" xfId="0" applyNumberFormat="1" applyFont="1" applyBorder="1" applyAlignment="1">
      <alignment horizontal="right" vertical="center" wrapText="1" shrinkToFit="1"/>
    </xf>
    <xf numFmtId="176" fontId="7" fillId="0" borderId="3" xfId="0" applyNumberFormat="1" applyFont="1" applyBorder="1" applyAlignment="1">
      <alignment horizontal="center" vertical="center" shrinkToFit="1"/>
    </xf>
    <xf numFmtId="0" fontId="7" fillId="7" borderId="1" xfId="0" applyFont="1" applyFill="1" applyBorder="1" applyAlignment="1">
      <alignment horizontal="center" vertical="center" shrinkToFit="1"/>
    </xf>
    <xf numFmtId="0" fontId="3" fillId="0" borderId="1" xfId="0" quotePrefix="1" applyFont="1" applyBorder="1" applyAlignment="1">
      <alignment vertical="center" shrinkToFit="1"/>
    </xf>
    <xf numFmtId="0" fontId="9" fillId="0" borderId="1" xfId="0" applyFont="1" applyBorder="1" applyAlignment="1">
      <alignment horizontal="center" vertical="center" shrinkToFit="1"/>
    </xf>
    <xf numFmtId="0" fontId="12" fillId="0" borderId="0" xfId="0" applyFont="1" applyAlignment="1">
      <alignment vertical="center" shrinkToFit="1"/>
    </xf>
    <xf numFmtId="176" fontId="7" fillId="0" borderId="4" xfId="0" applyNumberFormat="1" applyFont="1" applyBorder="1" applyAlignment="1">
      <alignment horizontal="right" vertical="center"/>
    </xf>
    <xf numFmtId="0" fontId="7" fillId="6" borderId="3" xfId="0" applyFont="1" applyFill="1" applyBorder="1" applyAlignment="1">
      <alignment horizontal="right" vertical="center" shrinkToFit="1"/>
    </xf>
    <xf numFmtId="0" fontId="7" fillId="0" borderId="2" xfId="0" applyFont="1" applyBorder="1" applyAlignment="1">
      <alignment horizontal="left" vertical="center" shrinkToFit="1"/>
    </xf>
    <xf numFmtId="0" fontId="7" fillId="0" borderId="2" xfId="0" applyFont="1" applyBorder="1" applyAlignment="1">
      <alignment horizontal="center" vertical="center" shrinkToFit="1"/>
    </xf>
    <xf numFmtId="176" fontId="2" fillId="0" borderId="1" xfId="0" applyNumberFormat="1" applyFont="1" applyBorder="1" applyAlignment="1">
      <alignment vertical="center" wrapText="1"/>
    </xf>
    <xf numFmtId="0" fontId="7" fillId="10" borderId="1" xfId="0" applyFont="1" applyFill="1" applyBorder="1" applyAlignment="1">
      <alignment horizontal="right" vertical="center" shrinkToFit="1"/>
    </xf>
    <xf numFmtId="0" fontId="9" fillId="0" borderId="0" xfId="0" applyFont="1" applyAlignment="1">
      <alignment vertical="center" shrinkToFit="1"/>
    </xf>
    <xf numFmtId="176" fontId="21" fillId="0" borderId="1" xfId="0" applyNumberFormat="1" applyFont="1" applyBorder="1" applyAlignment="1">
      <alignment horizontal="right" vertical="center" shrinkToFit="1"/>
    </xf>
    <xf numFmtId="176" fontId="2" fillId="0" borderId="1" xfId="0" applyNumberFormat="1" applyFont="1" applyBorder="1" applyAlignment="1">
      <alignment horizontal="center" vertical="center" shrinkToFit="1"/>
    </xf>
    <xf numFmtId="0" fontId="22" fillId="7" borderId="1" xfId="0" applyFont="1" applyFill="1" applyBorder="1" applyAlignment="1">
      <alignment horizontal="right" vertical="center" shrinkToFit="1"/>
    </xf>
    <xf numFmtId="0" fontId="23" fillId="0" borderId="1" xfId="0" applyFont="1" applyBorder="1" applyAlignment="1">
      <alignment vertical="center" shrinkToFit="1"/>
    </xf>
    <xf numFmtId="0" fontId="24" fillId="0" borderId="1" xfId="0" applyFont="1" applyBorder="1" applyAlignment="1">
      <alignment horizontal="center" vertical="center" shrinkToFit="1"/>
    </xf>
    <xf numFmtId="0" fontId="17" fillId="0" borderId="0" xfId="0" applyFont="1" applyAlignment="1">
      <alignment horizontal="center" vertical="center" shrinkToFit="1"/>
    </xf>
    <xf numFmtId="0" fontId="17" fillId="0" borderId="0" xfId="0" applyFont="1" applyAlignment="1">
      <alignment horizontal="center" vertical="center" wrapText="1" shrinkToFit="1"/>
    </xf>
    <xf numFmtId="177" fontId="17" fillId="0" borderId="0" xfId="0" applyNumberFormat="1" applyFont="1" applyAlignment="1">
      <alignment horizontal="center" vertical="center" shrinkToFit="1"/>
    </xf>
    <xf numFmtId="0" fontId="0" fillId="0" borderId="0" xfId="0" applyAlignment="1">
      <alignment vertical="center" shrinkToFit="1"/>
    </xf>
    <xf numFmtId="0" fontId="0" fillId="0" borderId="0" xfId="0" applyAlignment="1">
      <alignment horizontal="right" vertical="center" shrinkToFit="1"/>
    </xf>
    <xf numFmtId="177" fontId="17" fillId="0" borderId="0" xfId="0" applyNumberFormat="1" applyFont="1" applyAlignment="1">
      <alignment horizontal="center" vertical="center" wrapText="1" shrinkToFit="1"/>
    </xf>
    <xf numFmtId="176" fontId="0" fillId="0" borderId="0" xfId="0" applyNumberFormat="1" applyAlignment="1">
      <alignment horizontal="right" vertical="center" shrinkToFit="1"/>
    </xf>
    <xf numFmtId="176" fontId="0" fillId="0" borderId="0" xfId="0" applyNumberFormat="1">
      <alignment vertical="center"/>
    </xf>
    <xf numFmtId="176" fontId="0" fillId="0" borderId="0" xfId="0" applyNumberFormat="1" applyAlignment="1">
      <alignment horizontal="right" vertical="center"/>
    </xf>
    <xf numFmtId="0" fontId="17" fillId="0" borderId="0" xfId="0" applyFont="1" applyAlignment="1">
      <alignment horizontal="center" vertical="center" wrapText="1"/>
    </xf>
    <xf numFmtId="0" fontId="0" fillId="0" borderId="0" xfId="0" applyAlignment="1">
      <alignment horizontal="center" vertical="center" wrapText="1" shrinkToFit="1"/>
    </xf>
    <xf numFmtId="176" fontId="0" fillId="0" borderId="0" xfId="0" applyNumberFormat="1" applyAlignment="1">
      <alignment horizontal="center" vertical="center" shrinkToFit="1"/>
    </xf>
    <xf numFmtId="176" fontId="0" fillId="0" borderId="0" xfId="0" applyNumberFormat="1" applyAlignment="1">
      <alignment horizontal="center" vertical="center"/>
    </xf>
    <xf numFmtId="0" fontId="0" fillId="0" borderId="0" xfId="0" quotePrefix="1">
      <alignment vertical="center"/>
    </xf>
    <xf numFmtId="176" fontId="0" fillId="0" borderId="0" xfId="0" applyNumberFormat="1" applyAlignment="1">
      <alignment vertical="center" wrapText="1" shrinkToFit="1"/>
    </xf>
    <xf numFmtId="176" fontId="0" fillId="0" borderId="0" xfId="0" applyNumberFormat="1" applyAlignment="1">
      <alignment vertical="center" shrinkToFit="1"/>
    </xf>
    <xf numFmtId="0" fontId="0" fillId="0" borderId="0" xfId="0" applyAlignment="1">
      <alignment vertical="center" wrapText="1" shrinkToFit="1"/>
    </xf>
    <xf numFmtId="176" fontId="0" fillId="0" borderId="0" xfId="0" applyNumberFormat="1" applyAlignment="1">
      <alignment vertical="center" wrapText="1"/>
    </xf>
    <xf numFmtId="0" fontId="17" fillId="0" borderId="0" xfId="0" applyFont="1" applyAlignment="1">
      <alignment horizontal="center" vertical="center"/>
    </xf>
    <xf numFmtId="176" fontId="0" fillId="0" borderId="0" xfId="0" applyNumberFormat="1" applyAlignment="1">
      <alignment horizontal="right" vertical="center" wrapText="1" shrinkToFit="1"/>
    </xf>
    <xf numFmtId="177" fontId="17" fillId="0" borderId="0" xfId="0" applyNumberFormat="1" applyFont="1" applyAlignment="1">
      <alignment horizontal="center" vertical="center"/>
    </xf>
    <xf numFmtId="0" fontId="0" fillId="0" borderId="0" xfId="0" applyAlignment="1">
      <alignment horizontal="center" vertical="center" shrinkToFit="1"/>
    </xf>
    <xf numFmtId="176" fontId="0" fillId="0" borderId="0" xfId="0" applyNumberFormat="1" applyAlignment="1">
      <alignment horizontal="center" vertical="center" wrapText="1" shrinkToFit="1"/>
    </xf>
    <xf numFmtId="0" fontId="0" fillId="0" borderId="0" xfId="0" applyAlignment="1">
      <alignment horizontal="left" vertical="center" shrinkToFit="1"/>
    </xf>
    <xf numFmtId="0" fontId="0" fillId="0" borderId="0" xfId="0" quotePrefix="1" applyAlignment="1">
      <alignment vertical="center" shrinkToFit="1"/>
    </xf>
    <xf numFmtId="0" fontId="0" fillId="0" borderId="0" xfId="0" applyAlignment="1">
      <alignment vertical="center" wrapText="1"/>
    </xf>
    <xf numFmtId="177" fontId="0" fillId="0" borderId="0" xfId="0" applyNumberFormat="1" applyAlignment="1">
      <alignment horizontal="center" vertical="center" shrinkToFit="1"/>
    </xf>
    <xf numFmtId="176" fontId="21" fillId="0" borderId="1" xfId="0" applyNumberFormat="1" applyFont="1" applyBorder="1" applyAlignment="1">
      <alignment horizontal="center" vertical="center" shrinkToFit="1"/>
    </xf>
    <xf numFmtId="0" fontId="7" fillId="7" borderId="3" xfId="0" applyFont="1" applyFill="1" applyBorder="1" applyAlignment="1">
      <alignment horizontal="center" vertical="center" shrinkToFit="1"/>
    </xf>
    <xf numFmtId="176" fontId="22" fillId="0" borderId="1" xfId="0" applyNumberFormat="1" applyFont="1" applyBorder="1" applyAlignment="1">
      <alignment horizontal="right" vertical="center" shrinkToFit="1"/>
    </xf>
    <xf numFmtId="176" fontId="10" fillId="0" borderId="1" xfId="0" applyNumberFormat="1" applyFont="1" applyBorder="1" applyAlignment="1">
      <alignment horizontal="center" vertical="center" shrinkToFit="1"/>
    </xf>
    <xf numFmtId="0" fontId="17" fillId="0" borderId="0" xfId="0" applyFont="1" applyAlignment="1">
      <alignment horizontal="left" vertical="center" wrapText="1" shrinkToFit="1"/>
    </xf>
    <xf numFmtId="0" fontId="17" fillId="0" borderId="0" xfId="0" applyFont="1" applyAlignment="1">
      <alignment horizontal="left" vertical="center" shrinkToFit="1"/>
    </xf>
    <xf numFmtId="0" fontId="17" fillId="0" borderId="0" xfId="0" quotePrefix="1" applyFont="1" applyAlignment="1">
      <alignment horizontal="left" vertical="center" shrinkToFit="1"/>
    </xf>
    <xf numFmtId="0" fontId="27" fillId="0" borderId="0" xfId="0" applyFont="1" applyAlignment="1">
      <alignment vertical="center" shrinkToFit="1"/>
    </xf>
    <xf numFmtId="0" fontId="28" fillId="7" borderId="3" xfId="0" applyFont="1" applyFill="1" applyBorder="1" applyAlignment="1">
      <alignment horizontal="right" vertical="center" shrinkToFit="1"/>
    </xf>
    <xf numFmtId="0" fontId="11" fillId="7" borderId="3" xfId="0" applyFont="1" applyFill="1" applyBorder="1" applyAlignment="1">
      <alignment horizontal="right" vertical="center" shrinkToFit="1"/>
    </xf>
    <xf numFmtId="0" fontId="29" fillId="7" borderId="1" xfId="0" applyFont="1" applyFill="1" applyBorder="1" applyAlignment="1">
      <alignment horizontal="left" vertical="center" shrinkToFit="1"/>
    </xf>
    <xf numFmtId="0" fontId="30" fillId="7" borderId="10" xfId="0" applyFont="1" applyFill="1" applyBorder="1" applyAlignment="1">
      <alignment horizontal="left" vertical="center" shrinkToFit="1"/>
    </xf>
    <xf numFmtId="0" fontId="11" fillId="0" borderId="1" xfId="0" applyFont="1" applyBorder="1" applyAlignment="1">
      <alignment horizontal="left" vertical="center" shrinkToFit="1"/>
    </xf>
    <xf numFmtId="0" fontId="11" fillId="7" borderId="1" xfId="0" applyFont="1" applyFill="1" applyBorder="1" applyAlignment="1">
      <alignment horizontal="left" vertical="center" shrinkToFit="1"/>
    </xf>
    <xf numFmtId="0" fontId="12" fillId="7" borderId="1" xfId="0" applyFont="1" applyFill="1" applyBorder="1" applyAlignment="1">
      <alignment horizontal="left" vertical="center" shrinkToFit="1"/>
    </xf>
    <xf numFmtId="0" fontId="2" fillId="0" borderId="1" xfId="0" applyFont="1" applyBorder="1" applyAlignment="1">
      <alignment horizontal="center" vertical="center" shrinkToFit="1"/>
    </xf>
    <xf numFmtId="0" fontId="11" fillId="0" borderId="11" xfId="0" applyFont="1" applyBorder="1" applyAlignment="1">
      <alignment vertical="center" wrapText="1" shrinkToFit="1"/>
    </xf>
    <xf numFmtId="0" fontId="11" fillId="0" borderId="9" xfId="0" applyFont="1" applyBorder="1" applyAlignment="1">
      <alignment horizontal="center" vertical="center" wrapText="1" shrinkToFit="1"/>
    </xf>
    <xf numFmtId="0" fontId="12" fillId="0" borderId="1" xfId="0" quotePrefix="1" applyFont="1" applyBorder="1" applyAlignment="1">
      <alignment vertical="center" shrinkToFit="1"/>
    </xf>
    <xf numFmtId="0" fontId="12" fillId="0" borderId="1" xfId="0" applyFont="1" applyBorder="1" applyAlignment="1">
      <alignment vertical="center" shrinkToFit="1"/>
    </xf>
    <xf numFmtId="0" fontId="28" fillId="0" borderId="1" xfId="0" applyFont="1" applyBorder="1" applyAlignment="1">
      <alignment horizontal="center" vertical="center" shrinkToFit="1"/>
    </xf>
    <xf numFmtId="0" fontId="11" fillId="0" borderId="1" xfId="0" applyFont="1" applyBorder="1" applyAlignment="1">
      <alignment horizontal="right" vertical="center" shrinkToFit="1"/>
    </xf>
    <xf numFmtId="0" fontId="12" fillId="0" borderId="1" xfId="0" applyFont="1" applyBorder="1" applyAlignment="1">
      <alignment horizontal="right" vertical="center" shrinkToFit="1"/>
    </xf>
    <xf numFmtId="0" fontId="11" fillId="0" borderId="0" xfId="0" applyFont="1" applyAlignment="1">
      <alignment vertical="center" shrinkToFit="1"/>
    </xf>
    <xf numFmtId="0" fontId="33" fillId="0" borderId="0" xfId="0" applyFont="1" applyAlignment="1">
      <alignment horizontal="center" vertical="center" shrinkToFit="1"/>
    </xf>
    <xf numFmtId="49" fontId="0" fillId="0" borderId="0" xfId="0" applyNumberForma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0" fontId="0" fillId="0" borderId="0" xfId="0" applyAlignment="1"/>
    <xf numFmtId="0" fontId="0" fillId="0" borderId="0" xfId="0" applyAlignment="1">
      <alignment horizontal="left" vertical="center" wrapText="1"/>
    </xf>
    <xf numFmtId="0" fontId="40" fillId="0" borderId="0" xfId="0" applyFont="1">
      <alignment vertical="center"/>
    </xf>
    <xf numFmtId="0" fontId="40" fillId="0" borderId="0" xfId="0" applyFont="1" applyAlignment="1">
      <alignment horizontal="center" vertical="center"/>
    </xf>
    <xf numFmtId="49" fontId="0" fillId="0" borderId="0" xfId="0" applyNumberFormat="1" applyAlignment="1">
      <alignment horizontal="right" vertical="center"/>
    </xf>
    <xf numFmtId="49" fontId="0" fillId="0" borderId="0" xfId="0" applyNumberFormat="1" applyAlignment="1">
      <alignment horizontal="center" vertical="center"/>
    </xf>
    <xf numFmtId="177" fontId="0" fillId="0" borderId="0" xfId="0" applyNumberFormat="1" applyAlignment="1">
      <alignment horizontal="right" vertical="center" shrinkToFit="1"/>
    </xf>
    <xf numFmtId="176" fontId="0" fillId="0" borderId="0" xfId="0" applyNumberFormat="1" applyAlignment="1">
      <alignment horizontal="left" vertical="center" shrinkToFit="1"/>
    </xf>
    <xf numFmtId="177" fontId="0" fillId="0" borderId="0" xfId="0" applyNumberFormat="1" applyAlignment="1">
      <alignment horizontal="right" vertical="center" wrapText="1" shrinkToFit="1"/>
    </xf>
    <xf numFmtId="176" fontId="0" fillId="0" borderId="0" xfId="0" applyNumberFormat="1" applyAlignment="1">
      <alignment horizontal="left" vertical="center" wrapText="1"/>
    </xf>
    <xf numFmtId="176" fontId="0" fillId="0" borderId="0" xfId="0" applyNumberFormat="1" applyAlignment="1">
      <alignment horizontal="left" vertical="center" wrapText="1" shrinkToFit="1"/>
    </xf>
    <xf numFmtId="0" fontId="0" fillId="0" borderId="0" xfId="0" applyAlignment="1">
      <alignment horizontal="left" vertical="center" wrapText="1" shrinkToFit="1"/>
    </xf>
    <xf numFmtId="0" fontId="0" fillId="0" borderId="0" xfId="0" applyAlignment="1">
      <alignment horizontal="center"/>
    </xf>
    <xf numFmtId="0" fontId="41" fillId="0" borderId="0" xfId="0" applyFont="1" applyAlignment="1">
      <alignment vertical="center" shrinkToFit="1"/>
    </xf>
    <xf numFmtId="0" fontId="41" fillId="0" borderId="0" xfId="0" applyFont="1" applyAlignment="1">
      <alignment horizontal="left" vertical="center" shrinkToFit="1"/>
    </xf>
    <xf numFmtId="0" fontId="17" fillId="0" borderId="0" xfId="0" applyFont="1" applyAlignment="1">
      <alignment horizontal="left" vertical="center" shrinkToFit="1"/>
    </xf>
    <xf numFmtId="0" fontId="17" fillId="0" borderId="0" xfId="0" applyFont="1" applyAlignment="1">
      <alignment horizontal="left" vertical="center" wrapText="1" shrinkToFit="1"/>
    </xf>
    <xf numFmtId="0" fontId="2" fillId="0" borderId="10" xfId="0" applyFont="1" applyBorder="1" applyAlignment="1">
      <alignment vertical="center" shrinkToFit="1"/>
    </xf>
    <xf numFmtId="0" fontId="2" fillId="0" borderId="11" xfId="0" applyFont="1" applyBorder="1" applyAlignment="1">
      <alignment vertical="center" shrinkToFit="1"/>
    </xf>
    <xf numFmtId="0" fontId="2" fillId="0" borderId="9" xfId="0" applyFont="1" applyBorder="1" applyAlignment="1">
      <alignment vertical="center" shrinkToFit="1"/>
    </xf>
    <xf numFmtId="0" fontId="3" fillId="0" borderId="8" xfId="0" applyFont="1" applyBorder="1" applyAlignment="1">
      <alignment horizontal="left" vertical="center" shrinkToFit="1"/>
    </xf>
    <xf numFmtId="0" fontId="3" fillId="0" borderId="0" xfId="0" applyFont="1" applyAlignment="1">
      <alignment horizontal="left" vertical="center" shrinkToFit="1"/>
    </xf>
    <xf numFmtId="0" fontId="7" fillId="0" borderId="3" xfId="0" applyFont="1" applyBorder="1" applyAlignment="1">
      <alignment vertical="center" shrinkToFit="1"/>
    </xf>
    <xf numFmtId="0" fontId="7" fillId="0" borderId="4" xfId="0" applyFont="1" applyBorder="1" applyAlignment="1">
      <alignment vertical="center" shrinkToFit="1"/>
    </xf>
    <xf numFmtId="0" fontId="7" fillId="0" borderId="2" xfId="0" applyFont="1" applyBorder="1" applyAlignment="1">
      <alignment vertical="center" shrinkToFit="1"/>
    </xf>
    <xf numFmtId="176" fontId="7" fillId="0" borderId="4" xfId="0" applyNumberFormat="1" applyFont="1" applyBorder="1" applyAlignment="1">
      <alignment horizontal="center" vertical="center" shrinkToFit="1"/>
    </xf>
    <xf numFmtId="176" fontId="7" fillId="0" borderId="2" xfId="0" applyNumberFormat="1" applyFont="1" applyBorder="1" applyAlignment="1">
      <alignment horizontal="center" vertical="center" shrinkToFi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176" fontId="7" fillId="0" borderId="4" xfId="0" applyNumberFormat="1" applyFont="1" applyBorder="1" applyAlignment="1">
      <alignment horizontal="center" vertical="center"/>
    </xf>
    <xf numFmtId="176" fontId="7" fillId="0" borderId="2" xfId="0" applyNumberFormat="1" applyFont="1" applyBorder="1" applyAlignment="1">
      <alignment horizontal="center" vertical="center"/>
    </xf>
    <xf numFmtId="176" fontId="7" fillId="0" borderId="3" xfId="0" applyNumberFormat="1" applyFont="1" applyBorder="1" applyAlignment="1">
      <alignment horizontal="center" vertical="center"/>
    </xf>
    <xf numFmtId="176" fontId="7" fillId="0" borderId="1" xfId="0" applyNumberFormat="1" applyFont="1" applyBorder="1" applyAlignment="1">
      <alignment horizontal="right" vertical="center"/>
    </xf>
    <xf numFmtId="0" fontId="7" fillId="0" borderId="3" xfId="0" applyFont="1" applyBorder="1" applyAlignment="1">
      <alignment horizontal="center" vertical="center" shrinkToFit="1"/>
    </xf>
    <xf numFmtId="0" fontId="7" fillId="0" borderId="2" xfId="0" applyFont="1" applyBorder="1" applyAlignment="1">
      <alignment horizontal="center" vertical="center" shrinkToFit="1"/>
    </xf>
    <xf numFmtId="176" fontId="7" fillId="0" borderId="4" xfId="0" applyNumberFormat="1" applyFont="1" applyBorder="1" applyAlignment="1">
      <alignment horizontal="right" vertical="center"/>
    </xf>
    <xf numFmtId="176" fontId="7" fillId="0" borderId="2" xfId="0" applyNumberFormat="1" applyFont="1" applyBorder="1" applyAlignment="1">
      <alignment horizontal="right" vertical="center"/>
    </xf>
    <xf numFmtId="0" fontId="7" fillId="0" borderId="8" xfId="0" applyFont="1" applyBorder="1" applyAlignment="1">
      <alignment vertical="center" shrinkToFit="1"/>
    </xf>
    <xf numFmtId="0" fontId="7" fillId="0" borderId="0" xfId="0" applyFont="1" applyAlignment="1">
      <alignment vertical="center" shrinkToFit="1"/>
    </xf>
    <xf numFmtId="176" fontId="7" fillId="7" borderId="4" xfId="0" applyNumberFormat="1" applyFont="1" applyFill="1" applyBorder="1" applyAlignment="1">
      <alignment horizontal="right" vertical="center"/>
    </xf>
    <xf numFmtId="176" fontId="7" fillId="7" borderId="2" xfId="0" applyNumberFormat="1" applyFont="1" applyFill="1" applyBorder="1" applyAlignment="1">
      <alignment horizontal="right" vertical="center"/>
    </xf>
    <xf numFmtId="0" fontId="7" fillId="0" borderId="3" xfId="0" applyFont="1" applyBorder="1" applyAlignment="1">
      <alignment horizontal="left" vertical="center" shrinkToFit="1"/>
    </xf>
    <xf numFmtId="0" fontId="7" fillId="0" borderId="2" xfId="0" applyFont="1" applyBorder="1" applyAlignment="1">
      <alignment horizontal="left" vertical="center" shrinkToFit="1"/>
    </xf>
    <xf numFmtId="176" fontId="7" fillId="0" borderId="3" xfId="0" applyNumberFormat="1" applyFont="1" applyBorder="1" applyAlignment="1">
      <alignment horizontal="right" vertical="center"/>
    </xf>
    <xf numFmtId="0" fontId="7" fillId="0" borderId="4" xfId="0" applyFont="1" applyBorder="1" applyAlignment="1">
      <alignment horizontal="center" vertical="center" shrinkToFit="1"/>
    </xf>
    <xf numFmtId="0" fontId="7" fillId="0" borderId="4" xfId="0" applyFont="1" applyBorder="1" applyAlignment="1">
      <alignment horizontal="left" vertical="center" shrinkToFit="1"/>
    </xf>
    <xf numFmtId="176" fontId="7" fillId="7" borderId="3" xfId="0" applyNumberFormat="1" applyFont="1" applyFill="1" applyBorder="1" applyAlignment="1">
      <alignment horizontal="right" vertical="center"/>
    </xf>
    <xf numFmtId="0" fontId="7" fillId="8" borderId="3" xfId="0" applyFont="1" applyFill="1" applyBorder="1" applyAlignment="1">
      <alignment horizontal="left" vertical="center" shrinkToFit="1"/>
    </xf>
    <xf numFmtId="0" fontId="7" fillId="8" borderId="2" xfId="0" applyFont="1" applyFill="1" applyBorder="1" applyAlignment="1">
      <alignment horizontal="left" vertical="center" shrinkToFit="1"/>
    </xf>
    <xf numFmtId="0" fontId="7" fillId="7" borderId="3" xfId="0" applyFont="1" applyFill="1" applyBorder="1" applyAlignment="1">
      <alignment horizontal="left" vertical="center" shrinkToFit="1"/>
    </xf>
    <xf numFmtId="0" fontId="7" fillId="7" borderId="4" xfId="0" applyFont="1" applyFill="1" applyBorder="1" applyAlignment="1">
      <alignment horizontal="left" vertical="center" shrinkToFit="1"/>
    </xf>
    <xf numFmtId="0" fontId="7" fillId="7" borderId="2" xfId="0" applyFont="1" applyFill="1" applyBorder="1" applyAlignment="1">
      <alignment horizontal="lef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3" fillId="0" borderId="2" xfId="0" applyFont="1" applyBorder="1" applyAlignment="1">
      <alignment vertical="center" shrinkToFit="1"/>
    </xf>
    <xf numFmtId="0" fontId="7" fillId="0" borderId="10" xfId="0" applyFont="1" applyBorder="1" applyAlignment="1">
      <alignment horizontal="left" vertical="center" shrinkToFit="1"/>
    </xf>
    <xf numFmtId="0" fontId="7" fillId="0" borderId="11" xfId="0" applyFont="1" applyBorder="1" applyAlignment="1">
      <alignment horizontal="left" vertical="center" shrinkToFit="1"/>
    </xf>
    <xf numFmtId="0" fontId="7" fillId="0" borderId="9" xfId="0" applyFont="1" applyBorder="1" applyAlignment="1">
      <alignment horizontal="left" vertical="center" shrinkToFit="1"/>
    </xf>
    <xf numFmtId="177" fontId="17" fillId="0" borderId="0" xfId="0" applyNumberFormat="1" applyFont="1" applyAlignment="1">
      <alignment horizontal="left" vertical="center" shrinkToFit="1"/>
    </xf>
    <xf numFmtId="0" fontId="17" fillId="0" borderId="0" xfId="0" applyFont="1" applyAlignment="1">
      <alignment horizontal="left" vertical="center" wrapText="1"/>
    </xf>
    <xf numFmtId="0" fontId="18" fillId="0" borderId="0" xfId="0" applyFont="1" applyAlignment="1">
      <alignment horizontal="left" vertical="center"/>
    </xf>
    <xf numFmtId="177" fontId="17" fillId="0" borderId="0" xfId="0" applyNumberFormat="1" applyFont="1" applyAlignment="1">
      <alignment horizontal="left" vertical="center" wrapText="1" shrinkToFit="1"/>
    </xf>
    <xf numFmtId="0" fontId="17" fillId="0" borderId="0" xfId="0" applyFont="1" applyAlignment="1">
      <alignment horizontal="left" vertical="center"/>
    </xf>
    <xf numFmtId="0" fontId="19" fillId="0" borderId="0" xfId="0" applyFont="1" applyAlignment="1">
      <alignment horizontal="left" vertical="center" wrapText="1"/>
    </xf>
    <xf numFmtId="0" fontId="18" fillId="0" borderId="0" xfId="0" applyFont="1" applyAlignment="1">
      <alignment horizontal="left" vertical="center" wrapText="1"/>
    </xf>
    <xf numFmtId="0" fontId="18" fillId="0" borderId="12" xfId="0" applyFont="1" applyBorder="1" applyAlignment="1">
      <alignment horizontal="left" vertical="top"/>
    </xf>
    <xf numFmtId="0" fontId="19" fillId="0" borderId="12" xfId="0" applyFont="1" applyBorder="1" applyAlignment="1">
      <alignment horizontal="left" vertical="top"/>
    </xf>
    <xf numFmtId="0" fontId="19" fillId="0" borderId="0" xfId="0" applyFont="1" applyAlignment="1">
      <alignment horizontal="left" vertical="center"/>
    </xf>
    <xf numFmtId="0" fontId="19" fillId="0" borderId="0" xfId="0" applyFont="1" applyAlignment="1">
      <alignment horizontal="left" vertical="top"/>
    </xf>
    <xf numFmtId="0" fontId="19" fillId="0" borderId="0" xfId="0" applyFont="1" applyAlignment="1">
      <alignment horizontal="left" vertical="top" wrapText="1"/>
    </xf>
    <xf numFmtId="0" fontId="19" fillId="0" borderId="12" xfId="0" applyFont="1" applyBorder="1" applyAlignment="1">
      <alignment horizontal="left" vertical="center"/>
    </xf>
    <xf numFmtId="0" fontId="25" fillId="0" borderId="0" xfId="0" applyFont="1" applyAlignment="1">
      <alignment horizontal="left" vertical="center"/>
    </xf>
    <xf numFmtId="178" fontId="17" fillId="0" borderId="0" xfId="0" applyNumberFormat="1" applyFont="1" applyAlignment="1">
      <alignment horizontal="right" vertical="center" shrinkToFit="1"/>
    </xf>
    <xf numFmtId="178" fontId="17" fillId="0" borderId="0" xfId="0" applyNumberFormat="1" applyFont="1" applyAlignment="1">
      <alignment horizontal="right" vertical="center" wrapText="1"/>
    </xf>
    <xf numFmtId="178" fontId="17" fillId="0" borderId="0" xfId="0" applyNumberFormat="1" applyFont="1" applyAlignment="1">
      <alignment horizontal="right" vertical="center" wrapText="1" shrinkToFit="1"/>
    </xf>
    <xf numFmtId="178" fontId="17" fillId="0" borderId="0" xfId="0" applyNumberFormat="1" applyFont="1" applyAlignment="1">
      <alignment horizontal="right" vertical="center"/>
    </xf>
    <xf numFmtId="178" fontId="18" fillId="0" borderId="12" xfId="0" applyNumberFormat="1" applyFont="1" applyBorder="1" applyAlignment="1">
      <alignment horizontal="right" vertical="top"/>
    </xf>
    <xf numFmtId="178" fontId="0" fillId="0" borderId="0" xfId="0" applyNumberFormat="1" applyAlignment="1">
      <alignment horizontal="right" vertical="center" shrinkToFit="1"/>
    </xf>
    <xf numFmtId="178" fontId="0" fillId="0" borderId="0" xfId="0" applyNumberFormat="1" applyAlignment="1">
      <alignment horizontal="right" vertical="center" wrapText="1"/>
    </xf>
    <xf numFmtId="0" fontId="33" fillId="0" borderId="0" xfId="0" applyFont="1" applyAlignment="1">
      <alignment vertical="center" shrinkToFit="1"/>
    </xf>
    <xf numFmtId="0" fontId="17" fillId="0" borderId="0" xfId="0" applyFont="1" applyAlignment="1">
      <alignment vertical="center" shrinkToFit="1"/>
    </xf>
    <xf numFmtId="0" fontId="17" fillId="0" borderId="0" xfId="0" applyFont="1" applyAlignment="1">
      <alignment vertical="center" wrapText="1" shrinkToFit="1"/>
    </xf>
    <xf numFmtId="177" fontId="17" fillId="0" borderId="0" xfId="0" applyNumberFormat="1" applyFont="1" applyAlignment="1">
      <alignment vertical="center" shrinkToFit="1"/>
    </xf>
    <xf numFmtId="178" fontId="17" fillId="0" borderId="0" xfId="0" applyNumberFormat="1" applyFont="1" applyAlignment="1">
      <alignment vertical="center" shrinkToFit="1"/>
    </xf>
    <xf numFmtId="0" fontId="42" fillId="11" borderId="13" xfId="0" applyFont="1" applyFill="1" applyBorder="1">
      <alignment vertical="center"/>
    </xf>
    <xf numFmtId="0" fontId="42" fillId="11" borderId="14" xfId="0" applyFont="1" applyFill="1" applyBorder="1">
      <alignment vertical="center"/>
    </xf>
    <xf numFmtId="0" fontId="43" fillId="12" borderId="14" xfId="0" applyFont="1" applyFill="1" applyBorder="1">
      <alignment vertical="center"/>
    </xf>
    <xf numFmtId="0" fontId="43" fillId="0" borderId="14" xfId="0" applyFont="1" applyBorder="1">
      <alignment vertical="center"/>
    </xf>
    <xf numFmtId="49" fontId="43" fillId="12" borderId="13" xfId="0" applyNumberFormat="1" applyFont="1" applyFill="1" applyBorder="1">
      <alignment vertical="center"/>
    </xf>
    <xf numFmtId="49" fontId="43" fillId="0" borderId="13" xfId="0" applyNumberFormat="1" applyFont="1" applyBorder="1">
      <alignment vertical="center"/>
    </xf>
    <xf numFmtId="0" fontId="41" fillId="0" borderId="0" xfId="0" applyFont="1" applyFill="1" applyAlignment="1">
      <alignment vertical="center" shrinkToFit="1"/>
    </xf>
  </cellXfs>
  <cellStyles count="1">
    <cellStyle name="標準" xfId="0" builtinId="0"/>
  </cellStyles>
  <dxfs count="44">
    <dxf>
      <font>
        <color rgb="FF9C0006"/>
      </font>
      <fill>
        <patternFill>
          <bgColor rgb="FFFFC7CE"/>
        </patternFill>
      </fill>
    </dxf>
    <dxf>
      <font>
        <color auto="1"/>
      </font>
      <fill>
        <patternFill>
          <bgColor rgb="FFFFA7A7"/>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66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6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6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6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99"/>
        </patternFill>
      </fill>
    </dxf>
    <dxf>
      <fill>
        <patternFill>
          <bgColor rgb="FFFF66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99"/>
        </patternFill>
      </fill>
    </dxf>
    <dxf>
      <fill>
        <patternFill>
          <bgColor rgb="FFFF66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99"/>
        </patternFill>
      </fill>
    </dxf>
    <dxf>
      <numFmt numFmtId="30" formatCode="@"/>
    </dxf>
    <dxf>
      <numFmt numFmtId="30" formatCode="@"/>
    </dxf>
    <dxf>
      <font>
        <b val="0"/>
        <i val="0"/>
        <strike val="0"/>
        <condense val="0"/>
        <extend val="0"/>
        <outline val="0"/>
        <shadow val="0"/>
        <u val="none"/>
        <vertAlign val="baseline"/>
        <sz val="11"/>
        <color auto="1"/>
        <name val="ＭＳ Ｐゴシック"/>
        <family val="3"/>
        <charset val="128"/>
        <scheme val="none"/>
      </font>
    </dxf>
    <dxf>
      <font>
        <b val="0"/>
        <i val="0"/>
        <strike val="0"/>
        <condense val="0"/>
        <extend val="0"/>
        <outline val="0"/>
        <shadow val="0"/>
        <u val="none"/>
        <vertAlign val="baseline"/>
        <sz val="11"/>
        <color auto="1"/>
        <name val="ＭＳ Ｐゴシック"/>
        <family val="3"/>
        <charset val="128"/>
        <scheme val="none"/>
      </font>
    </dxf>
    <dxf>
      <font>
        <b val="0"/>
        <i val="0"/>
        <strike val="0"/>
        <condense val="0"/>
        <extend val="0"/>
        <outline val="0"/>
        <shadow val="0"/>
        <u val="none"/>
        <vertAlign val="baseline"/>
        <sz val="11"/>
        <color theme="2" tint="-0.24994659260841701"/>
        <name val="ＭＳ Ｐゴシック"/>
        <family val="3"/>
        <charset val="128"/>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ＭＳ Ｐゴシック"/>
        <family val="3"/>
        <charset val="128"/>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ＭＳ Ｐゴシック"/>
        <family val="3"/>
        <charset val="128"/>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ＭＳ Ｐゴシック"/>
        <family val="3"/>
        <charset val="128"/>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ＭＳ Ｐゴシック"/>
        <family val="3"/>
        <charset val="128"/>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ＭＳ Ｐゴシック"/>
        <family val="3"/>
        <charset val="128"/>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ＭＳ Ｐゴシック"/>
        <family val="3"/>
        <charset val="128"/>
        <scheme val="none"/>
      </font>
    </dxf>
    <dxf>
      <font>
        <b val="0"/>
        <i val="0"/>
        <strike val="0"/>
        <condense val="0"/>
        <extend val="0"/>
        <outline val="0"/>
        <shadow val="0"/>
        <u val="none"/>
        <vertAlign val="baseline"/>
        <sz val="11"/>
        <color auto="1"/>
        <name val="ＭＳ Ｐゴシック"/>
        <family val="3"/>
        <charset val="128"/>
        <scheme val="none"/>
      </font>
      <alignment horizontal="right" vertical="center" textRotation="0" wrapText="0" indent="0" justifyLastLine="0" shrinkToFit="0" readingOrder="0"/>
    </dxf>
  </dxfs>
  <tableStyles count="0" defaultTableStyle="TableStyleMedium2" defaultPivotStyle="PivotStyleLight16"/>
  <colors>
    <mruColors>
      <color rgb="FFFFC7CE"/>
      <color rgb="FFFF6699"/>
      <color rgb="FFFF9999"/>
      <color rgb="FFFFA7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connections" Target="connection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xdr:from>
      <xdr:col>2</xdr:col>
      <xdr:colOff>878568</xdr:colOff>
      <xdr:row>190</xdr:row>
      <xdr:rowOff>65768</xdr:rowOff>
    </xdr:from>
    <xdr:to>
      <xdr:col>7</xdr:col>
      <xdr:colOff>798590</xdr:colOff>
      <xdr:row>193</xdr:row>
      <xdr:rowOff>218167</xdr:rowOff>
    </xdr:to>
    <xdr:sp macro="" textlink="">
      <xdr:nvSpPr>
        <xdr:cNvPr id="2" name="AutoShape 7">
          <a:extLst>
            <a:ext uri="{FF2B5EF4-FFF2-40B4-BE49-F238E27FC236}">
              <a16:creationId xmlns:a16="http://schemas.microsoft.com/office/drawing/2014/main" id="{A3AD863D-726A-4C2C-81AD-2DCDB1DB60A9}"/>
            </a:ext>
          </a:extLst>
        </xdr:cNvPr>
        <xdr:cNvSpPr>
          <a:spLocks noChangeArrowheads="1"/>
        </xdr:cNvSpPr>
      </xdr:nvSpPr>
      <xdr:spPr bwMode="auto">
        <a:xfrm>
          <a:off x="2507343" y="63197468"/>
          <a:ext cx="5025422" cy="1066799"/>
        </a:xfrm>
        <a:prstGeom prst="wedgeRoundRectCallout">
          <a:avLst>
            <a:gd name="adj1" fmla="val -11444"/>
            <a:gd name="adj2" fmla="val -110713"/>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コントローラ品番（ASSY)には、機種品番(例057**-***00(A25E))</a:t>
          </a:r>
        </a:p>
        <a:p>
          <a:pPr algn="l" rtl="0">
            <a:lnSpc>
              <a:spcPts val="1600"/>
            </a:lnSpc>
            <a:defRPr sz="1000"/>
          </a:pPr>
          <a:r>
            <a:rPr lang="ja-JP" altLang="en-US" sz="1400" b="0" i="0" u="none" strike="noStrike" baseline="0">
              <a:solidFill>
                <a:srgbClr val="000000"/>
              </a:solidFill>
              <a:latin typeface="ＭＳ Ｐゴシック"/>
              <a:ea typeface="ＭＳ Ｐゴシック"/>
            </a:rPr>
            <a:t>のように設定すること</a:t>
          </a:r>
        </a:p>
      </xdr:txBody>
    </xdr:sp>
    <xdr:clientData/>
  </xdr:twoCellAnchor>
  <xdr:twoCellAnchor>
    <xdr:from>
      <xdr:col>7</xdr:col>
      <xdr:colOff>1704431</xdr:colOff>
      <xdr:row>190</xdr:row>
      <xdr:rowOff>3538</xdr:rowOff>
    </xdr:from>
    <xdr:to>
      <xdr:col>9</xdr:col>
      <xdr:colOff>891059</xdr:colOff>
      <xdr:row>193</xdr:row>
      <xdr:rowOff>14998</xdr:rowOff>
    </xdr:to>
    <xdr:sp macro="" textlink="">
      <xdr:nvSpPr>
        <xdr:cNvPr id="3" name="AutoShape 8">
          <a:extLst>
            <a:ext uri="{FF2B5EF4-FFF2-40B4-BE49-F238E27FC236}">
              <a16:creationId xmlns:a16="http://schemas.microsoft.com/office/drawing/2014/main" id="{5B5CA3D6-01DA-4AC4-AF63-70B6E92544D4}"/>
            </a:ext>
          </a:extLst>
        </xdr:cNvPr>
        <xdr:cNvSpPr>
          <a:spLocks noChangeArrowheads="1"/>
        </xdr:cNvSpPr>
      </xdr:nvSpPr>
      <xdr:spPr bwMode="auto">
        <a:xfrm>
          <a:off x="8438606" y="63135238"/>
          <a:ext cx="3253803" cy="925860"/>
        </a:xfrm>
        <a:prstGeom prst="wedgeRoundRectCallout">
          <a:avLst>
            <a:gd name="adj1" fmla="val -12347"/>
            <a:gd name="adj2" fmla="val -112245"/>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プログラム、パラメータファイルの品番は、コントローラASSYの子部品に設定する</a:t>
          </a:r>
        </a:p>
      </xdr:txBody>
    </xdr:sp>
    <xdr:clientData/>
  </xdr:twoCellAnchor>
  <xdr:twoCellAnchor>
    <xdr:from>
      <xdr:col>14</xdr:col>
      <xdr:colOff>680358</xdr:colOff>
      <xdr:row>50</xdr:row>
      <xdr:rowOff>13608</xdr:rowOff>
    </xdr:from>
    <xdr:to>
      <xdr:col>15</xdr:col>
      <xdr:colOff>1319894</xdr:colOff>
      <xdr:row>51</xdr:row>
      <xdr:rowOff>108857</xdr:rowOff>
    </xdr:to>
    <xdr:sp macro="" textlink="">
      <xdr:nvSpPr>
        <xdr:cNvPr id="4" name="正方形/長方形 3">
          <a:extLst>
            <a:ext uri="{FF2B5EF4-FFF2-40B4-BE49-F238E27FC236}">
              <a16:creationId xmlns:a16="http://schemas.microsoft.com/office/drawing/2014/main" id="{37606C98-C604-4E26-A215-967BF29A0DA1}"/>
            </a:ext>
          </a:extLst>
        </xdr:cNvPr>
        <xdr:cNvSpPr/>
      </xdr:nvSpPr>
      <xdr:spPr>
        <a:xfrm>
          <a:off x="20244708" y="19168383"/>
          <a:ext cx="2249261" cy="400049"/>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rPr>
            <a:t>黄色塗部：三課</a:t>
          </a:r>
          <a:r>
            <a:rPr kumimoji="1" lang="en-US" altLang="ja-JP" sz="1400">
              <a:solidFill>
                <a:sysClr val="windowText" lastClr="000000"/>
              </a:solidFill>
            </a:rPr>
            <a:t>2</a:t>
          </a:r>
          <a:r>
            <a:rPr kumimoji="1" lang="ja-JP" altLang="en-US" sz="1400">
              <a:solidFill>
                <a:sysClr val="windowText" lastClr="000000"/>
              </a:solidFill>
            </a:rPr>
            <a:t>係記入</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878568</xdr:colOff>
      <xdr:row>186</xdr:row>
      <xdr:rowOff>65768</xdr:rowOff>
    </xdr:from>
    <xdr:to>
      <xdr:col>7</xdr:col>
      <xdr:colOff>798590</xdr:colOff>
      <xdr:row>189</xdr:row>
      <xdr:rowOff>218167</xdr:rowOff>
    </xdr:to>
    <xdr:sp macro="" textlink="">
      <xdr:nvSpPr>
        <xdr:cNvPr id="2" name="AutoShape 7">
          <a:extLst>
            <a:ext uri="{FF2B5EF4-FFF2-40B4-BE49-F238E27FC236}">
              <a16:creationId xmlns:a16="http://schemas.microsoft.com/office/drawing/2014/main" id="{881C7663-C1D2-40B1-ACD2-24A9875B6B73}"/>
            </a:ext>
          </a:extLst>
        </xdr:cNvPr>
        <xdr:cNvSpPr>
          <a:spLocks noChangeArrowheads="1"/>
        </xdr:cNvSpPr>
      </xdr:nvSpPr>
      <xdr:spPr bwMode="auto">
        <a:xfrm>
          <a:off x="3240768" y="31955468"/>
          <a:ext cx="5825522" cy="619124"/>
        </a:xfrm>
        <a:prstGeom prst="wedgeRoundRectCallout">
          <a:avLst>
            <a:gd name="adj1" fmla="val -11444"/>
            <a:gd name="adj2" fmla="val -110713"/>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コントローラ品番（ASSY)には、機種品番(例057**-***00(A25E))</a:t>
          </a:r>
        </a:p>
        <a:p>
          <a:pPr algn="l" rtl="0">
            <a:lnSpc>
              <a:spcPts val="1600"/>
            </a:lnSpc>
            <a:defRPr sz="1000"/>
          </a:pPr>
          <a:r>
            <a:rPr lang="ja-JP" altLang="en-US" sz="1400" b="0" i="0" u="none" strike="noStrike" baseline="0">
              <a:solidFill>
                <a:srgbClr val="000000"/>
              </a:solidFill>
              <a:latin typeface="ＭＳ Ｐゴシック"/>
              <a:ea typeface="ＭＳ Ｐゴシック"/>
            </a:rPr>
            <a:t>のように設定すること</a:t>
          </a:r>
        </a:p>
      </xdr:txBody>
    </xdr:sp>
    <xdr:clientData/>
  </xdr:twoCellAnchor>
  <xdr:twoCellAnchor>
    <xdr:from>
      <xdr:col>7</xdr:col>
      <xdr:colOff>1704431</xdr:colOff>
      <xdr:row>186</xdr:row>
      <xdr:rowOff>3538</xdr:rowOff>
    </xdr:from>
    <xdr:to>
      <xdr:col>9</xdr:col>
      <xdr:colOff>891059</xdr:colOff>
      <xdr:row>189</xdr:row>
      <xdr:rowOff>14998</xdr:rowOff>
    </xdr:to>
    <xdr:sp macro="" textlink="">
      <xdr:nvSpPr>
        <xdr:cNvPr id="3" name="AutoShape 8">
          <a:extLst>
            <a:ext uri="{FF2B5EF4-FFF2-40B4-BE49-F238E27FC236}">
              <a16:creationId xmlns:a16="http://schemas.microsoft.com/office/drawing/2014/main" id="{40E137E0-F6FC-49DD-8CF8-485EB6342BF1}"/>
            </a:ext>
          </a:extLst>
        </xdr:cNvPr>
        <xdr:cNvSpPr>
          <a:spLocks noChangeArrowheads="1"/>
        </xdr:cNvSpPr>
      </xdr:nvSpPr>
      <xdr:spPr bwMode="auto">
        <a:xfrm>
          <a:off x="9448256" y="31893238"/>
          <a:ext cx="2072703" cy="525810"/>
        </a:xfrm>
        <a:prstGeom prst="wedgeRoundRectCallout">
          <a:avLst>
            <a:gd name="adj1" fmla="val -12347"/>
            <a:gd name="adj2" fmla="val -112245"/>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プログラム、パラメータファイルの品番は、コントローラASSYの子部品に設定する</a:t>
          </a:r>
        </a:p>
      </xdr:txBody>
    </xdr:sp>
    <xdr:clientData/>
  </xdr:twoCellAnchor>
  <xdr:twoCellAnchor>
    <xdr:from>
      <xdr:col>14</xdr:col>
      <xdr:colOff>680358</xdr:colOff>
      <xdr:row>50</xdr:row>
      <xdr:rowOff>13608</xdr:rowOff>
    </xdr:from>
    <xdr:to>
      <xdr:col>15</xdr:col>
      <xdr:colOff>1319894</xdr:colOff>
      <xdr:row>51</xdr:row>
      <xdr:rowOff>108857</xdr:rowOff>
    </xdr:to>
    <xdr:sp macro="" textlink="">
      <xdr:nvSpPr>
        <xdr:cNvPr id="4" name="正方形/長方形 3">
          <a:extLst>
            <a:ext uri="{FF2B5EF4-FFF2-40B4-BE49-F238E27FC236}">
              <a16:creationId xmlns:a16="http://schemas.microsoft.com/office/drawing/2014/main" id="{8971C07B-5886-46B6-845D-4851B595C86E}"/>
            </a:ext>
          </a:extLst>
        </xdr:cNvPr>
        <xdr:cNvSpPr/>
      </xdr:nvSpPr>
      <xdr:spPr>
        <a:xfrm>
          <a:off x="17215758" y="8586108"/>
          <a:ext cx="1677761" cy="266699"/>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rPr>
            <a:t>黄色塗部：三課</a:t>
          </a:r>
          <a:r>
            <a:rPr kumimoji="1" lang="en-US" altLang="ja-JP" sz="1400">
              <a:solidFill>
                <a:sysClr val="windowText" lastClr="000000"/>
              </a:solidFill>
            </a:rPr>
            <a:t>2</a:t>
          </a:r>
          <a:r>
            <a:rPr kumimoji="1" lang="ja-JP" altLang="en-US" sz="1400">
              <a:solidFill>
                <a:sysClr val="windowText" lastClr="000000"/>
              </a:solidFill>
            </a:rPr>
            <a:t>係記入</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B869B8-C0E1-4D84-B6D4-05B02B2B602A}" autoFormatId="20" applyNumberFormats="0" applyBorderFormats="0" applyFontFormats="0" applyPatternFormats="0" applyAlignmentFormats="0" applyWidthHeightFormats="0">
  <queryTableRefresh nextId="3">
    <queryTableFields count="2">
      <queryTableField id="1" name="帳票番号" tableColumnId="1"/>
      <queryTableField id="2" name="商品結合" tableColumnId="2"/>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0</v>
    <v>3</v>
  </rv>
</rvData>
</file>

<file path=xl/richData/rdrichvaluestructure.xml><?xml version="1.0" encoding="utf-8"?>
<rvStructures xmlns="http://schemas.microsoft.com/office/spreadsheetml/2017/richdata" count="1">
  <s t="_error">
    <k n="colOffset" t="i"/>
    <k n="errorType" t="i"/>
    <k n="rwOffset" t="i"/>
    <k n="subType" t="i"/>
  </s>
</rvStructure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A3554E-1BD4-4FF7-BA7C-1ABA467E2B44}" name="テーブル5" displayName="テーブル5" ref="A1:J1048576" totalsRowShown="0">
  <autoFilter ref="A1:J1048576" xr:uid="{BAA3554E-1BD4-4FF7-BA7C-1ABA467E2B44}">
    <filterColumn colId="6">
      <filters>
        <filter val="E3F"/>
        <filter val="E3F(CBN)"/>
      </filters>
    </filterColumn>
  </autoFilter>
  <tableColumns count="10">
    <tableColumn id="1" xr3:uid="{1922240D-3A9C-4869-96CF-EF76DD63D023}" name="Active" dataDxfId="43"/>
    <tableColumn id="2" xr3:uid="{99337A55-E4BF-4EE0-9A53-F94F2F08D6B7}" name="品番" dataDxfId="42"/>
    <tableColumn id="3" xr3:uid="{62FA7543-AFF3-47F0-9073-41C4EC8E7771}" name="区分" dataDxfId="41"/>
    <tableColumn id="4" xr3:uid="{4334D46B-60C3-4E5F-8D66-EB38C1EE4058}" name="名称" dataDxfId="40"/>
    <tableColumn id="5" xr3:uid="{109A4D96-BBCF-4003-8736-82E0E1CDA14B}" name="製造元" dataDxfId="39"/>
    <tableColumn id="6" xr3:uid="{73A64EF9-EE08-439F-9953-3A1D97A8D89C}" name="ハードウェア" dataDxfId="38"/>
    <tableColumn id="7" xr3:uid="{E22A2C39-6600-4226-8584-6A6B781B9596}" name="機種" dataDxfId="37"/>
    <tableColumn id="8" xr3:uid="{4E02375B-18B8-4A40-B0A9-0C117BE8718F}" name="帳票No" dataDxfId="36"/>
    <tableColumn id="9" xr3:uid="{95F22104-24A5-4062-ADEF-FCE21A187E97}" name="バージョン" dataDxfId="35"/>
    <tableColumn id="10" xr3:uid="{01317F2C-60ED-46E1-A987-2AEC8E2B5F1B}" name="備考"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71925C-5E74-4463-BCDF-4AD87AD544F4}" name="テーブル2_1" displayName="テーブル2_1" ref="A1:B7" tableType="queryTable" totalsRowShown="0">
  <autoFilter ref="A1:B7" xr:uid="{9371925C-5E74-4463-BCDF-4AD87AD544F4}"/>
  <tableColumns count="2">
    <tableColumn id="1" xr3:uid="{D71D0C0E-A28C-4640-AB6D-9BDF5312D357}" uniqueName="1" name="帳票番号" queryTableFieldId="1" dataDxfId="33"/>
    <tableColumn id="2" xr3:uid="{DA27CA39-53D3-406B-AC11-EA6F464BDB68}" uniqueName="2" name="商品結合"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58AF18-60AA-4937-82F2-1FE34E244040}" name="テーブル2" displayName="テーブル2" ref="A1:C13" totalsRowShown="0">
  <autoFilter ref="A1:C13" xr:uid="{5958AF18-60AA-4937-82F2-1FE34E244040}"/>
  <tableColumns count="3">
    <tableColumn id="1" xr3:uid="{F3A1FB78-A807-4C9D-9F7F-8E619CE7075E}" name="帳票番号" dataDxfId="32"/>
    <tableColumn id="2" xr3:uid="{A5BCFAA2-8B85-473D-B4B3-BB36A2BCB0E8}" name="商品"/>
    <tableColumn id="3" xr3:uid="{3F3E368B-20FA-4F9A-9DCB-851295EB686F}" name="数量"/>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F6BF6-A611-4891-A0B0-2705877FFC23}">
  <sheetPr codeName="Sheet2"/>
  <dimension ref="A1:K256"/>
  <sheetViews>
    <sheetView zoomScaleNormal="100" workbookViewId="0">
      <pane ySplit="1" topLeftCell="A85" activePane="bottomLeft" state="frozen"/>
      <selection pane="bottomLeft" activeCell="H132" sqref="H132"/>
    </sheetView>
  </sheetViews>
  <sheetFormatPr defaultColWidth="15.375" defaultRowHeight="13.5" zeroHeight="1"/>
  <cols>
    <col min="1" max="1" width="10.375" style="174" customWidth="1"/>
    <col min="2" max="2" width="12.75" bestFit="1" customWidth="1"/>
    <col min="3" max="3" width="14.125" style="173" bestFit="1" customWidth="1"/>
    <col min="4" max="4" width="15.625" style="173" bestFit="1" customWidth="1"/>
    <col min="5" max="5" width="9.125" style="173" bestFit="1" customWidth="1"/>
    <col min="6" max="6" width="36.625" style="173" bestFit="1" customWidth="1"/>
    <col min="7" max="7" width="28" style="173" bestFit="1" customWidth="1"/>
    <col min="8" max="8" width="9.5" style="178" bestFit="1" customWidth="1"/>
    <col min="9" max="9" width="11.5" bestFit="1" customWidth="1"/>
    <col min="10" max="10" width="66.375" bestFit="1" customWidth="1"/>
    <col min="11" max="11" width="26.75" customWidth="1"/>
  </cols>
  <sheetData>
    <row r="1" spans="1:10">
      <c r="A1" s="172" t="s">
        <v>1</v>
      </c>
      <c r="B1" t="s">
        <v>251</v>
      </c>
      <c r="C1" s="173" t="s">
        <v>1175</v>
      </c>
      <c r="D1" s="173" t="s">
        <v>2099</v>
      </c>
      <c r="E1" s="173" t="s">
        <v>1375</v>
      </c>
      <c r="F1" s="173" t="s">
        <v>1374</v>
      </c>
      <c r="G1" s="173" t="s">
        <v>2</v>
      </c>
      <c r="H1" s="177" t="s">
        <v>4</v>
      </c>
      <c r="I1" t="s">
        <v>1288</v>
      </c>
      <c r="J1" t="s">
        <v>5</v>
      </c>
    </row>
    <row r="2" spans="1:10" hidden="1">
      <c r="A2" s="174" t="s">
        <v>6</v>
      </c>
      <c r="B2" t="s">
        <v>8</v>
      </c>
      <c r="C2" s="173" t="s">
        <v>1372</v>
      </c>
      <c r="E2" s="173" t="s">
        <v>1376</v>
      </c>
      <c r="F2" s="173" t="s">
        <v>1377</v>
      </c>
      <c r="G2" s="173" t="s">
        <v>7</v>
      </c>
      <c r="H2" s="178">
        <f>_xlfn.XLOOKUP(B2&amp;"-00",改定!N:N,改定!E:E)</f>
        <v>0</v>
      </c>
      <c r="J2" t="s">
        <v>9</v>
      </c>
    </row>
    <row r="3" spans="1:10" hidden="1">
      <c r="A3" s="174" t="s">
        <v>10</v>
      </c>
      <c r="B3" t="s">
        <v>12</v>
      </c>
      <c r="C3" s="173" t="s">
        <v>1372</v>
      </c>
      <c r="E3" s="173" t="s">
        <v>1376</v>
      </c>
      <c r="F3" s="173" t="s">
        <v>1837</v>
      </c>
      <c r="G3" s="173" t="s">
        <v>11</v>
      </c>
      <c r="H3" s="178">
        <f>_xlfn.XLOOKUP(B3&amp;"-00",改定!N:N,改定!E:E)</f>
        <v>33457</v>
      </c>
      <c r="J3" t="s">
        <v>13</v>
      </c>
    </row>
    <row r="4" spans="1:10" hidden="1">
      <c r="A4" s="174" t="s">
        <v>10</v>
      </c>
      <c r="B4" t="s">
        <v>14</v>
      </c>
      <c r="C4" s="173" t="s">
        <v>1372</v>
      </c>
      <c r="E4" s="173" t="s">
        <v>1376</v>
      </c>
      <c r="F4" s="173" t="s">
        <v>1838</v>
      </c>
      <c r="H4" s="178" t="str">
        <f>_xlfn.XLOOKUP(B4&amp;"-00",改定!N:N,改定!E:E)</f>
        <v>B001137</v>
      </c>
      <c r="J4" t="s">
        <v>16</v>
      </c>
    </row>
    <row r="5" spans="1:10" hidden="1">
      <c r="A5" s="174" t="s">
        <v>10</v>
      </c>
      <c r="B5" t="s">
        <v>17</v>
      </c>
      <c r="C5" s="173" t="s">
        <v>1372</v>
      </c>
      <c r="E5" s="173" t="s">
        <v>1376</v>
      </c>
      <c r="F5" s="173" t="s">
        <v>1837</v>
      </c>
      <c r="H5" s="178" t="str">
        <f>_xlfn.XLOOKUP(B5&amp;"-00",改定!N:N,改定!E:E)</f>
        <v>M001181</v>
      </c>
      <c r="J5" t="s">
        <v>13</v>
      </c>
    </row>
    <row r="6" spans="1:10" hidden="1">
      <c r="A6" s="174" t="s">
        <v>10</v>
      </c>
      <c r="B6" t="s">
        <v>18</v>
      </c>
      <c r="C6" s="173" t="s">
        <v>1372</v>
      </c>
      <c r="E6" s="173" t="s">
        <v>1376</v>
      </c>
      <c r="F6" s="173" t="s">
        <v>1838</v>
      </c>
      <c r="H6" s="178" t="str">
        <f>_xlfn.XLOOKUP(B6&amp;"-00",改定!N:N,改定!E:E)</f>
        <v>M001181</v>
      </c>
      <c r="J6" t="s">
        <v>16</v>
      </c>
    </row>
    <row r="7" spans="1:10" hidden="1">
      <c r="A7" s="174" t="s">
        <v>6</v>
      </c>
      <c r="B7" t="s">
        <v>19</v>
      </c>
      <c r="C7" s="173" t="s">
        <v>1372</v>
      </c>
      <c r="E7" s="173" t="s">
        <v>1376</v>
      </c>
      <c r="F7" s="173" t="s">
        <v>1837</v>
      </c>
      <c r="H7" s="178">
        <f>_xlfn.XLOOKUP(B7&amp;"-00",改定!N:N,改定!E:E)</f>
        <v>49074</v>
      </c>
      <c r="J7" t="s">
        <v>20</v>
      </c>
    </row>
    <row r="8" spans="1:10" hidden="1">
      <c r="A8" s="174" t="s">
        <v>6</v>
      </c>
      <c r="B8" t="s">
        <v>21</v>
      </c>
      <c r="C8" s="173" t="s">
        <v>1372</v>
      </c>
      <c r="E8" s="173" t="s">
        <v>1376</v>
      </c>
      <c r="F8" s="173" t="s">
        <v>1838</v>
      </c>
      <c r="H8" s="178">
        <f>_xlfn.XLOOKUP(B8&amp;"-00",改定!N:N,改定!E:E)</f>
        <v>49074</v>
      </c>
      <c r="J8" t="s">
        <v>22</v>
      </c>
    </row>
    <row r="9" spans="1:10" hidden="1">
      <c r="A9" s="174" t="s">
        <v>6</v>
      </c>
      <c r="B9" t="s">
        <v>23</v>
      </c>
      <c r="C9" s="173" t="s">
        <v>1372</v>
      </c>
      <c r="E9" s="173" t="s">
        <v>1376</v>
      </c>
      <c r="F9" s="173" t="s">
        <v>1838</v>
      </c>
      <c r="H9" s="178">
        <f>_xlfn.XLOOKUP(B9&amp;"-00",改定!N:N,改定!E:E)</f>
        <v>43314</v>
      </c>
      <c r="J9" t="s">
        <v>24</v>
      </c>
    </row>
    <row r="10" spans="1:10" hidden="1">
      <c r="A10" s="174" t="s">
        <v>6</v>
      </c>
      <c r="B10" t="s">
        <v>25</v>
      </c>
      <c r="C10" s="173" t="s">
        <v>1372</v>
      </c>
      <c r="E10" s="173" t="s">
        <v>1376</v>
      </c>
      <c r="F10" s="173" t="s">
        <v>1838</v>
      </c>
      <c r="H10" s="178">
        <f>_xlfn.XLOOKUP(B10&amp;"-00",改定!N:N,改定!E:E)</f>
        <v>48731</v>
      </c>
      <c r="J10" t="s">
        <v>26</v>
      </c>
    </row>
    <row r="11" spans="1:10" hidden="1">
      <c r="B11" t="s">
        <v>1916</v>
      </c>
      <c r="C11" s="173" t="s">
        <v>1372</v>
      </c>
      <c r="E11" s="173" t="s">
        <v>1378</v>
      </c>
      <c r="F11" s="173" t="s">
        <v>1917</v>
      </c>
      <c r="G11" s="173" t="s">
        <v>1920</v>
      </c>
      <c r="H11" s="178" t="str">
        <f>_xlfn.XLOOKUP(B11&amp;"-00",改定!N:N,改定!E:E)</f>
        <v>62602</v>
      </c>
      <c r="J11" t="s">
        <v>1381</v>
      </c>
    </row>
    <row r="12" spans="1:10" hidden="1">
      <c r="B12" t="s">
        <v>1369</v>
      </c>
      <c r="C12" s="173" t="s">
        <v>1372</v>
      </c>
      <c r="E12" s="173" t="s">
        <v>1378</v>
      </c>
      <c r="F12" s="173" t="s">
        <v>1917</v>
      </c>
      <c r="H12" s="178" t="str">
        <f>_xlfn.XLOOKUP(B12&amp;"-00",改定!N:N,改定!E:E)</f>
        <v>B008955</v>
      </c>
      <c r="J12" t="s">
        <v>1382</v>
      </c>
    </row>
    <row r="13" spans="1:10" hidden="1">
      <c r="B13" t="s">
        <v>1370</v>
      </c>
      <c r="C13" s="173" t="s">
        <v>1372</v>
      </c>
      <c r="E13" s="173" t="s">
        <v>1378</v>
      </c>
      <c r="F13" s="173" t="s">
        <v>1961</v>
      </c>
      <c r="H13" s="178" t="str">
        <f>_xlfn.XLOOKUP(B13&amp;"-00",改定!N:N,改定!E:E)</f>
        <v>63034</v>
      </c>
      <c r="J13" t="s">
        <v>1371</v>
      </c>
    </row>
    <row r="14" spans="1:10" hidden="1">
      <c r="B14" t="s">
        <v>1383</v>
      </c>
      <c r="C14" s="173" t="s">
        <v>1372</v>
      </c>
      <c r="E14" s="173" t="s">
        <v>1378</v>
      </c>
      <c r="F14" s="173" t="s">
        <v>1396</v>
      </c>
      <c r="G14" s="173" t="s">
        <v>1384</v>
      </c>
      <c r="H14" s="178" t="str">
        <f>_xlfn.XLOOKUP(B14&amp;"-00",改定!N:N,改定!E:E)</f>
        <v>B009385</v>
      </c>
      <c r="J14" t="s">
        <v>1385</v>
      </c>
    </row>
    <row r="15" spans="1:10" hidden="1">
      <c r="A15" s="174" t="s">
        <v>10</v>
      </c>
      <c r="B15" t="s">
        <v>28</v>
      </c>
      <c r="C15" s="173" t="s">
        <v>1373</v>
      </c>
      <c r="D15" s="173" t="s">
        <v>2101</v>
      </c>
      <c r="E15" s="173" t="s">
        <v>1376</v>
      </c>
      <c r="G15" s="173" t="s">
        <v>27</v>
      </c>
      <c r="H15" s="178">
        <f>_xlfn.XLOOKUP(B15&amp;"-00",改定!N:N,改定!E:E)</f>
        <v>40538</v>
      </c>
      <c r="J15" t="s">
        <v>29</v>
      </c>
    </row>
    <row r="16" spans="1:10" hidden="1">
      <c r="A16" s="174" t="s">
        <v>10</v>
      </c>
      <c r="B16" t="s">
        <v>30</v>
      </c>
      <c r="C16" s="173" t="s">
        <v>1373</v>
      </c>
      <c r="D16" s="173" t="s">
        <v>2101</v>
      </c>
      <c r="E16" s="173" t="s">
        <v>1376</v>
      </c>
      <c r="G16" s="173" t="s">
        <v>27</v>
      </c>
      <c r="H16" s="178">
        <f>_xlfn.XLOOKUP(B16&amp;"-00",改定!N:N,改定!E:E)</f>
        <v>46235</v>
      </c>
      <c r="J16" t="s">
        <v>31</v>
      </c>
    </row>
    <row r="17" spans="1:10" hidden="1">
      <c r="A17" s="174" t="s">
        <v>10</v>
      </c>
      <c r="B17" t="s">
        <v>32</v>
      </c>
      <c r="C17" s="173" t="s">
        <v>1373</v>
      </c>
      <c r="D17" s="173" t="s">
        <v>2101</v>
      </c>
      <c r="E17" s="173" t="s">
        <v>1376</v>
      </c>
      <c r="G17" s="173" t="s">
        <v>27</v>
      </c>
      <c r="H17" s="178">
        <f>_xlfn.XLOOKUP(B17&amp;"-00",改定!N:N,改定!E:E)</f>
        <v>46656</v>
      </c>
      <c r="J17" t="s">
        <v>33</v>
      </c>
    </row>
    <row r="18" spans="1:10" hidden="1">
      <c r="A18" s="174" t="s">
        <v>6</v>
      </c>
      <c r="B18" t="s">
        <v>34</v>
      </c>
      <c r="C18" s="173" t="s">
        <v>1373</v>
      </c>
      <c r="D18" s="173" t="s">
        <v>2101</v>
      </c>
      <c r="E18" s="173" t="s">
        <v>1376</v>
      </c>
      <c r="G18" s="173" t="s">
        <v>27</v>
      </c>
      <c r="H18" s="178">
        <f>_xlfn.XLOOKUP(B18&amp;"-00",改定!N:N,改定!E:E)</f>
        <v>49584</v>
      </c>
      <c r="J18" t="s">
        <v>35</v>
      </c>
    </row>
    <row r="19" spans="1:10" hidden="1">
      <c r="A19" s="174" t="s">
        <v>10</v>
      </c>
      <c r="B19" t="s">
        <v>37</v>
      </c>
      <c r="C19" s="173" t="s">
        <v>1373</v>
      </c>
      <c r="D19" s="173" t="s">
        <v>2101</v>
      </c>
      <c r="E19" s="173" t="s">
        <v>1376</v>
      </c>
      <c r="G19" s="173" t="s">
        <v>36</v>
      </c>
      <c r="H19" s="178">
        <f>_xlfn.XLOOKUP(B19&amp;"-00",改定!N:N,改定!E:E)</f>
        <v>48185</v>
      </c>
      <c r="J19" t="s">
        <v>38</v>
      </c>
    </row>
    <row r="20" spans="1:10" hidden="1">
      <c r="A20" s="174" t="s">
        <v>10</v>
      </c>
      <c r="B20" t="s">
        <v>39</v>
      </c>
      <c r="C20" s="173" t="s">
        <v>1373</v>
      </c>
      <c r="D20" s="173" t="s">
        <v>2101</v>
      </c>
      <c r="E20" s="173" t="s">
        <v>1376</v>
      </c>
      <c r="G20" s="173" t="s">
        <v>36</v>
      </c>
      <c r="H20" s="178">
        <f>_xlfn.XLOOKUP(B20&amp;"-00",改定!N:N,改定!E:E)</f>
        <v>52642</v>
      </c>
      <c r="J20" t="s">
        <v>40</v>
      </c>
    </row>
    <row r="21" spans="1:10" hidden="1">
      <c r="A21" s="174" t="s">
        <v>6</v>
      </c>
      <c r="B21" t="s">
        <v>41</v>
      </c>
      <c r="C21" s="173" t="s">
        <v>1373</v>
      </c>
      <c r="D21" s="173" t="s">
        <v>2101</v>
      </c>
      <c r="E21" s="173" t="s">
        <v>1376</v>
      </c>
      <c r="G21" s="173" t="s">
        <v>36</v>
      </c>
      <c r="H21" s="178">
        <f>_xlfn.XLOOKUP(B21&amp;"-00",改定!N:N,改定!E:E)</f>
        <v>61312</v>
      </c>
      <c r="J21" t="s">
        <v>42</v>
      </c>
    </row>
    <row r="22" spans="1:10" hidden="1">
      <c r="A22" s="174" t="s">
        <v>10</v>
      </c>
      <c r="B22" t="s">
        <v>44</v>
      </c>
      <c r="C22" s="173" t="s">
        <v>1373</v>
      </c>
      <c r="D22" s="173" t="s">
        <v>2101</v>
      </c>
      <c r="E22" s="173" t="s">
        <v>1376</v>
      </c>
      <c r="G22" s="173" t="s">
        <v>43</v>
      </c>
      <c r="H22" s="178">
        <f>_xlfn.XLOOKUP(B22&amp;"-00",改定!N:N,改定!E:E)</f>
        <v>42160</v>
      </c>
      <c r="J22" t="s">
        <v>29</v>
      </c>
    </row>
    <row r="23" spans="1:10" hidden="1">
      <c r="A23" s="174" t="s">
        <v>6</v>
      </c>
      <c r="B23" t="s">
        <v>46</v>
      </c>
      <c r="C23" s="173" t="s">
        <v>1373</v>
      </c>
      <c r="D23" s="173" t="s">
        <v>2101</v>
      </c>
      <c r="E23" s="173" t="s">
        <v>1376</v>
      </c>
      <c r="G23" s="173" t="s">
        <v>45</v>
      </c>
      <c r="H23" s="178">
        <f>_xlfn.XLOOKUP(B23&amp;"-00",改定!N:N,改定!E:E)</f>
        <v>45524</v>
      </c>
      <c r="J23" t="s">
        <v>29</v>
      </c>
    </row>
    <row r="24" spans="1:10" hidden="1">
      <c r="A24" s="174" t="s">
        <v>49</v>
      </c>
      <c r="B24" t="s">
        <v>51</v>
      </c>
      <c r="C24" s="173" t="s">
        <v>1373</v>
      </c>
      <c r="D24" s="173" t="s">
        <v>2101</v>
      </c>
      <c r="E24" s="173" t="s">
        <v>1376</v>
      </c>
      <c r="G24" s="173" t="s">
        <v>50</v>
      </c>
      <c r="H24" s="178">
        <f>_xlfn.XLOOKUP(B24&amp;"-00",改定!N:N,改定!E:E)</f>
        <v>49026</v>
      </c>
      <c r="J24" t="s">
        <v>29</v>
      </c>
    </row>
    <row r="25" spans="1:10" hidden="1">
      <c r="A25" s="174" t="s">
        <v>10</v>
      </c>
      <c r="B25" t="s">
        <v>53</v>
      </c>
      <c r="C25" s="173" t="s">
        <v>1373</v>
      </c>
      <c r="D25" s="173" t="s">
        <v>2101</v>
      </c>
      <c r="E25" s="173" t="s">
        <v>1376</v>
      </c>
      <c r="G25" s="173" t="s">
        <v>52</v>
      </c>
      <c r="H25" s="178">
        <f>_xlfn.XLOOKUP(B25&amp;"-00",改定!N:N,改定!E:E)</f>
        <v>41019</v>
      </c>
      <c r="J25" t="s">
        <v>54</v>
      </c>
    </row>
    <row r="26" spans="1:10" hidden="1">
      <c r="A26" s="174" t="s">
        <v>10</v>
      </c>
      <c r="B26" t="s">
        <v>55</v>
      </c>
      <c r="C26" s="173" t="s">
        <v>1373</v>
      </c>
      <c r="D26" s="173" t="s">
        <v>2101</v>
      </c>
      <c r="E26" s="173" t="s">
        <v>1376</v>
      </c>
      <c r="G26" s="173" t="s">
        <v>52</v>
      </c>
      <c r="H26" s="178">
        <f>_xlfn.XLOOKUP(B26&amp;"-00",改定!N:N,改定!E:E)</f>
        <v>42834</v>
      </c>
      <c r="J26" t="s">
        <v>31</v>
      </c>
    </row>
    <row r="27" spans="1:10" hidden="1">
      <c r="A27" s="174" t="s">
        <v>10</v>
      </c>
      <c r="B27" t="s">
        <v>58</v>
      </c>
      <c r="C27" s="173" t="s">
        <v>1373</v>
      </c>
      <c r="D27" s="173" t="s">
        <v>2101</v>
      </c>
      <c r="E27" s="173" t="s">
        <v>1376</v>
      </c>
      <c r="G27" s="173" t="s">
        <v>52</v>
      </c>
      <c r="H27" s="178">
        <f>_xlfn.XLOOKUP(B27&amp;"-00",改定!N:N,改定!E:E)</f>
        <v>41330</v>
      </c>
      <c r="J27" t="s">
        <v>59</v>
      </c>
    </row>
    <row r="28" spans="1:10" hidden="1">
      <c r="A28" s="174" t="s">
        <v>65</v>
      </c>
      <c r="B28" t="s">
        <v>66</v>
      </c>
      <c r="C28" s="173" t="s">
        <v>1373</v>
      </c>
      <c r="D28" s="173" t="s">
        <v>2101</v>
      </c>
      <c r="E28" s="173" t="s">
        <v>1376</v>
      </c>
      <c r="G28" s="173" t="s">
        <v>52</v>
      </c>
      <c r="H28" s="178">
        <f>_xlfn.XLOOKUP(B28&amp;"-00",改定!N:N,改定!E:E)</f>
        <v>50770</v>
      </c>
      <c r="J28" t="s">
        <v>67</v>
      </c>
    </row>
    <row r="29" spans="1:10" hidden="1">
      <c r="A29" s="174" t="s">
        <v>10</v>
      </c>
      <c r="B29" t="s">
        <v>69</v>
      </c>
      <c r="C29" s="173" t="s">
        <v>1373</v>
      </c>
      <c r="D29" s="173" t="s">
        <v>2101</v>
      </c>
      <c r="E29" s="173" t="s">
        <v>1376</v>
      </c>
      <c r="G29" s="173" t="s">
        <v>68</v>
      </c>
      <c r="H29" s="178">
        <f>_xlfn.XLOOKUP(B29&amp;"-00",改定!N:N,改定!E:E)</f>
        <v>43315</v>
      </c>
      <c r="J29" t="s">
        <v>29</v>
      </c>
    </row>
    <row r="30" spans="1:10" hidden="1">
      <c r="A30" s="174" t="s">
        <v>10</v>
      </c>
      <c r="B30" t="s">
        <v>71</v>
      </c>
      <c r="C30" s="173" t="s">
        <v>1373</v>
      </c>
      <c r="D30" s="173" t="s">
        <v>2101</v>
      </c>
      <c r="E30" s="173" t="s">
        <v>1376</v>
      </c>
      <c r="G30" s="173" t="s">
        <v>70</v>
      </c>
      <c r="H30" s="178">
        <f>_xlfn.XLOOKUP(B30&amp;"-00",改定!N:N,改定!E:E)</f>
        <v>46309</v>
      </c>
      <c r="J30" t="s">
        <v>72</v>
      </c>
    </row>
    <row r="31" spans="1:10" hidden="1">
      <c r="A31" s="174" t="s">
        <v>10</v>
      </c>
      <c r="B31" t="s">
        <v>73</v>
      </c>
      <c r="C31" s="173" t="s">
        <v>1373</v>
      </c>
      <c r="D31" s="173" t="s">
        <v>2101</v>
      </c>
      <c r="E31" s="173" t="s">
        <v>1376</v>
      </c>
      <c r="G31" s="173" t="s">
        <v>70</v>
      </c>
      <c r="H31" s="178">
        <f>_xlfn.XLOOKUP(B31&amp;"-00",改定!N:N,改定!E:E)</f>
        <v>49525</v>
      </c>
      <c r="J31" t="s">
        <v>74</v>
      </c>
    </row>
    <row r="32" spans="1:10" hidden="1">
      <c r="A32" s="174" t="s">
        <v>10</v>
      </c>
      <c r="B32" t="s">
        <v>75</v>
      </c>
      <c r="C32" s="173" t="s">
        <v>1373</v>
      </c>
      <c r="D32" s="173" t="s">
        <v>2101</v>
      </c>
      <c r="E32" s="173" t="s">
        <v>1376</v>
      </c>
      <c r="G32" s="173" t="s">
        <v>70</v>
      </c>
      <c r="H32" s="178">
        <f>_xlfn.XLOOKUP(B32&amp;"-00",改定!N:N,改定!E:E)</f>
        <v>51075</v>
      </c>
      <c r="J32" t="s">
        <v>76</v>
      </c>
    </row>
    <row r="33" spans="1:11" hidden="1">
      <c r="A33" s="174" t="s">
        <v>6</v>
      </c>
      <c r="B33" t="s">
        <v>77</v>
      </c>
      <c r="C33" s="173" t="s">
        <v>1373</v>
      </c>
      <c r="D33" s="173" t="s">
        <v>2101</v>
      </c>
      <c r="E33" s="173" t="s">
        <v>1376</v>
      </c>
      <c r="G33" s="173" t="s">
        <v>70</v>
      </c>
      <c r="H33" s="178">
        <f>_xlfn.XLOOKUP(B33&amp;"-00",改定!N:N,改定!E:E)</f>
        <v>43315</v>
      </c>
      <c r="J33" t="s">
        <v>78</v>
      </c>
    </row>
    <row r="34" spans="1:11" hidden="1">
      <c r="A34" s="174" t="s">
        <v>10</v>
      </c>
      <c r="B34" t="s">
        <v>80</v>
      </c>
      <c r="C34" s="173" t="s">
        <v>1373</v>
      </c>
      <c r="D34" s="173" t="s">
        <v>2101</v>
      </c>
      <c r="E34" s="173" t="s">
        <v>1376</v>
      </c>
      <c r="G34" s="173" t="s">
        <v>79</v>
      </c>
      <c r="H34" s="178">
        <f>_xlfn.XLOOKUP(B34&amp;"-00",改定!N:N,改定!E:E)</f>
        <v>41229</v>
      </c>
      <c r="J34" t="s">
        <v>29</v>
      </c>
    </row>
    <row r="35" spans="1:11" hidden="1">
      <c r="A35" s="174" t="s">
        <v>10</v>
      </c>
      <c r="B35" t="s">
        <v>81</v>
      </c>
      <c r="C35" s="173" t="s">
        <v>1373</v>
      </c>
      <c r="D35" s="173" t="s">
        <v>2101</v>
      </c>
      <c r="E35" s="173" t="s">
        <v>1376</v>
      </c>
      <c r="G35" s="173" t="s">
        <v>79</v>
      </c>
      <c r="H35" s="178">
        <f>_xlfn.XLOOKUP(B35&amp;"-00",改定!N:N,改定!E:E)</f>
        <v>46010</v>
      </c>
      <c r="J35" t="s">
        <v>82</v>
      </c>
      <c r="K35" t="s">
        <v>83</v>
      </c>
    </row>
    <row r="36" spans="1:11" hidden="1">
      <c r="A36" s="174" t="s">
        <v>10</v>
      </c>
      <c r="B36" t="s">
        <v>84</v>
      </c>
      <c r="C36" s="173" t="s">
        <v>1373</v>
      </c>
      <c r="D36" s="173" t="s">
        <v>2101</v>
      </c>
      <c r="E36" s="173" t="s">
        <v>1376</v>
      </c>
      <c r="G36" s="173" t="s">
        <v>79</v>
      </c>
      <c r="H36" s="178">
        <f>_xlfn.XLOOKUP(B36&amp;"-00",改定!N:N,改定!E:E)</f>
        <v>46104</v>
      </c>
      <c r="J36" t="s">
        <v>31</v>
      </c>
      <c r="K36" t="s">
        <v>85</v>
      </c>
    </row>
    <row r="37" spans="1:11" hidden="1">
      <c r="A37" s="174" t="s">
        <v>10</v>
      </c>
      <c r="B37" t="s">
        <v>86</v>
      </c>
      <c r="C37" s="173" t="s">
        <v>1373</v>
      </c>
      <c r="D37" s="173" t="s">
        <v>2101</v>
      </c>
      <c r="E37" s="173" t="s">
        <v>1376</v>
      </c>
      <c r="G37" s="173" t="s">
        <v>79</v>
      </c>
      <c r="H37" s="178">
        <f>_xlfn.XLOOKUP(B37&amp;"-00",改定!N:N,改定!E:E)</f>
        <v>49650</v>
      </c>
      <c r="J37" t="s">
        <v>87</v>
      </c>
    </row>
    <row r="38" spans="1:11" hidden="1">
      <c r="A38" s="174" t="s">
        <v>6</v>
      </c>
      <c r="B38" t="s">
        <v>88</v>
      </c>
      <c r="C38" s="173" t="s">
        <v>1373</v>
      </c>
      <c r="D38" s="173" t="s">
        <v>2101</v>
      </c>
      <c r="E38" s="173" t="s">
        <v>1376</v>
      </c>
      <c r="G38" s="173" t="s">
        <v>79</v>
      </c>
      <c r="H38" s="178">
        <f>_xlfn.XLOOKUP(B38&amp;"-00",改定!N:N,改定!E:E)</f>
        <v>51239</v>
      </c>
      <c r="J38" t="s">
        <v>89</v>
      </c>
    </row>
    <row r="39" spans="1:11" hidden="1">
      <c r="A39" s="174" t="s">
        <v>90</v>
      </c>
      <c r="B39" t="s">
        <v>91</v>
      </c>
      <c r="C39" s="173" t="s">
        <v>1373</v>
      </c>
      <c r="D39" s="173" t="s">
        <v>2101</v>
      </c>
      <c r="E39" s="173" t="s">
        <v>1376</v>
      </c>
      <c r="G39" s="173" t="s">
        <v>79</v>
      </c>
      <c r="H39" s="178">
        <f>_xlfn.XLOOKUP(B39&amp;"-00",改定!N:N,改定!E:E)</f>
        <v>47366</v>
      </c>
      <c r="J39" t="s">
        <v>92</v>
      </c>
    </row>
    <row r="40" spans="1:11" hidden="1">
      <c r="A40" s="174" t="s">
        <v>90</v>
      </c>
      <c r="B40" t="s">
        <v>93</v>
      </c>
      <c r="C40" s="173" t="s">
        <v>1373</v>
      </c>
      <c r="D40" s="173" t="s">
        <v>2101</v>
      </c>
      <c r="E40" s="173" t="s">
        <v>1376</v>
      </c>
      <c r="G40" s="173" t="s">
        <v>79</v>
      </c>
      <c r="H40" s="178">
        <f>_xlfn.XLOOKUP(B40&amp;"-00",改定!N:N,改定!E:E)</f>
        <v>47366</v>
      </c>
      <c r="J40" t="s">
        <v>94</v>
      </c>
    </row>
    <row r="41" spans="1:11" hidden="1">
      <c r="A41" s="174" t="s">
        <v>90</v>
      </c>
      <c r="B41" t="s">
        <v>95</v>
      </c>
      <c r="C41" s="173" t="s">
        <v>1373</v>
      </c>
      <c r="D41" s="173" t="s">
        <v>2101</v>
      </c>
      <c r="E41" s="173" t="s">
        <v>1376</v>
      </c>
      <c r="G41" s="173" t="s">
        <v>79</v>
      </c>
      <c r="H41" s="178">
        <f>_xlfn.XLOOKUP(B41&amp;"-00",改定!N:N,改定!E:E)</f>
        <v>49853</v>
      </c>
      <c r="J41" t="s">
        <v>96</v>
      </c>
    </row>
    <row r="42" spans="1:11" hidden="1">
      <c r="A42" s="174" t="s">
        <v>90</v>
      </c>
      <c r="B42" t="s">
        <v>97</v>
      </c>
      <c r="C42" s="173" t="s">
        <v>1373</v>
      </c>
      <c r="D42" s="173" t="s">
        <v>2101</v>
      </c>
      <c r="E42" s="173" t="s">
        <v>1376</v>
      </c>
      <c r="G42" s="173" t="s">
        <v>79</v>
      </c>
      <c r="H42" s="178">
        <f>_xlfn.XLOOKUP(B42&amp;"-00",改定!N:N,改定!E:E)</f>
        <v>49853</v>
      </c>
      <c r="J42" t="s">
        <v>98</v>
      </c>
    </row>
    <row r="43" spans="1:11" hidden="1">
      <c r="A43" s="174" t="s">
        <v>6</v>
      </c>
      <c r="B43" t="s">
        <v>1273</v>
      </c>
      <c r="C43" s="173" t="s">
        <v>1373</v>
      </c>
      <c r="D43" s="173" t="s">
        <v>2101</v>
      </c>
      <c r="E43" s="173" t="s">
        <v>1376</v>
      </c>
      <c r="G43" s="173" t="s">
        <v>498</v>
      </c>
      <c r="H43" s="178">
        <f>_xlfn.XLOOKUP(B43&amp;"-00",改定!N:N,改定!E:E)</f>
        <v>62636</v>
      </c>
      <c r="I43" t="s">
        <v>1289</v>
      </c>
      <c r="J43" t="s">
        <v>1274</v>
      </c>
    </row>
    <row r="44" spans="1:11" hidden="1">
      <c r="A44" s="174" t="s">
        <v>6</v>
      </c>
      <c r="B44" t="s">
        <v>100</v>
      </c>
      <c r="C44" s="173" t="s">
        <v>1373</v>
      </c>
      <c r="D44" s="173" t="s">
        <v>2101</v>
      </c>
      <c r="E44" s="173" t="s">
        <v>1376</v>
      </c>
      <c r="G44" s="173" t="s">
        <v>99</v>
      </c>
      <c r="H44" s="178">
        <f>_xlfn.XLOOKUP(B44&amp;"-00",改定!N:N,改定!E:E)</f>
        <v>49039</v>
      </c>
      <c r="J44" t="s">
        <v>101</v>
      </c>
    </row>
    <row r="45" spans="1:11" hidden="1">
      <c r="A45" s="174" t="s">
        <v>6</v>
      </c>
      <c r="B45" t="s">
        <v>102</v>
      </c>
      <c r="C45" s="173" t="s">
        <v>1373</v>
      </c>
      <c r="D45" s="173" t="s">
        <v>2101</v>
      </c>
      <c r="E45" s="173" t="s">
        <v>1376</v>
      </c>
      <c r="G45" s="173" t="s">
        <v>99</v>
      </c>
      <c r="H45" s="178">
        <f>_xlfn.XLOOKUP(B45&amp;"-00",改定!N:N,改定!E:E)</f>
        <v>51282</v>
      </c>
      <c r="J45" t="s">
        <v>103</v>
      </c>
    </row>
    <row r="46" spans="1:11" hidden="1">
      <c r="A46" s="174" t="s">
        <v>10</v>
      </c>
      <c r="B46" t="s">
        <v>105</v>
      </c>
      <c r="C46" s="173" t="s">
        <v>1373</v>
      </c>
      <c r="D46" s="173" t="s">
        <v>2101</v>
      </c>
      <c r="E46" s="173" t="s">
        <v>1376</v>
      </c>
      <c r="G46" s="173" t="s">
        <v>104</v>
      </c>
      <c r="H46" s="178">
        <f>_xlfn.XLOOKUP(B46&amp;"-00",改定!N:N,改定!E:E)</f>
        <v>42074</v>
      </c>
      <c r="J46" t="s">
        <v>106</v>
      </c>
    </row>
    <row r="47" spans="1:11" hidden="1">
      <c r="A47" s="174" t="s">
        <v>10</v>
      </c>
      <c r="B47" t="s">
        <v>107</v>
      </c>
      <c r="C47" s="173" t="s">
        <v>1373</v>
      </c>
      <c r="D47" s="173" t="s">
        <v>2101</v>
      </c>
      <c r="E47" s="173" t="s">
        <v>1376</v>
      </c>
      <c r="G47" s="173" t="s">
        <v>104</v>
      </c>
      <c r="H47" s="178">
        <f>_xlfn.XLOOKUP(B47&amp;"-00",改定!N:N,改定!E:E)</f>
        <v>42834</v>
      </c>
      <c r="J47" t="s">
        <v>106</v>
      </c>
    </row>
    <row r="48" spans="1:11" hidden="1">
      <c r="A48" s="174" t="s">
        <v>10</v>
      </c>
      <c r="B48" t="s">
        <v>108</v>
      </c>
      <c r="C48" s="173" t="s">
        <v>1373</v>
      </c>
      <c r="D48" s="173" t="s">
        <v>2101</v>
      </c>
      <c r="E48" s="173" t="s">
        <v>1376</v>
      </c>
      <c r="G48" s="173" t="s">
        <v>104</v>
      </c>
      <c r="H48" s="178">
        <f>_xlfn.XLOOKUP(B48&amp;"-00",改定!N:N,改定!E:E)</f>
        <v>42980</v>
      </c>
      <c r="J48" t="s">
        <v>109</v>
      </c>
    </row>
    <row r="49" spans="1:10" hidden="1">
      <c r="A49" s="174" t="s">
        <v>10</v>
      </c>
      <c r="B49" t="s">
        <v>111</v>
      </c>
      <c r="C49" s="173" t="s">
        <v>1373</v>
      </c>
      <c r="D49" s="173" t="s">
        <v>2101</v>
      </c>
      <c r="E49" s="173" t="s">
        <v>1376</v>
      </c>
      <c r="G49" s="173" t="s">
        <v>110</v>
      </c>
      <c r="H49" s="178">
        <f>_xlfn.XLOOKUP(B49&amp;"-00",改定!N:N,改定!E:E)</f>
        <v>40000</v>
      </c>
      <c r="J49" t="s">
        <v>106</v>
      </c>
    </row>
    <row r="50" spans="1:10" hidden="1">
      <c r="A50" s="174" t="s">
        <v>10</v>
      </c>
      <c r="B50" t="s">
        <v>112</v>
      </c>
      <c r="C50" s="173" t="s">
        <v>1373</v>
      </c>
      <c r="D50" s="173" t="s">
        <v>2101</v>
      </c>
      <c r="E50" s="173" t="s">
        <v>1376</v>
      </c>
      <c r="G50" s="173" t="s">
        <v>110</v>
      </c>
      <c r="H50" s="178">
        <f>_xlfn.XLOOKUP(B50&amp;"-00",改定!N:N,改定!E:E)</f>
        <v>42834</v>
      </c>
      <c r="J50" t="s">
        <v>106</v>
      </c>
    </row>
    <row r="51" spans="1:10" hidden="1">
      <c r="A51" s="174" t="s">
        <v>10</v>
      </c>
      <c r="B51" t="s">
        <v>114</v>
      </c>
      <c r="C51" s="173" t="s">
        <v>1373</v>
      </c>
      <c r="D51" s="173" t="s">
        <v>2101</v>
      </c>
      <c r="E51" s="173" t="s">
        <v>1376</v>
      </c>
      <c r="G51" s="173" t="s">
        <v>113</v>
      </c>
      <c r="H51" s="178">
        <f>_xlfn.XLOOKUP(B51&amp;"-00",改定!N:N,改定!E:E)</f>
        <v>41802</v>
      </c>
    </row>
    <row r="52" spans="1:10" hidden="1">
      <c r="A52" s="174" t="s">
        <v>10</v>
      </c>
      <c r="B52" t="s">
        <v>115</v>
      </c>
      <c r="C52" s="173" t="s">
        <v>1373</v>
      </c>
      <c r="D52" s="173" t="s">
        <v>2101</v>
      </c>
      <c r="E52" s="173" t="s">
        <v>1376</v>
      </c>
      <c r="G52" s="173" t="s">
        <v>113</v>
      </c>
      <c r="H52" s="178">
        <f>_xlfn.XLOOKUP(B52&amp;"-00",改定!N:N,改定!E:E)</f>
        <v>42834</v>
      </c>
      <c r="J52" t="s">
        <v>116</v>
      </c>
    </row>
    <row r="53" spans="1:10" hidden="1">
      <c r="A53" s="174" t="s">
        <v>10</v>
      </c>
      <c r="B53" t="s">
        <v>118</v>
      </c>
      <c r="C53" s="173" t="s">
        <v>1373</v>
      </c>
      <c r="D53" s="173" t="s">
        <v>2101</v>
      </c>
      <c r="E53" s="173" t="s">
        <v>1376</v>
      </c>
      <c r="G53" s="173" t="s">
        <v>117</v>
      </c>
      <c r="H53" s="178">
        <f>_xlfn.XLOOKUP(B53&amp;"-00",改定!N:N,改定!E:E)</f>
        <v>43962</v>
      </c>
      <c r="J53" t="s">
        <v>106</v>
      </c>
    </row>
    <row r="54" spans="1:10" hidden="1">
      <c r="A54" s="174" t="s">
        <v>10</v>
      </c>
      <c r="B54" t="s">
        <v>120</v>
      </c>
      <c r="C54" s="173" t="s">
        <v>1373</v>
      </c>
      <c r="D54" s="173" t="s">
        <v>2101</v>
      </c>
      <c r="E54" s="173" t="s">
        <v>1376</v>
      </c>
      <c r="G54" s="173" t="s">
        <v>119</v>
      </c>
      <c r="H54" s="178">
        <f>_xlfn.XLOOKUP(B54&amp;"-00",改定!N:N,改定!E:E)</f>
        <v>46309</v>
      </c>
      <c r="J54" t="s">
        <v>72</v>
      </c>
    </row>
    <row r="55" spans="1:10" hidden="1">
      <c r="A55" s="174" t="s">
        <v>10</v>
      </c>
      <c r="B55" t="s">
        <v>121</v>
      </c>
      <c r="C55" s="173" t="s">
        <v>1373</v>
      </c>
      <c r="D55" s="173" t="s">
        <v>2101</v>
      </c>
      <c r="E55" s="173" t="s">
        <v>1376</v>
      </c>
      <c r="G55" s="173" t="s">
        <v>119</v>
      </c>
      <c r="H55" s="178">
        <f>_xlfn.XLOOKUP(B55&amp;"-00",改定!N:N,改定!E:E)</f>
        <v>47644</v>
      </c>
      <c r="J55" t="s">
        <v>122</v>
      </c>
    </row>
    <row r="56" spans="1:10" hidden="1">
      <c r="A56" s="174" t="s">
        <v>10</v>
      </c>
      <c r="B56" t="s">
        <v>123</v>
      </c>
      <c r="C56" s="173" t="s">
        <v>1373</v>
      </c>
      <c r="D56" s="173" t="s">
        <v>2101</v>
      </c>
      <c r="E56" s="173" t="s">
        <v>1376</v>
      </c>
      <c r="G56" s="173" t="s">
        <v>119</v>
      </c>
      <c r="H56" s="178">
        <f>_xlfn.XLOOKUP(B56&amp;"-00",改定!N:N,改定!E:E)</f>
        <v>48495</v>
      </c>
      <c r="J56" t="s">
        <v>124</v>
      </c>
    </row>
    <row r="57" spans="1:10" hidden="1">
      <c r="A57" s="174" t="s">
        <v>10</v>
      </c>
      <c r="B57" t="s">
        <v>125</v>
      </c>
      <c r="C57" s="173" t="s">
        <v>1373</v>
      </c>
      <c r="D57" s="173" t="s">
        <v>2101</v>
      </c>
      <c r="E57" s="173" t="s">
        <v>1376</v>
      </c>
      <c r="G57" s="173" t="s">
        <v>119</v>
      </c>
      <c r="H57" s="178">
        <f>_xlfn.XLOOKUP(B57&amp;"-00",改定!N:N,改定!E:E)</f>
        <v>48593</v>
      </c>
      <c r="J57" t="s">
        <v>124</v>
      </c>
    </row>
    <row r="58" spans="1:10" hidden="1">
      <c r="A58" s="174" t="s">
        <v>10</v>
      </c>
      <c r="B58" t="s">
        <v>126</v>
      </c>
      <c r="C58" s="173" t="s">
        <v>1373</v>
      </c>
      <c r="D58" s="173" t="s">
        <v>2101</v>
      </c>
      <c r="E58" s="173" t="s">
        <v>1376</v>
      </c>
      <c r="G58" s="173" t="s">
        <v>119</v>
      </c>
      <c r="H58" s="178">
        <f>_xlfn.XLOOKUP(B58&amp;"-00",改定!N:N,改定!E:E)</f>
        <v>49487</v>
      </c>
      <c r="J58" t="s">
        <v>127</v>
      </c>
    </row>
    <row r="59" spans="1:10" hidden="1">
      <c r="A59" s="174" t="s">
        <v>10</v>
      </c>
      <c r="B59" t="s">
        <v>128</v>
      </c>
      <c r="C59" s="173" t="s">
        <v>1373</v>
      </c>
      <c r="D59" s="173" t="s">
        <v>2101</v>
      </c>
      <c r="E59" s="173" t="s">
        <v>1376</v>
      </c>
      <c r="G59" s="173" t="s">
        <v>119</v>
      </c>
      <c r="H59" s="178">
        <f>_xlfn.XLOOKUP(B59&amp;"-00",改定!N:N,改定!E:E)</f>
        <v>51075</v>
      </c>
      <c r="J59" t="s">
        <v>129</v>
      </c>
    </row>
    <row r="60" spans="1:10" hidden="1">
      <c r="A60" s="174" t="s">
        <v>130</v>
      </c>
      <c r="B60" t="s">
        <v>131</v>
      </c>
      <c r="C60" s="173" t="s">
        <v>1373</v>
      </c>
      <c r="D60" s="173" t="s">
        <v>2101</v>
      </c>
      <c r="E60" s="173" t="s">
        <v>1376</v>
      </c>
      <c r="G60" s="173" t="s">
        <v>119</v>
      </c>
      <c r="H60" s="178">
        <f>_xlfn.XLOOKUP(B60&amp;"-00",改定!N:N,改定!E:E)</f>
        <v>61312</v>
      </c>
      <c r="J60" t="s">
        <v>42</v>
      </c>
    </row>
    <row r="61" spans="1:10" hidden="1">
      <c r="A61" s="174" t="s">
        <v>6</v>
      </c>
      <c r="B61" t="s">
        <v>133</v>
      </c>
      <c r="C61" s="173" t="s">
        <v>1373</v>
      </c>
      <c r="D61" s="173" t="s">
        <v>2101</v>
      </c>
      <c r="E61" s="173" t="s">
        <v>1376</v>
      </c>
      <c r="G61" s="173" t="s">
        <v>132</v>
      </c>
      <c r="H61" s="178">
        <f>_xlfn.XLOOKUP(B61&amp;"-00",改定!N:N,改定!E:E)</f>
        <v>46368</v>
      </c>
      <c r="J61" t="s">
        <v>48</v>
      </c>
    </row>
    <row r="62" spans="1:10" hidden="1">
      <c r="A62" s="174" t="s">
        <v>6</v>
      </c>
      <c r="B62" t="s">
        <v>134</v>
      </c>
      <c r="C62" s="173" t="s">
        <v>1373</v>
      </c>
      <c r="D62" s="173" t="s">
        <v>2101</v>
      </c>
      <c r="E62" s="173" t="s">
        <v>1376</v>
      </c>
      <c r="G62" s="173" t="s">
        <v>132</v>
      </c>
      <c r="H62" s="178">
        <f>_xlfn.XLOOKUP(B62&amp;"-00",改定!N:N,改定!E:E)</f>
        <v>53559</v>
      </c>
      <c r="J62" t="s">
        <v>135</v>
      </c>
    </row>
    <row r="63" spans="1:10" hidden="1">
      <c r="A63" s="174" t="s">
        <v>6</v>
      </c>
      <c r="B63" t="s">
        <v>137</v>
      </c>
      <c r="C63" s="173" t="s">
        <v>1373</v>
      </c>
      <c r="D63" s="173" t="s">
        <v>2101</v>
      </c>
      <c r="E63" s="173" t="s">
        <v>1376</v>
      </c>
      <c r="G63" s="173" t="s">
        <v>136</v>
      </c>
      <c r="H63" s="178">
        <f>_xlfn.XLOOKUP(B63&amp;"-00",改定!N:N,改定!E:E)</f>
        <v>42121</v>
      </c>
      <c r="J63" t="s">
        <v>48</v>
      </c>
    </row>
    <row r="64" spans="1:10" hidden="1">
      <c r="A64" s="174" t="s">
        <v>90</v>
      </c>
      <c r="B64" t="s">
        <v>138</v>
      </c>
      <c r="C64" s="173" t="s">
        <v>1373</v>
      </c>
      <c r="D64" s="173" t="s">
        <v>2101</v>
      </c>
      <c r="E64" s="173" t="s">
        <v>1376</v>
      </c>
      <c r="G64" s="173" t="s">
        <v>136</v>
      </c>
      <c r="H64" s="178">
        <f>_xlfn.XLOOKUP(B64&amp;"-00",改定!N:N,改定!E:E)</f>
        <v>47366</v>
      </c>
      <c r="J64" t="s">
        <v>139</v>
      </c>
    </row>
    <row r="65" spans="1:10" hidden="1">
      <c r="A65" s="174" t="s">
        <v>6</v>
      </c>
      <c r="B65" t="s">
        <v>140</v>
      </c>
      <c r="C65" s="173" t="s">
        <v>1373</v>
      </c>
      <c r="D65" s="173" t="s">
        <v>2101</v>
      </c>
      <c r="E65" s="173" t="s">
        <v>1376</v>
      </c>
      <c r="G65" s="173" t="s">
        <v>136</v>
      </c>
      <c r="H65" s="178">
        <f>_xlfn.XLOOKUP(B65&amp;"-00",改定!N:N,改定!E:E)</f>
        <v>48878</v>
      </c>
      <c r="J65" t="s">
        <v>141</v>
      </c>
    </row>
    <row r="66" spans="1:10" hidden="1">
      <c r="A66" s="174" t="s">
        <v>6</v>
      </c>
      <c r="B66" t="s">
        <v>142</v>
      </c>
      <c r="C66" s="173" t="s">
        <v>1373</v>
      </c>
      <c r="D66" s="173" t="s">
        <v>2101</v>
      </c>
      <c r="E66" s="173" t="s">
        <v>1376</v>
      </c>
      <c r="G66" s="173" t="s">
        <v>136</v>
      </c>
      <c r="H66" s="178">
        <f>_xlfn.XLOOKUP(B66&amp;"-00",改定!N:N,改定!E:E)</f>
        <v>49795</v>
      </c>
      <c r="J66" t="s">
        <v>143</v>
      </c>
    </row>
    <row r="67" spans="1:10" hidden="1">
      <c r="A67" s="174" t="s">
        <v>6</v>
      </c>
      <c r="B67" t="s">
        <v>1276</v>
      </c>
      <c r="C67" s="173" t="s">
        <v>1373</v>
      </c>
      <c r="D67" s="173" t="s">
        <v>2101</v>
      </c>
      <c r="E67" s="173" t="s">
        <v>1376</v>
      </c>
      <c r="G67" s="173" t="s">
        <v>809</v>
      </c>
      <c r="H67" s="178">
        <f>_xlfn.XLOOKUP(B67&amp;"-00",改定!N:N,改定!E:E)</f>
        <v>63015</v>
      </c>
      <c r="I67" t="s">
        <v>1289</v>
      </c>
      <c r="J67" t="s">
        <v>1278</v>
      </c>
    </row>
    <row r="68" spans="1:10" hidden="1">
      <c r="A68" s="174" t="s">
        <v>1279</v>
      </c>
      <c r="B68" t="s">
        <v>1281</v>
      </c>
      <c r="C68" s="173" t="s">
        <v>1373</v>
      </c>
      <c r="D68" s="173" t="s">
        <v>2101</v>
      </c>
      <c r="E68" s="173" t="s">
        <v>1376</v>
      </c>
      <c r="G68" s="173" t="s">
        <v>502</v>
      </c>
      <c r="H68" s="178">
        <f>_xlfn.XLOOKUP(B68&amp;"-00",改定!N:N,改定!E:E)</f>
        <v>62121</v>
      </c>
      <c r="I68" t="s">
        <v>1289</v>
      </c>
      <c r="J68" t="s">
        <v>1274</v>
      </c>
    </row>
    <row r="69" spans="1:10" hidden="1">
      <c r="A69" s="174" t="s">
        <v>10</v>
      </c>
      <c r="B69" t="s">
        <v>145</v>
      </c>
      <c r="C69" s="173" t="s">
        <v>1373</v>
      </c>
      <c r="D69" s="173" t="s">
        <v>2101</v>
      </c>
      <c r="E69" s="173" t="s">
        <v>1376</v>
      </c>
      <c r="G69" s="173" t="s">
        <v>144</v>
      </c>
      <c r="H69" s="178">
        <f>_xlfn.XLOOKUP(B69&amp;"-00",改定!N:N,改定!E:E)</f>
        <v>40652</v>
      </c>
      <c r="J69" t="s">
        <v>146</v>
      </c>
    </row>
    <row r="70" spans="1:10" hidden="1">
      <c r="A70" s="174" t="s">
        <v>10</v>
      </c>
      <c r="B70" t="s">
        <v>148</v>
      </c>
      <c r="C70" s="173" t="s">
        <v>1373</v>
      </c>
      <c r="D70" s="173" t="s">
        <v>2101</v>
      </c>
      <c r="E70" s="173" t="s">
        <v>1376</v>
      </c>
      <c r="G70" s="173" t="s">
        <v>147</v>
      </c>
      <c r="H70" s="178">
        <f>_xlfn.XLOOKUP(B70&amp;"-00",改定!N:N,改定!E:E)</f>
        <v>42481</v>
      </c>
      <c r="J70" t="s">
        <v>149</v>
      </c>
    </row>
    <row r="71" spans="1:10" hidden="1">
      <c r="A71" s="174" t="s">
        <v>6</v>
      </c>
      <c r="B71" t="s">
        <v>150</v>
      </c>
      <c r="C71" s="173" t="s">
        <v>1373</v>
      </c>
      <c r="D71" s="173" t="s">
        <v>2101</v>
      </c>
      <c r="E71" s="173" t="s">
        <v>1376</v>
      </c>
      <c r="G71" s="173" t="s">
        <v>147</v>
      </c>
      <c r="H71" s="178">
        <f>_xlfn.XLOOKUP(B71&amp;"-00",改定!N:N,改定!E:E)</f>
        <v>46235</v>
      </c>
      <c r="J71" t="s">
        <v>151</v>
      </c>
    </row>
    <row r="72" spans="1:10" hidden="1">
      <c r="A72" s="174" t="s">
        <v>6</v>
      </c>
      <c r="B72" t="s">
        <v>152</v>
      </c>
      <c r="C72" s="173" t="s">
        <v>1373</v>
      </c>
      <c r="D72" s="173" t="s">
        <v>2101</v>
      </c>
      <c r="E72" s="173" t="s">
        <v>1376</v>
      </c>
      <c r="G72" s="173" t="s">
        <v>147</v>
      </c>
      <c r="H72" s="178">
        <f>_xlfn.XLOOKUP(B72&amp;"-00",改定!N:N,改定!E:E)</f>
        <v>53811</v>
      </c>
      <c r="J72" t="s">
        <v>153</v>
      </c>
    </row>
    <row r="73" spans="1:10" hidden="1">
      <c r="A73" s="174" t="s">
        <v>10</v>
      </c>
      <c r="B73" t="s">
        <v>155</v>
      </c>
      <c r="C73" s="173" t="s">
        <v>1373</v>
      </c>
      <c r="D73" s="173" t="s">
        <v>2101</v>
      </c>
      <c r="E73" s="173" t="s">
        <v>1376</v>
      </c>
      <c r="G73" s="173" t="s">
        <v>154</v>
      </c>
      <c r="H73" s="178">
        <f>_xlfn.XLOOKUP(B73&amp;"-00",改定!N:N,改定!E:E)</f>
        <v>47399</v>
      </c>
    </row>
    <row r="74" spans="1:10" hidden="1">
      <c r="A74" s="174" t="s">
        <v>6</v>
      </c>
      <c r="B74" t="s">
        <v>1285</v>
      </c>
      <c r="C74" s="173" t="s">
        <v>1373</v>
      </c>
      <c r="D74" s="173" t="s">
        <v>2101</v>
      </c>
      <c r="E74" s="173" t="s">
        <v>1376</v>
      </c>
      <c r="G74" s="173" t="s">
        <v>1282</v>
      </c>
      <c r="H74" s="178">
        <f>_xlfn.XLOOKUP(B74&amp;"-00",改定!N:N,改定!E:E)</f>
        <v>63015</v>
      </c>
      <c r="I74" t="s">
        <v>1290</v>
      </c>
      <c r="J74" t="s">
        <v>1277</v>
      </c>
    </row>
    <row r="75" spans="1:10" hidden="1">
      <c r="A75" s="174" t="s">
        <v>6</v>
      </c>
      <c r="B75" t="s">
        <v>1287</v>
      </c>
      <c r="C75" s="173" t="s">
        <v>1373</v>
      </c>
      <c r="D75" s="173" t="s">
        <v>2101</v>
      </c>
      <c r="E75" s="173" t="s">
        <v>1376</v>
      </c>
      <c r="G75" s="173" t="s">
        <v>1283</v>
      </c>
      <c r="H75" s="178">
        <f>_xlfn.XLOOKUP(B75&amp;"-00",改定!N:N,改定!E:E)</f>
        <v>62121</v>
      </c>
      <c r="I75" t="s">
        <v>1290</v>
      </c>
      <c r="J75" t="s">
        <v>1274</v>
      </c>
    </row>
    <row r="76" spans="1:10" hidden="1">
      <c r="A76" s="174" t="s">
        <v>10</v>
      </c>
      <c r="B76" t="s">
        <v>157</v>
      </c>
      <c r="C76" s="173" t="s">
        <v>1373</v>
      </c>
      <c r="D76" s="173" t="s">
        <v>2101</v>
      </c>
      <c r="E76" s="173" t="s">
        <v>1376</v>
      </c>
      <c r="G76" s="173" t="s">
        <v>156</v>
      </c>
      <c r="H76" s="178">
        <f>_xlfn.XLOOKUP(B76&amp;"-00",改定!N:N,改定!E:E)</f>
        <v>33269</v>
      </c>
    </row>
    <row r="77" spans="1:10" hidden="1">
      <c r="A77" s="174" t="s">
        <v>6</v>
      </c>
      <c r="B77" t="s">
        <v>158</v>
      </c>
      <c r="C77" s="173" t="s">
        <v>1373</v>
      </c>
      <c r="D77" s="173" t="s">
        <v>2101</v>
      </c>
      <c r="E77" s="173" t="s">
        <v>1376</v>
      </c>
      <c r="G77" s="173" t="s">
        <v>156</v>
      </c>
      <c r="H77" s="178">
        <f>_xlfn.XLOOKUP(B77&amp;"-00",改定!N:N,改定!E:E)</f>
        <v>49405</v>
      </c>
      <c r="J77" t="s">
        <v>159</v>
      </c>
    </row>
    <row r="78" spans="1:10" hidden="1">
      <c r="A78" s="174" t="s">
        <v>6</v>
      </c>
      <c r="B78" t="s">
        <v>161</v>
      </c>
      <c r="C78" s="173" t="s">
        <v>1373</v>
      </c>
      <c r="D78" s="173" t="s">
        <v>2101</v>
      </c>
      <c r="E78" s="173" t="s">
        <v>1376</v>
      </c>
      <c r="G78" s="173" t="s">
        <v>160</v>
      </c>
      <c r="H78" s="178">
        <f>_xlfn.XLOOKUP(B78&amp;"-00",改定!N:N,改定!E:E)</f>
        <v>42494</v>
      </c>
    </row>
    <row r="79" spans="1:10" hidden="1">
      <c r="A79" s="174" t="s">
        <v>6</v>
      </c>
      <c r="B79" t="s">
        <v>163</v>
      </c>
      <c r="C79" s="173" t="s">
        <v>1373</v>
      </c>
      <c r="D79" s="173" t="s">
        <v>2101</v>
      </c>
      <c r="E79" s="173" t="s">
        <v>1376</v>
      </c>
      <c r="G79" s="173" t="s">
        <v>162</v>
      </c>
      <c r="H79" s="178">
        <f>_xlfn.XLOOKUP(B79&amp;"-00",改定!N:N,改定!E:E)</f>
        <v>48569</v>
      </c>
    </row>
    <row r="80" spans="1:10" hidden="1">
      <c r="A80" s="174" t="s">
        <v>49</v>
      </c>
      <c r="B80" t="s">
        <v>165</v>
      </c>
      <c r="C80" s="173" t="s">
        <v>1373</v>
      </c>
      <c r="D80" s="173" t="s">
        <v>2101</v>
      </c>
      <c r="E80" s="173" t="s">
        <v>1376</v>
      </c>
      <c r="G80" s="173" t="s">
        <v>164</v>
      </c>
      <c r="H80" s="178">
        <f>_xlfn.XLOOKUP(B80&amp;"-00",改定!N:N,改定!E:E)</f>
        <v>62633</v>
      </c>
    </row>
    <row r="81" spans="1:10" hidden="1">
      <c r="A81" s="174" t="s">
        <v>6</v>
      </c>
      <c r="B81" t="s">
        <v>167</v>
      </c>
      <c r="C81" s="173" t="s">
        <v>1373</v>
      </c>
      <c r="D81" s="173" t="s">
        <v>2101</v>
      </c>
      <c r="E81" s="173" t="s">
        <v>1376</v>
      </c>
      <c r="G81" s="173" t="s">
        <v>166</v>
      </c>
      <c r="H81" s="178">
        <f>_xlfn.XLOOKUP(B81&amp;"-00",改定!N:N,改定!E:E)</f>
        <v>43950</v>
      </c>
    </row>
    <row r="82" spans="1:10" hidden="1">
      <c r="A82" s="174" t="s">
        <v>6</v>
      </c>
      <c r="B82" t="s">
        <v>169</v>
      </c>
      <c r="C82" s="173" t="s">
        <v>1373</v>
      </c>
      <c r="D82" s="173" t="s">
        <v>2101</v>
      </c>
      <c r="E82" s="173" t="s">
        <v>1376</v>
      </c>
      <c r="G82" s="173" t="s">
        <v>168</v>
      </c>
      <c r="H82" s="178">
        <f>_xlfn.XLOOKUP(B82&amp;"-00",改定!N:N,改定!E:E)</f>
        <v>50567</v>
      </c>
    </row>
    <row r="83" spans="1:10" hidden="1">
      <c r="A83" s="174" t="s">
        <v>49</v>
      </c>
      <c r="B83" t="s">
        <v>171</v>
      </c>
      <c r="C83" s="173" t="s">
        <v>1373</v>
      </c>
      <c r="D83" s="173" t="s">
        <v>2101</v>
      </c>
      <c r="E83" s="173" t="s">
        <v>1376</v>
      </c>
      <c r="G83" s="173" t="s">
        <v>170</v>
      </c>
      <c r="H83" s="178">
        <f>_xlfn.XLOOKUP(B83&amp;"-00",改定!N:N,改定!E:E)</f>
        <v>61666</v>
      </c>
    </row>
    <row r="84" spans="1:10" hidden="1">
      <c r="A84" s="174" t="s">
        <v>49</v>
      </c>
      <c r="B84" t="s">
        <v>173</v>
      </c>
      <c r="C84" s="173" t="s">
        <v>1373</v>
      </c>
      <c r="D84" s="173" t="s">
        <v>2101</v>
      </c>
      <c r="E84" s="173" t="s">
        <v>1376</v>
      </c>
      <c r="G84" s="173" t="s">
        <v>172</v>
      </c>
      <c r="H84" s="178">
        <f>_xlfn.XLOOKUP(B84&amp;"-00",改定!N:N,改定!E:E)</f>
        <v>55600</v>
      </c>
    </row>
    <row r="85" spans="1:10">
      <c r="A85" s="174" t="s">
        <v>49</v>
      </c>
      <c r="B85" t="s">
        <v>175</v>
      </c>
      <c r="C85" s="173" t="s">
        <v>1373</v>
      </c>
      <c r="D85" s="173" t="s">
        <v>2101</v>
      </c>
      <c r="E85" s="173" t="s">
        <v>1376</v>
      </c>
      <c r="G85" s="173" t="s">
        <v>174</v>
      </c>
      <c r="H85" s="178">
        <f>_xlfn.XLOOKUP(B85&amp;"-00",改定!N:N,改定!E:E)</f>
        <v>50187</v>
      </c>
      <c r="J85" t="s">
        <v>176</v>
      </c>
    </row>
    <row r="86" spans="1:10">
      <c r="A86" s="174" t="s">
        <v>49</v>
      </c>
      <c r="B86" t="s">
        <v>177</v>
      </c>
      <c r="C86" s="173" t="s">
        <v>1373</v>
      </c>
      <c r="D86" s="173" t="s">
        <v>2101</v>
      </c>
      <c r="E86" s="173" t="s">
        <v>1376</v>
      </c>
      <c r="G86" s="173" t="s">
        <v>174</v>
      </c>
      <c r="H86" s="178">
        <f>_xlfn.XLOOKUP(B86&amp;"-00",改定!N:N,改定!E:E)</f>
        <v>50187</v>
      </c>
      <c r="I86" t="s">
        <v>1240</v>
      </c>
      <c r="J86" t="s">
        <v>178</v>
      </c>
    </row>
    <row r="87" spans="1:10">
      <c r="A87" s="174" t="s">
        <v>49</v>
      </c>
      <c r="B87" t="s">
        <v>179</v>
      </c>
      <c r="C87" s="173" t="s">
        <v>1373</v>
      </c>
      <c r="D87" s="173" t="s">
        <v>2101</v>
      </c>
      <c r="E87" s="173" t="s">
        <v>1376</v>
      </c>
      <c r="G87" s="173" t="s">
        <v>174</v>
      </c>
      <c r="H87" s="178">
        <f>_xlfn.XLOOKUP(B87&amp;"-00",改定!N:N,改定!E:E)</f>
        <v>49119</v>
      </c>
      <c r="J87" t="s">
        <v>180</v>
      </c>
    </row>
    <row r="88" spans="1:10">
      <c r="A88" s="174" t="s">
        <v>1279</v>
      </c>
      <c r="B88" t="s">
        <v>1243</v>
      </c>
      <c r="C88" s="173" t="s">
        <v>1373</v>
      </c>
      <c r="D88" s="173" t="s">
        <v>2101</v>
      </c>
      <c r="E88" s="173" t="s">
        <v>1376</v>
      </c>
      <c r="G88" s="173" t="s">
        <v>174</v>
      </c>
      <c r="H88" s="178" t="str">
        <f>_xlfn.XLOOKUP(B88&amp;"-00",改定!N:N,改定!E:E)</f>
        <v xml:space="preserve">	55360</v>
      </c>
      <c r="I88" t="s">
        <v>1244</v>
      </c>
      <c r="J88" t="s">
        <v>1291</v>
      </c>
    </row>
    <row r="89" spans="1:10">
      <c r="A89" s="174" t="s">
        <v>1239</v>
      </c>
      <c r="B89" t="s">
        <v>1248</v>
      </c>
      <c r="C89" s="173" t="s">
        <v>1373</v>
      </c>
      <c r="D89" s="173" t="s">
        <v>2101</v>
      </c>
      <c r="E89" s="173" t="s">
        <v>1376</v>
      </c>
      <c r="G89" s="173" t="s">
        <v>174</v>
      </c>
      <c r="H89" s="178">
        <f>_xlfn.XLOOKUP(B89&amp;"-00",改定!N:N,改定!E:E)</f>
        <v>0</v>
      </c>
      <c r="I89" t="s">
        <v>1249</v>
      </c>
      <c r="J89" t="s">
        <v>1251</v>
      </c>
    </row>
    <row r="90" spans="1:10">
      <c r="A90" s="174" t="s">
        <v>1239</v>
      </c>
      <c r="B90" t="s">
        <v>1252</v>
      </c>
      <c r="C90" s="173" t="s">
        <v>1373</v>
      </c>
      <c r="D90" s="173" t="s">
        <v>2101</v>
      </c>
      <c r="E90" s="173" t="s">
        <v>1376</v>
      </c>
      <c r="G90" s="173" t="s">
        <v>174</v>
      </c>
      <c r="H90" s="178">
        <f>_xlfn.XLOOKUP(B90&amp;"-00",改定!N:N,改定!E:E)</f>
        <v>0</v>
      </c>
      <c r="I90" t="s">
        <v>1223</v>
      </c>
      <c r="J90" t="s">
        <v>1254</v>
      </c>
    </row>
    <row r="91" spans="1:10">
      <c r="A91" s="174" t="s">
        <v>1239</v>
      </c>
      <c r="B91" t="s">
        <v>1255</v>
      </c>
      <c r="C91" s="173" t="s">
        <v>1373</v>
      </c>
      <c r="D91" s="173" t="s">
        <v>2101</v>
      </c>
      <c r="E91" s="173" t="s">
        <v>1376</v>
      </c>
      <c r="G91" s="173" t="s">
        <v>174</v>
      </c>
      <c r="H91" s="178">
        <f>_xlfn.XLOOKUP(B91&amp;"-00",改定!N:N,改定!E:E)</f>
        <v>0</v>
      </c>
      <c r="I91" t="s">
        <v>1256</v>
      </c>
      <c r="J91" t="s">
        <v>1258</v>
      </c>
    </row>
    <row r="92" spans="1:10">
      <c r="A92" s="174" t="s">
        <v>1239</v>
      </c>
      <c r="B92" t="s">
        <v>1259</v>
      </c>
      <c r="C92" s="173" t="s">
        <v>1373</v>
      </c>
      <c r="D92" s="173" t="s">
        <v>2101</v>
      </c>
      <c r="E92" s="173" t="s">
        <v>1376</v>
      </c>
      <c r="G92" s="173" t="s">
        <v>174</v>
      </c>
      <c r="H92" s="178">
        <f>_xlfn.XLOOKUP(B92&amp;"-00",改定!N:N,改定!E:E)</f>
        <v>62888</v>
      </c>
      <c r="I92" t="s">
        <v>1260</v>
      </c>
      <c r="J92" t="s">
        <v>1262</v>
      </c>
    </row>
    <row r="93" spans="1:10">
      <c r="A93" s="174" t="s">
        <v>49</v>
      </c>
      <c r="B93" t="s">
        <v>181</v>
      </c>
      <c r="C93" s="173" t="s">
        <v>1373</v>
      </c>
      <c r="D93" s="173" t="s">
        <v>2101</v>
      </c>
      <c r="E93" s="173" t="s">
        <v>1376</v>
      </c>
      <c r="G93" s="173" t="s">
        <v>1403</v>
      </c>
      <c r="H93" s="178">
        <f>_xlfn.XLOOKUP(B93&amp;"-00",改定!N:N,改定!E:E)</f>
        <v>60819</v>
      </c>
    </row>
    <row r="94" spans="1:10" hidden="1">
      <c r="A94" s="174" t="s">
        <v>49</v>
      </c>
      <c r="B94" t="s">
        <v>1312</v>
      </c>
      <c r="C94" s="173" t="s">
        <v>1373</v>
      </c>
      <c r="D94" s="173" t="s">
        <v>2101</v>
      </c>
      <c r="E94" s="173" t="s">
        <v>1376</v>
      </c>
      <c r="G94" s="173" t="s">
        <v>182</v>
      </c>
      <c r="H94" s="178">
        <f>_xlfn.XLOOKUP(B94&amp;"-00",改定!N:N,改定!E:E)</f>
        <v>45012</v>
      </c>
    </row>
    <row r="95" spans="1:10" hidden="1">
      <c r="A95" s="174" t="s">
        <v>6</v>
      </c>
      <c r="B95" t="s">
        <v>184</v>
      </c>
      <c r="C95" s="173" t="s">
        <v>1373</v>
      </c>
      <c r="D95" s="173" t="s">
        <v>2101</v>
      </c>
      <c r="E95" s="173" t="s">
        <v>1376</v>
      </c>
      <c r="G95" s="173" t="s">
        <v>183</v>
      </c>
      <c r="H95" s="178">
        <f>_xlfn.XLOOKUP(B95&amp;"-00",改定!N:N,改定!E:E)</f>
        <v>49467</v>
      </c>
    </row>
    <row r="96" spans="1:10" hidden="1">
      <c r="A96" s="174" t="s">
        <v>10</v>
      </c>
      <c r="B96" t="s">
        <v>186</v>
      </c>
      <c r="C96" s="173" t="s">
        <v>1373</v>
      </c>
      <c r="D96" s="173" t="s">
        <v>2101</v>
      </c>
      <c r="E96" s="173" t="s">
        <v>1376</v>
      </c>
      <c r="G96" s="173" t="s">
        <v>185</v>
      </c>
      <c r="H96" s="178">
        <f>_xlfn.XLOOKUP(B96&amp;"-00",改定!N:N,改定!E:E)</f>
        <v>40454</v>
      </c>
      <c r="J96" t="s">
        <v>187</v>
      </c>
    </row>
    <row r="97" spans="1:10" hidden="1">
      <c r="A97" s="174" t="s">
        <v>10</v>
      </c>
      <c r="B97" t="s">
        <v>188</v>
      </c>
      <c r="C97" s="173" t="s">
        <v>1373</v>
      </c>
      <c r="D97" s="173" t="s">
        <v>2101</v>
      </c>
      <c r="E97" s="173" t="s">
        <v>1376</v>
      </c>
      <c r="G97" s="173" t="s">
        <v>185</v>
      </c>
      <c r="H97" s="178">
        <f>_xlfn.XLOOKUP(B97&amp;"-00",改定!N:N,改定!E:E)</f>
        <v>46280</v>
      </c>
      <c r="J97" t="s">
        <v>189</v>
      </c>
    </row>
    <row r="98" spans="1:10" hidden="1">
      <c r="A98" s="174" t="s">
        <v>10</v>
      </c>
      <c r="B98" t="s">
        <v>190</v>
      </c>
      <c r="C98" s="173" t="s">
        <v>1373</v>
      </c>
      <c r="D98" s="173" t="s">
        <v>2101</v>
      </c>
      <c r="E98" s="173" t="s">
        <v>1376</v>
      </c>
      <c r="G98" s="173" t="s">
        <v>185</v>
      </c>
      <c r="H98" s="178">
        <f>_xlfn.XLOOKUP(B98&amp;"-00",改定!N:N,改定!E:E)</f>
        <v>49853</v>
      </c>
      <c r="J98" t="s">
        <v>191</v>
      </c>
    </row>
    <row r="99" spans="1:10" hidden="1">
      <c r="A99" s="174" t="s">
        <v>6</v>
      </c>
      <c r="B99" t="s">
        <v>192</v>
      </c>
      <c r="C99" s="173" t="s">
        <v>1373</v>
      </c>
      <c r="D99" s="173" t="s">
        <v>2101</v>
      </c>
      <c r="E99" s="173" t="s">
        <v>1376</v>
      </c>
      <c r="G99" s="173" t="s">
        <v>185</v>
      </c>
      <c r="H99" s="178">
        <f>_xlfn.XLOOKUP(B99&amp;"-00",改定!N:N,改定!E:E)</f>
        <v>49197</v>
      </c>
      <c r="J99" t="s">
        <v>193</v>
      </c>
    </row>
    <row r="100" spans="1:10" hidden="1">
      <c r="A100" s="174" t="s">
        <v>10</v>
      </c>
      <c r="B100" t="s">
        <v>194</v>
      </c>
      <c r="C100" s="173" t="s">
        <v>1373</v>
      </c>
      <c r="D100" s="173" t="s">
        <v>2101</v>
      </c>
      <c r="E100" s="173" t="s">
        <v>1376</v>
      </c>
      <c r="G100" s="173" t="s">
        <v>185</v>
      </c>
      <c r="H100" s="178">
        <f>_xlfn.XLOOKUP(B100&amp;"-00",改定!N:N,改定!E:E)</f>
        <v>49853</v>
      </c>
      <c r="J100" t="s">
        <v>195</v>
      </c>
    </row>
    <row r="101" spans="1:10" hidden="1">
      <c r="A101" s="174" t="s">
        <v>90</v>
      </c>
      <c r="B101" t="s">
        <v>196</v>
      </c>
      <c r="C101" s="173" t="s">
        <v>1373</v>
      </c>
      <c r="D101" s="173" t="s">
        <v>2101</v>
      </c>
      <c r="E101" s="173" t="s">
        <v>1376</v>
      </c>
      <c r="G101" s="173" t="s">
        <v>185</v>
      </c>
      <c r="H101" s="178">
        <f>_xlfn.XLOOKUP(B101&amp;"-00",改定!N:N,改定!E:E)</f>
        <v>47466</v>
      </c>
      <c r="J101" t="s">
        <v>139</v>
      </c>
    </row>
    <row r="102" spans="1:10" hidden="1">
      <c r="A102" s="174" t="s">
        <v>6</v>
      </c>
      <c r="B102" t="s">
        <v>198</v>
      </c>
      <c r="C102" s="173" t="s">
        <v>1373</v>
      </c>
      <c r="D102" s="173" t="s">
        <v>2101</v>
      </c>
      <c r="E102" s="173" t="s">
        <v>1376</v>
      </c>
      <c r="G102" s="173" t="s">
        <v>197</v>
      </c>
      <c r="H102" s="178">
        <f>_xlfn.XLOOKUP(B102&amp;"-00",改定!N:N,改定!E:E)</f>
        <v>50132</v>
      </c>
      <c r="I102" t="s">
        <v>1292</v>
      </c>
    </row>
    <row r="103" spans="1:10" hidden="1">
      <c r="A103" s="174" t="s">
        <v>6</v>
      </c>
      <c r="B103" t="s">
        <v>200</v>
      </c>
      <c r="C103" s="173" t="s">
        <v>1373</v>
      </c>
      <c r="D103" s="173" t="s">
        <v>2101</v>
      </c>
      <c r="E103" s="173" t="s">
        <v>1376</v>
      </c>
      <c r="G103" s="173" t="s">
        <v>199</v>
      </c>
      <c r="H103" s="178">
        <f>_xlfn.XLOOKUP(B103&amp;"-00",改定!N:N,改定!E:E)</f>
        <v>62516</v>
      </c>
      <c r="I103" t="s">
        <v>1290</v>
      </c>
      <c r="J103" t="s">
        <v>201</v>
      </c>
    </row>
    <row r="104" spans="1:10" hidden="1">
      <c r="A104" s="174" t="s">
        <v>6</v>
      </c>
      <c r="B104" t="s">
        <v>203</v>
      </c>
      <c r="C104" s="173" t="s">
        <v>1373</v>
      </c>
      <c r="D104" s="173" t="s">
        <v>2101</v>
      </c>
      <c r="E104" s="173" t="s">
        <v>1376</v>
      </c>
      <c r="G104" s="173" t="s">
        <v>202</v>
      </c>
      <c r="H104" s="178">
        <f>_xlfn.XLOOKUP(B104&amp;"-00",改定!N:N,改定!E:E)</f>
        <v>46038</v>
      </c>
    </row>
    <row r="105" spans="1:10" hidden="1">
      <c r="A105" s="174" t="s">
        <v>6</v>
      </c>
      <c r="B105" t="s">
        <v>204</v>
      </c>
      <c r="C105" s="173" t="s">
        <v>1373</v>
      </c>
      <c r="D105" s="173" t="s">
        <v>2101</v>
      </c>
      <c r="E105" s="173" t="s">
        <v>1376</v>
      </c>
      <c r="G105" s="173" t="s">
        <v>202</v>
      </c>
      <c r="H105" s="178">
        <f>_xlfn.XLOOKUP(B105&amp;"-00",改定!N:N,改定!E:E)</f>
        <v>49165</v>
      </c>
      <c r="J105" t="s">
        <v>141</v>
      </c>
    </row>
    <row r="106" spans="1:10" hidden="1">
      <c r="A106" s="174" t="s">
        <v>6</v>
      </c>
      <c r="B106" t="s">
        <v>206</v>
      </c>
      <c r="C106" s="173" t="s">
        <v>1373</v>
      </c>
      <c r="D106" s="173" t="s">
        <v>2101</v>
      </c>
      <c r="E106" s="173" t="s">
        <v>1376</v>
      </c>
      <c r="G106" s="173" t="s">
        <v>205</v>
      </c>
      <c r="H106" s="178">
        <f>_xlfn.XLOOKUP(B106&amp;"-00",改定!N:N,改定!E:E)</f>
        <v>46236</v>
      </c>
      <c r="J106" t="s">
        <v>207</v>
      </c>
    </row>
    <row r="107" spans="1:10" hidden="1">
      <c r="A107" s="174" t="s">
        <v>6</v>
      </c>
      <c r="B107" t="s">
        <v>208</v>
      </c>
      <c r="C107" s="173" t="s">
        <v>1373</v>
      </c>
      <c r="D107" s="173" t="s">
        <v>2101</v>
      </c>
      <c r="E107" s="173" t="s">
        <v>1376</v>
      </c>
      <c r="G107" s="173" t="s">
        <v>205</v>
      </c>
      <c r="H107" s="178">
        <f>_xlfn.XLOOKUP(B107&amp;"-00",改定!N:N,改定!E:E)</f>
        <v>49061</v>
      </c>
      <c r="J107" t="s">
        <v>141</v>
      </c>
    </row>
    <row r="108" spans="1:10" hidden="1">
      <c r="A108" s="174" t="s">
        <v>10</v>
      </c>
      <c r="B108" t="s">
        <v>210</v>
      </c>
      <c r="C108" s="173" t="s">
        <v>1373</v>
      </c>
      <c r="D108" s="173" t="s">
        <v>2101</v>
      </c>
      <c r="E108" s="173" t="s">
        <v>1376</v>
      </c>
      <c r="G108" s="173" t="s">
        <v>1380</v>
      </c>
      <c r="H108" s="178">
        <f>_xlfn.XLOOKUP(B108&amp;"-00",改定!N:N,改定!E:E)</f>
        <v>33390</v>
      </c>
    </row>
    <row r="109" spans="1:10" hidden="1">
      <c r="A109" s="174" t="s">
        <v>10</v>
      </c>
      <c r="B109" t="s">
        <v>212</v>
      </c>
      <c r="C109" s="173" t="s">
        <v>1373</v>
      </c>
      <c r="D109" s="173" t="s">
        <v>2101</v>
      </c>
      <c r="E109" s="173" t="s">
        <v>1376</v>
      </c>
      <c r="G109" s="173" t="s">
        <v>211</v>
      </c>
      <c r="H109" s="178">
        <f>_xlfn.XLOOKUP(B109&amp;"-00",改定!N:N,改定!E:E)</f>
        <v>45048</v>
      </c>
      <c r="J109" t="s">
        <v>213</v>
      </c>
    </row>
    <row r="110" spans="1:10" hidden="1">
      <c r="A110" s="174" t="s">
        <v>10</v>
      </c>
      <c r="B110" t="s">
        <v>214</v>
      </c>
      <c r="C110" s="173" t="s">
        <v>1373</v>
      </c>
      <c r="D110" s="173" t="s">
        <v>2101</v>
      </c>
      <c r="E110" s="173" t="s">
        <v>1376</v>
      </c>
      <c r="G110" s="173" t="s">
        <v>211</v>
      </c>
      <c r="H110" s="178">
        <f>_xlfn.XLOOKUP(B110&amp;"-00",改定!N:N,改定!E:E)</f>
        <v>47627</v>
      </c>
      <c r="J110" t="s">
        <v>213</v>
      </c>
    </row>
    <row r="111" spans="1:10" hidden="1">
      <c r="A111" s="174" t="s">
        <v>6</v>
      </c>
      <c r="B111" t="s">
        <v>216</v>
      </c>
      <c r="C111" s="173" t="s">
        <v>1373</v>
      </c>
      <c r="D111" s="173" t="s">
        <v>2101</v>
      </c>
      <c r="E111" s="173" t="s">
        <v>1376</v>
      </c>
      <c r="G111" s="173" t="s">
        <v>215</v>
      </c>
      <c r="H111" s="178">
        <f>_xlfn.XLOOKUP(B111&amp;"-00",改定!N:N,改定!E:E)</f>
        <v>49082</v>
      </c>
    </row>
    <row r="112" spans="1:10" hidden="1">
      <c r="A112" s="174" t="s">
        <v>10</v>
      </c>
      <c r="B112" t="s">
        <v>218</v>
      </c>
      <c r="C112" s="173" t="s">
        <v>1373</v>
      </c>
      <c r="D112" s="173" t="s">
        <v>2101</v>
      </c>
      <c r="E112" s="173" t="s">
        <v>1376</v>
      </c>
      <c r="G112" s="173" t="s">
        <v>217</v>
      </c>
      <c r="H112" s="178">
        <f>_xlfn.XLOOKUP(B112&amp;"-00",改定!N:N,改定!E:E)</f>
        <v>42615</v>
      </c>
      <c r="J112" t="s">
        <v>219</v>
      </c>
    </row>
    <row r="113" spans="1:10" hidden="1">
      <c r="A113" s="174" t="s">
        <v>6</v>
      </c>
      <c r="B113" t="s">
        <v>220</v>
      </c>
      <c r="C113" s="173" t="s">
        <v>1373</v>
      </c>
      <c r="D113" s="173" t="s">
        <v>2101</v>
      </c>
      <c r="E113" s="173" t="s">
        <v>1376</v>
      </c>
      <c r="G113" s="173" t="s">
        <v>217</v>
      </c>
      <c r="H113" s="178">
        <f>_xlfn.XLOOKUP(B113&amp;"-00",改定!N:N,改定!E:E)</f>
        <v>45102</v>
      </c>
      <c r="J113" t="s">
        <v>219</v>
      </c>
    </row>
    <row r="114" spans="1:10" hidden="1">
      <c r="A114" s="174" t="s">
        <v>6</v>
      </c>
      <c r="B114" t="s">
        <v>221</v>
      </c>
      <c r="C114" s="173" t="s">
        <v>1373</v>
      </c>
      <c r="D114" s="173" t="s">
        <v>2101</v>
      </c>
      <c r="E114" s="173" t="s">
        <v>1376</v>
      </c>
      <c r="G114" s="173" t="s">
        <v>217</v>
      </c>
      <c r="H114" s="178">
        <f>_xlfn.XLOOKUP(B114&amp;"-00",改定!N:N,改定!E:E)</f>
        <v>49170</v>
      </c>
      <c r="J114" t="s">
        <v>222</v>
      </c>
    </row>
    <row r="115" spans="1:10" hidden="1">
      <c r="A115" s="174" t="s">
        <v>6</v>
      </c>
      <c r="B115" t="s">
        <v>223</v>
      </c>
      <c r="C115" s="173" t="s">
        <v>1373</v>
      </c>
      <c r="D115" s="173" t="s">
        <v>2101</v>
      </c>
      <c r="E115" s="173" t="s">
        <v>1376</v>
      </c>
      <c r="G115" s="173" t="s">
        <v>217</v>
      </c>
      <c r="H115" s="178">
        <f>_xlfn.XLOOKUP(B115&amp;"-00",改定!N:N,改定!E:E)</f>
        <v>42615</v>
      </c>
      <c r="J115" t="s">
        <v>224</v>
      </c>
    </row>
    <row r="116" spans="1:10" hidden="1">
      <c r="A116" s="174" t="s">
        <v>6</v>
      </c>
      <c r="B116" t="s">
        <v>226</v>
      </c>
      <c r="C116" s="173" t="s">
        <v>1373</v>
      </c>
      <c r="D116" s="173" t="s">
        <v>2101</v>
      </c>
      <c r="E116" s="173" t="s">
        <v>1376</v>
      </c>
      <c r="G116" s="173" t="s">
        <v>225</v>
      </c>
      <c r="H116" s="178">
        <f>_xlfn.XLOOKUP(B116&amp;"-00",改定!N:N,改定!E:E)</f>
        <v>52999</v>
      </c>
      <c r="J116" t="s">
        <v>227</v>
      </c>
    </row>
    <row r="117" spans="1:10" hidden="1">
      <c r="B117" t="s">
        <v>228</v>
      </c>
      <c r="C117" s="173" t="s">
        <v>1373</v>
      </c>
      <c r="D117" s="173" t="s">
        <v>2101</v>
      </c>
      <c r="E117" s="173" t="s">
        <v>1376</v>
      </c>
      <c r="G117" s="173" t="s">
        <v>225</v>
      </c>
      <c r="H117" s="178">
        <f>_xlfn.XLOOKUP(B117&amp;"-00",改定!N:N,改定!E:E)</f>
        <v>52999</v>
      </c>
      <c r="J117" t="s">
        <v>229</v>
      </c>
    </row>
    <row r="118" spans="1:10" hidden="1">
      <c r="B118" t="s">
        <v>230</v>
      </c>
      <c r="C118" s="173" t="s">
        <v>1373</v>
      </c>
      <c r="D118" s="173" t="s">
        <v>2101</v>
      </c>
      <c r="E118" s="173" t="s">
        <v>1376</v>
      </c>
      <c r="G118" s="173" t="s">
        <v>225</v>
      </c>
      <c r="H118" s="178">
        <f>_xlfn.XLOOKUP(B118&amp;"-00",改定!N:N,改定!E:E)</f>
        <v>52057</v>
      </c>
      <c r="J118" t="s">
        <v>231</v>
      </c>
    </row>
    <row r="119" spans="1:10" hidden="1">
      <c r="A119" s="174" t="s">
        <v>10</v>
      </c>
      <c r="B119" t="s">
        <v>233</v>
      </c>
      <c r="C119" s="173" t="s">
        <v>1373</v>
      </c>
      <c r="D119" s="173" t="s">
        <v>2101</v>
      </c>
      <c r="E119" s="173" t="s">
        <v>1376</v>
      </c>
      <c r="G119" s="173" t="s">
        <v>232</v>
      </c>
      <c r="H119" s="178">
        <f>_xlfn.XLOOKUP(B119&amp;"-00",改定!N:N,改定!E:E)</f>
        <v>54332</v>
      </c>
      <c r="I119" t="s">
        <v>1292</v>
      </c>
    </row>
    <row r="120" spans="1:10" hidden="1">
      <c r="A120" s="174" t="s">
        <v>1279</v>
      </c>
      <c r="B120" t="s">
        <v>1321</v>
      </c>
      <c r="C120" s="173" t="s">
        <v>1373</v>
      </c>
      <c r="D120" s="173" t="s">
        <v>2101</v>
      </c>
      <c r="E120" s="173" t="s">
        <v>1376</v>
      </c>
      <c r="G120" s="173" t="s">
        <v>232</v>
      </c>
      <c r="H120" s="178">
        <f>_xlfn.XLOOKUP(B120&amp;"-00",改定!N:N,改定!E:E)</f>
        <v>62740</v>
      </c>
      <c r="I120" t="s">
        <v>1290</v>
      </c>
      <c r="J120" t="s">
        <v>1322</v>
      </c>
    </row>
    <row r="121" spans="1:10" hidden="1">
      <c r="A121" s="174" t="s">
        <v>10</v>
      </c>
      <c r="B121" s="173" t="s">
        <v>235</v>
      </c>
      <c r="C121" s="173" t="s">
        <v>1373</v>
      </c>
      <c r="D121" s="173" t="s">
        <v>2101</v>
      </c>
      <c r="E121" s="173" t="s">
        <v>1376</v>
      </c>
      <c r="F121" s="173" t="s">
        <v>2037</v>
      </c>
      <c r="G121" s="173" t="s">
        <v>234</v>
      </c>
      <c r="H121" s="178">
        <f>_xlfn.XLOOKUP(B121&amp;"-00",改定!N:N,改定!E:E)</f>
        <v>52943</v>
      </c>
      <c r="I121" s="173"/>
      <c r="J121" s="173" t="s">
        <v>219</v>
      </c>
    </row>
    <row r="122" spans="1:10" hidden="1">
      <c r="A122" s="174" t="s">
        <v>10</v>
      </c>
      <c r="B122" s="173" t="s">
        <v>236</v>
      </c>
      <c r="C122" s="173" t="s">
        <v>1373</v>
      </c>
      <c r="D122" s="173" t="s">
        <v>2101</v>
      </c>
      <c r="E122" s="173" t="s">
        <v>1376</v>
      </c>
      <c r="F122" s="173" t="s">
        <v>2037</v>
      </c>
      <c r="G122" s="173" t="s">
        <v>234</v>
      </c>
      <c r="H122" s="178">
        <f>_xlfn.XLOOKUP(B122&amp;"-00",改定!N:N,改定!E:E)</f>
        <v>56013</v>
      </c>
      <c r="I122" s="173"/>
      <c r="J122" s="173" t="s">
        <v>237</v>
      </c>
    </row>
    <row r="123" spans="1:10" hidden="1">
      <c r="A123" s="174" t="s">
        <v>6</v>
      </c>
      <c r="B123" s="173" t="s">
        <v>238</v>
      </c>
      <c r="C123" s="173" t="s">
        <v>1373</v>
      </c>
      <c r="D123" s="173" t="s">
        <v>2101</v>
      </c>
      <c r="E123" s="173" t="s">
        <v>1376</v>
      </c>
      <c r="F123" s="173" t="s">
        <v>2037</v>
      </c>
      <c r="G123" s="173" t="s">
        <v>234</v>
      </c>
      <c r="H123" s="178">
        <f>_xlfn.XLOOKUP(B123&amp;"-00",改定!N:N,改定!E:E)</f>
        <v>61312</v>
      </c>
      <c r="I123" s="173"/>
      <c r="J123" s="173" t="s">
        <v>239</v>
      </c>
    </row>
    <row r="124" spans="1:10" hidden="1">
      <c r="A124" s="174" t="s">
        <v>6</v>
      </c>
      <c r="B124" s="173" t="s">
        <v>240</v>
      </c>
      <c r="C124" s="173" t="s">
        <v>1373</v>
      </c>
      <c r="D124" s="173" t="s">
        <v>2101</v>
      </c>
      <c r="E124" s="173" t="s">
        <v>1376</v>
      </c>
      <c r="F124" s="173" t="s">
        <v>2037</v>
      </c>
      <c r="G124" s="173" t="s">
        <v>234</v>
      </c>
      <c r="H124" s="178">
        <f>_xlfn.XLOOKUP(B124&amp;"-00",改定!N:N,改定!E:E)</f>
        <v>61312</v>
      </c>
      <c r="I124" s="173"/>
      <c r="J124" s="173" t="s">
        <v>241</v>
      </c>
    </row>
    <row r="125" spans="1:10" hidden="1">
      <c r="A125" s="174" t="s">
        <v>6</v>
      </c>
      <c r="B125" s="173" t="s">
        <v>242</v>
      </c>
      <c r="C125" s="173" t="s">
        <v>1373</v>
      </c>
      <c r="D125" s="173" t="s">
        <v>2102</v>
      </c>
      <c r="E125" s="173" t="s">
        <v>1376</v>
      </c>
      <c r="F125" s="173" t="s">
        <v>2103</v>
      </c>
      <c r="G125" s="173" t="s">
        <v>234</v>
      </c>
      <c r="H125" s="178">
        <f>_xlfn.XLOOKUP(B125&amp;"-00",改定!N:N,改定!E:E)</f>
        <v>52943</v>
      </c>
      <c r="I125" s="173"/>
      <c r="J125" s="173" t="s">
        <v>224</v>
      </c>
    </row>
    <row r="126" spans="1:10" hidden="1">
      <c r="A126" s="174" t="s">
        <v>6</v>
      </c>
      <c r="B126" s="173" t="s">
        <v>243</v>
      </c>
      <c r="C126" s="173" t="s">
        <v>1373</v>
      </c>
      <c r="D126" s="173" t="s">
        <v>2104</v>
      </c>
      <c r="E126" s="173" t="s">
        <v>1376</v>
      </c>
      <c r="F126" s="173" t="s">
        <v>2103</v>
      </c>
      <c r="G126" s="173" t="s">
        <v>234</v>
      </c>
      <c r="H126" s="178">
        <f>_xlfn.XLOOKUP(B126&amp;"-00",改定!N:N,改定!E:E)</f>
        <v>52943</v>
      </c>
      <c r="I126" s="173"/>
      <c r="J126" s="173" t="s">
        <v>244</v>
      </c>
    </row>
    <row r="127" spans="1:10" hidden="1">
      <c r="A127" s="174" t="s">
        <v>10</v>
      </c>
      <c r="B127" s="173" t="s">
        <v>246</v>
      </c>
      <c r="C127" s="173" t="s">
        <v>1373</v>
      </c>
      <c r="D127" s="173" t="s">
        <v>2101</v>
      </c>
      <c r="E127" s="173" t="s">
        <v>1376</v>
      </c>
      <c r="F127" s="173" t="s">
        <v>2037</v>
      </c>
      <c r="G127" s="173" t="s">
        <v>245</v>
      </c>
      <c r="H127" s="178">
        <f>_xlfn.XLOOKUP(B127&amp;"-00",改定!N:N,改定!E:E)</f>
        <v>55438</v>
      </c>
      <c r="I127" s="173"/>
      <c r="J127" s="173" t="s">
        <v>219</v>
      </c>
    </row>
    <row r="128" spans="1:10" hidden="1">
      <c r="A128" s="174" t="s">
        <v>10</v>
      </c>
      <c r="B128" s="173" t="s">
        <v>247</v>
      </c>
      <c r="C128" s="173" t="s">
        <v>1373</v>
      </c>
      <c r="D128" s="173" t="s">
        <v>2101</v>
      </c>
      <c r="E128" s="173" t="s">
        <v>1376</v>
      </c>
      <c r="F128" s="173" t="s">
        <v>2037</v>
      </c>
      <c r="G128" s="173" t="s">
        <v>245</v>
      </c>
      <c r="H128" s="178">
        <f>_xlfn.XLOOKUP(B128&amp;"-00",改定!N:N,改定!E:E)</f>
        <v>60286</v>
      </c>
      <c r="I128" s="173"/>
      <c r="J128" s="173" t="s">
        <v>237</v>
      </c>
    </row>
    <row r="129" spans="1:10" hidden="1">
      <c r="A129" s="174" t="s">
        <v>6</v>
      </c>
      <c r="B129" s="173" t="s">
        <v>248</v>
      </c>
      <c r="C129" s="173" t="s">
        <v>1373</v>
      </c>
      <c r="D129" s="173" t="s">
        <v>2101</v>
      </c>
      <c r="E129" s="173" t="s">
        <v>1376</v>
      </c>
      <c r="F129" s="173" t="s">
        <v>2037</v>
      </c>
      <c r="G129" s="173" t="s">
        <v>245</v>
      </c>
      <c r="H129" s="178">
        <f>_xlfn.XLOOKUP(B129&amp;"-00",改定!N:N,改定!E:E)</f>
        <v>61312</v>
      </c>
      <c r="I129" s="173"/>
      <c r="J129" s="173" t="s">
        <v>42</v>
      </c>
    </row>
    <row r="130" spans="1:10" hidden="1">
      <c r="A130" s="174" t="s">
        <v>6</v>
      </c>
      <c r="B130" s="173" t="s">
        <v>249</v>
      </c>
      <c r="C130" s="173" t="s">
        <v>1373</v>
      </c>
      <c r="D130" s="173" t="s">
        <v>2101</v>
      </c>
      <c r="E130" s="173" t="s">
        <v>1376</v>
      </c>
      <c r="F130" s="173" t="s">
        <v>2037</v>
      </c>
      <c r="G130" s="173" t="s">
        <v>245</v>
      </c>
      <c r="H130" s="178">
        <f>_xlfn.XLOOKUP(B130&amp;"-00",改定!N:N,改定!E:E)</f>
        <v>61312</v>
      </c>
      <c r="I130" s="173"/>
      <c r="J130" s="173" t="s">
        <v>250</v>
      </c>
    </row>
    <row r="131" spans="1:10" hidden="1">
      <c r="A131" s="174" t="s">
        <v>6</v>
      </c>
      <c r="B131" s="173" t="s">
        <v>1399</v>
      </c>
      <c r="C131" s="173" t="s">
        <v>1373</v>
      </c>
      <c r="D131" s="173" t="s">
        <v>2101</v>
      </c>
      <c r="E131" s="173" t="s">
        <v>1376</v>
      </c>
      <c r="F131" s="173" t="s">
        <v>2037</v>
      </c>
      <c r="G131" s="173" t="s">
        <v>1394</v>
      </c>
      <c r="H131" s="178" t="e">
        <f>_xlfn.XLOOKUP(B131&amp;"-00",改定!N:N,改定!E:E)</f>
        <v>#N/A</v>
      </c>
      <c r="J131" s="173" t="s">
        <v>1385</v>
      </c>
    </row>
    <row r="132" spans="1:10">
      <c r="B132" s="175" t="s">
        <v>609</v>
      </c>
      <c r="C132" s="173" t="s">
        <v>1372</v>
      </c>
      <c r="E132" s="173" t="s">
        <v>1376</v>
      </c>
      <c r="F132" s="173" t="s">
        <v>607</v>
      </c>
      <c r="G132" s="173" t="s">
        <v>174</v>
      </c>
      <c r="H132" s="178" t="str">
        <f>_xlfn.XLOOKUP(B132&amp;"-00",改定!N:N,改定!E:E)</f>
        <v>49120</v>
      </c>
      <c r="J132" s="173" t="s">
        <v>1704</v>
      </c>
    </row>
    <row r="133" spans="1:10">
      <c r="B133" s="173" t="s">
        <v>1409</v>
      </c>
      <c r="C133" s="173" t="s">
        <v>1372</v>
      </c>
      <c r="E133" s="173" t="s">
        <v>1376</v>
      </c>
      <c r="F133" s="173" t="s">
        <v>607</v>
      </c>
      <c r="G133" s="173" t="s">
        <v>1410</v>
      </c>
      <c r="H133" s="178">
        <f>_xlfn.XLOOKUP(B133&amp;"-00",改定!N:N,改定!E:E)</f>
        <v>55360</v>
      </c>
      <c r="J133" s="173" t="s">
        <v>1385</v>
      </c>
    </row>
    <row r="134" spans="1:10" hidden="1">
      <c r="B134" s="173" t="s">
        <v>1424</v>
      </c>
      <c r="C134" s="173" t="s">
        <v>1423</v>
      </c>
      <c r="E134" s="173" t="s">
        <v>1429</v>
      </c>
      <c r="F134" s="173" t="s">
        <v>1430</v>
      </c>
      <c r="G134" s="173" t="s">
        <v>1431</v>
      </c>
      <c r="H134" s="178">
        <f>_xlfn.XLOOKUP(B134&amp;"-00",改定!N:N,改定!E:E)</f>
        <v>49087</v>
      </c>
      <c r="J134" s="173" t="s">
        <v>1432</v>
      </c>
    </row>
    <row r="135" spans="1:10" hidden="1">
      <c r="B135" s="173" t="s">
        <v>1425</v>
      </c>
      <c r="C135" s="173" t="s">
        <v>1423</v>
      </c>
      <c r="E135" s="173" t="s">
        <v>1429</v>
      </c>
      <c r="F135" s="173" t="s">
        <v>1430</v>
      </c>
      <c r="H135" s="178">
        <f>_xlfn.XLOOKUP(B135&amp;"-00",改定!N:N,改定!E:E)</f>
        <v>49844</v>
      </c>
      <c r="J135" s="173" t="s">
        <v>1438</v>
      </c>
    </row>
    <row r="136" spans="1:10" hidden="1">
      <c r="B136" s="173" t="s">
        <v>1426</v>
      </c>
      <c r="C136" s="173" t="s">
        <v>1423</v>
      </c>
      <c r="E136" s="173" t="s">
        <v>1429</v>
      </c>
      <c r="F136" s="173" t="s">
        <v>1446</v>
      </c>
      <c r="H136" s="178" t="str">
        <f>_xlfn.XLOOKUP(B136&amp;"-00",改定!N:N,改定!E:E)</f>
        <v xml:space="preserve">	50115</v>
      </c>
      <c r="J136" s="173" t="s">
        <v>1447</v>
      </c>
    </row>
    <row r="137" spans="1:10" hidden="1">
      <c r="B137" s="173" t="s">
        <v>1427</v>
      </c>
      <c r="C137" s="173" t="s">
        <v>1423</v>
      </c>
      <c r="E137" s="173" t="s">
        <v>1429</v>
      </c>
      <c r="F137" s="173" t="s">
        <v>1446</v>
      </c>
      <c r="H137" s="178">
        <f>_xlfn.XLOOKUP(B137&amp;"-00",改定!N:N,改定!E:E)</f>
        <v>50116</v>
      </c>
      <c r="J137" s="173" t="s">
        <v>1450</v>
      </c>
    </row>
    <row r="138" spans="1:10" hidden="1">
      <c r="B138" t="s">
        <v>1428</v>
      </c>
      <c r="C138" s="173" t="s">
        <v>1423</v>
      </c>
      <c r="E138" s="173" t="s">
        <v>1429</v>
      </c>
      <c r="F138" s="173" t="s">
        <v>1430</v>
      </c>
      <c r="H138" s="178">
        <f>_xlfn.XLOOKUP(B138&amp;"-00",改定!N:N,改定!E:E)</f>
        <v>53936</v>
      </c>
      <c r="J138" s="173" t="s">
        <v>1473</v>
      </c>
    </row>
    <row r="139" spans="1:10" hidden="1">
      <c r="B139" t="s">
        <v>1472</v>
      </c>
      <c r="C139" s="173" t="s">
        <v>1372</v>
      </c>
      <c r="E139" s="173" t="s">
        <v>1378</v>
      </c>
      <c r="F139" s="173" t="s">
        <v>1478</v>
      </c>
      <c r="G139" s="173" t="s">
        <v>1483</v>
      </c>
      <c r="H139" s="178">
        <f>_xlfn.XLOOKUP(B139&amp;"-00",改定!N:N,改定!E:E)</f>
        <v>51442</v>
      </c>
      <c r="J139" s="173" t="s">
        <v>1471</v>
      </c>
    </row>
    <row r="140" spans="1:10" hidden="1">
      <c r="B140" s="173" t="s">
        <v>1477</v>
      </c>
      <c r="C140" s="173" t="s">
        <v>1372</v>
      </c>
      <c r="E140" s="173" t="s">
        <v>1378</v>
      </c>
      <c r="F140" s="173" t="s">
        <v>1915</v>
      </c>
      <c r="G140" s="173" t="s">
        <v>1483</v>
      </c>
      <c r="H140" s="178" t="str">
        <f>_xlfn.XLOOKUP(B140&amp;"-00",改定!N:N,改定!E:E)</f>
        <v>54969</v>
      </c>
      <c r="J140" s="173" t="s">
        <v>1481</v>
      </c>
    </row>
    <row r="141" spans="1:10" hidden="1">
      <c r="B141" s="173" t="s">
        <v>1489</v>
      </c>
      <c r="C141" s="173" t="s">
        <v>1372</v>
      </c>
      <c r="E141" s="173" t="s">
        <v>1647</v>
      </c>
      <c r="G141" s="173" t="s">
        <v>1490</v>
      </c>
      <c r="H141" s="178" t="e">
        <f>_xlfn.XLOOKUP(B141&amp;"-00",改定!N:N,改定!E:E)</f>
        <v>#N/A</v>
      </c>
      <c r="J141" s="173" t="s">
        <v>29</v>
      </c>
    </row>
    <row r="142" spans="1:10" hidden="1">
      <c r="B142" s="173" t="s">
        <v>1487</v>
      </c>
      <c r="C142" s="173" t="s">
        <v>1372</v>
      </c>
      <c r="E142" s="173" t="s">
        <v>1647</v>
      </c>
      <c r="G142" s="173" t="s">
        <v>1490</v>
      </c>
      <c r="H142" s="178" t="e">
        <f>_xlfn.XLOOKUP(B142&amp;"-00",改定!N:N,改定!E:E)</f>
        <v>#N/A</v>
      </c>
      <c r="J142" s="173" t="s">
        <v>1488</v>
      </c>
    </row>
    <row r="143" spans="1:10" hidden="1">
      <c r="B143" s="173" t="s">
        <v>1485</v>
      </c>
      <c r="C143" s="173" t="s">
        <v>1372</v>
      </c>
      <c r="E143" s="173" t="s">
        <v>1647</v>
      </c>
      <c r="F143"/>
      <c r="G143" s="173" t="s">
        <v>1490</v>
      </c>
      <c r="H143" s="178" t="e">
        <f>_xlfn.XLOOKUP(B143&amp;"-00",改定!N:N,改定!E:E)</f>
        <v>#N/A</v>
      </c>
      <c r="J143" s="173" t="s">
        <v>1486</v>
      </c>
    </row>
    <row r="144" spans="1:10" hidden="1">
      <c r="A144" s="174" t="s">
        <v>6</v>
      </c>
      <c r="B144" s="173" t="s">
        <v>1500</v>
      </c>
      <c r="C144" s="173" t="s">
        <v>1373</v>
      </c>
      <c r="D144" s="173" t="s">
        <v>2101</v>
      </c>
      <c r="E144" s="173" t="s">
        <v>1376</v>
      </c>
      <c r="F144" s="173" t="s">
        <v>2037</v>
      </c>
      <c r="G144" s="173" t="s">
        <v>234</v>
      </c>
      <c r="H144" s="178" t="str">
        <f>_xlfn.XLOOKUP(B144&amp;"-00",改定!N:N,改定!E:E)</f>
        <v xml:space="preserve">	63173</v>
      </c>
      <c r="I144" s="173" t="s">
        <v>1240</v>
      </c>
      <c r="J144" t="s">
        <v>1506</v>
      </c>
    </row>
    <row r="145" spans="1:10" hidden="1">
      <c r="A145" s="174" t="s">
        <v>6</v>
      </c>
      <c r="B145" s="173" t="s">
        <v>1502</v>
      </c>
      <c r="C145" s="173" t="s">
        <v>1373</v>
      </c>
      <c r="D145" s="173" t="s">
        <v>2101</v>
      </c>
      <c r="E145" s="173" t="s">
        <v>1376</v>
      </c>
      <c r="F145" s="173" t="s">
        <v>2037</v>
      </c>
      <c r="G145" s="173" t="s">
        <v>234</v>
      </c>
      <c r="H145" s="178" t="str">
        <f>_xlfn.XLOOKUP(B145&amp;"-00",改定!N:N,改定!E:E)</f>
        <v xml:space="preserve">	63173</v>
      </c>
      <c r="I145" s="173" t="s">
        <v>1240</v>
      </c>
      <c r="J145" t="s">
        <v>1507</v>
      </c>
    </row>
    <row r="146" spans="1:10" hidden="1">
      <c r="A146" s="174" t="s">
        <v>6</v>
      </c>
      <c r="B146" s="173" t="s">
        <v>1504</v>
      </c>
      <c r="C146" s="173" t="s">
        <v>1373</v>
      </c>
      <c r="D146" s="173" t="s">
        <v>2101</v>
      </c>
      <c r="E146" s="173" t="s">
        <v>1376</v>
      </c>
      <c r="F146" s="173" t="s">
        <v>2037</v>
      </c>
      <c r="G146" s="173" t="s">
        <v>245</v>
      </c>
      <c r="H146" s="178" t="str">
        <f>_xlfn.XLOOKUP(B146&amp;"-00",改定!N:N,改定!E:E)</f>
        <v>63312</v>
      </c>
      <c r="I146" s="173" t="s">
        <v>1240</v>
      </c>
      <c r="J146" t="s">
        <v>1506</v>
      </c>
    </row>
    <row r="147" spans="1:10" hidden="1">
      <c r="A147" s="174" t="s">
        <v>6</v>
      </c>
      <c r="B147" s="173" t="s">
        <v>1505</v>
      </c>
      <c r="C147" s="173" t="s">
        <v>1373</v>
      </c>
      <c r="D147" s="173" t="s">
        <v>2101</v>
      </c>
      <c r="E147" s="173" t="s">
        <v>1376</v>
      </c>
      <c r="F147" s="173" t="s">
        <v>2037</v>
      </c>
      <c r="G147" s="173" t="s">
        <v>245</v>
      </c>
      <c r="H147" s="178" t="str">
        <f>_xlfn.XLOOKUP(B147&amp;"-00",改定!N:N,改定!E:E)</f>
        <v>63312</v>
      </c>
      <c r="I147" s="173" t="s">
        <v>1240</v>
      </c>
      <c r="J147" t="s">
        <v>1507</v>
      </c>
    </row>
    <row r="148" spans="1:10" hidden="1">
      <c r="B148" s="175" t="s">
        <v>1613</v>
      </c>
      <c r="C148" s="173" t="s">
        <v>1492</v>
      </c>
      <c r="E148" s="173" t="s">
        <v>1376</v>
      </c>
      <c r="G148" s="173" t="s">
        <v>1616</v>
      </c>
      <c r="H148" s="178" t="e">
        <f>_xlfn.XLOOKUP(B148&amp;"-00",改定!N:N,改定!E:E)</f>
        <v>#N/A</v>
      </c>
      <c r="J148" t="s">
        <v>1614</v>
      </c>
    </row>
    <row r="149" spans="1:10" hidden="1">
      <c r="B149" s="175" t="s">
        <v>1655</v>
      </c>
      <c r="C149" s="173" t="s">
        <v>1492</v>
      </c>
      <c r="E149" s="173" t="s">
        <v>1376</v>
      </c>
      <c r="G149" s="173" t="s">
        <v>1617</v>
      </c>
      <c r="H149" s="178" t="e">
        <f>_xlfn.XLOOKUP(B149&amp;"-00",改定!N:N,改定!E:E)</f>
        <v>#N/A</v>
      </c>
      <c r="J149" t="s">
        <v>1615</v>
      </c>
    </row>
    <row r="150" spans="1:10">
      <c r="B150" s="175" t="s">
        <v>1548</v>
      </c>
      <c r="C150" s="173" t="s">
        <v>1492</v>
      </c>
      <c r="E150" s="173" t="s">
        <v>1376</v>
      </c>
      <c r="G150" s="173" t="s">
        <v>1547</v>
      </c>
      <c r="H150" s="178" t="e">
        <f>_xlfn.XLOOKUP(B150&amp;"-00",改定!N:N,改定!E:E)</f>
        <v>#N/A</v>
      </c>
      <c r="J150" t="s">
        <v>1620</v>
      </c>
    </row>
    <row r="151" spans="1:10" hidden="1">
      <c r="B151" s="175" t="s">
        <v>1525</v>
      </c>
      <c r="C151" s="173" t="s">
        <v>1492</v>
      </c>
      <c r="E151" s="173" t="s">
        <v>1376</v>
      </c>
      <c r="G151" s="173" t="s">
        <v>1602</v>
      </c>
      <c r="H151" s="178" t="e">
        <f>_xlfn.XLOOKUP(B151&amp;"-00",改定!N:N,改定!E:E)</f>
        <v>#N/A</v>
      </c>
    </row>
    <row r="152" spans="1:10" hidden="1">
      <c r="B152" s="144" t="s">
        <v>1549</v>
      </c>
      <c r="C152" s="173" t="s">
        <v>1492</v>
      </c>
      <c r="E152" s="173" t="s">
        <v>1376</v>
      </c>
      <c r="G152" s="173" t="s">
        <v>1605</v>
      </c>
      <c r="H152" s="178" t="e">
        <f>_xlfn.XLOOKUP(B152&amp;"-00",改定!N:N,改定!E:E)</f>
        <v>#N/A</v>
      </c>
    </row>
    <row r="153" spans="1:10" hidden="1">
      <c r="B153" s="144" t="s">
        <v>1618</v>
      </c>
      <c r="C153" s="173" t="s">
        <v>1492</v>
      </c>
      <c r="E153" s="173" t="s">
        <v>1376</v>
      </c>
      <c r="G153" s="173" t="s">
        <v>1605</v>
      </c>
      <c r="H153" s="178" t="e">
        <f>_xlfn.XLOOKUP(B153&amp;"-00",改定!N:N,改定!E:E)</f>
        <v>#N/A</v>
      </c>
      <c r="J153" t="s">
        <v>1619</v>
      </c>
    </row>
    <row r="154" spans="1:10" hidden="1">
      <c r="B154" s="144" t="s">
        <v>1552</v>
      </c>
      <c r="C154" s="173" t="s">
        <v>1492</v>
      </c>
      <c r="E154" s="173" t="s">
        <v>1376</v>
      </c>
      <c r="G154" s="173" t="s">
        <v>1535</v>
      </c>
      <c r="H154" s="178" t="e">
        <f>_xlfn.XLOOKUP(B154&amp;"-00",改定!N:N,改定!E:E)</f>
        <v>#N/A</v>
      </c>
      <c r="J154" t="s">
        <v>1620</v>
      </c>
    </row>
    <row r="155" spans="1:10" hidden="1">
      <c r="B155" s="144" t="s">
        <v>1553</v>
      </c>
      <c r="C155" s="173" t="s">
        <v>1492</v>
      </c>
      <c r="E155" s="173" t="s">
        <v>1376</v>
      </c>
      <c r="G155" s="173" t="s">
        <v>1535</v>
      </c>
      <c r="H155" s="178" t="e">
        <f>_xlfn.XLOOKUP(B155&amp;"-00",改定!N:N,改定!E:E)</f>
        <v>#N/A</v>
      </c>
      <c r="J155" t="s">
        <v>1619</v>
      </c>
    </row>
    <row r="156" spans="1:10" hidden="1">
      <c r="B156" s="175" t="s">
        <v>1522</v>
      </c>
      <c r="C156" s="173" t="s">
        <v>1492</v>
      </c>
      <c r="E156" s="173" t="s">
        <v>1376</v>
      </c>
      <c r="G156" s="173" t="s">
        <v>263</v>
      </c>
      <c r="H156" s="178" t="e">
        <f>_xlfn.XLOOKUP(B156&amp;"-00",改定!N:N,改定!E:E)</f>
        <v>#N/A</v>
      </c>
      <c r="J156" t="s">
        <v>1620</v>
      </c>
    </row>
    <row r="157" spans="1:10" hidden="1">
      <c r="B157" s="144" t="s">
        <v>1551</v>
      </c>
      <c r="C157" s="173" t="s">
        <v>1492</v>
      </c>
      <c r="E157" s="173" t="s">
        <v>1376</v>
      </c>
      <c r="G157" s="176" t="s">
        <v>1603</v>
      </c>
      <c r="H157" s="178" t="e">
        <f>_xlfn.XLOOKUP(B157&amp;"-00",改定!N:N,改定!E:E)</f>
        <v>#N/A</v>
      </c>
      <c r="J157" t="s">
        <v>1620</v>
      </c>
    </row>
    <row r="158" spans="1:10" hidden="1">
      <c r="B158" s="175" t="s">
        <v>1524</v>
      </c>
      <c r="C158" s="173" t="s">
        <v>1492</v>
      </c>
      <c r="E158" s="173" t="s">
        <v>1376</v>
      </c>
      <c r="G158" s="173" t="s">
        <v>1523</v>
      </c>
      <c r="H158" s="178" t="e">
        <f>_xlfn.XLOOKUP(B158&amp;"-00",改定!N:N,改定!E:E)</f>
        <v>#N/A</v>
      </c>
      <c r="J158" t="s">
        <v>1620</v>
      </c>
    </row>
    <row r="159" spans="1:10" hidden="1">
      <c r="B159" s="175" t="s">
        <v>1624</v>
      </c>
      <c r="C159" s="173" t="s">
        <v>1492</v>
      </c>
      <c r="E159" s="173" t="s">
        <v>1376</v>
      </c>
      <c r="G159" s="173" t="s">
        <v>1523</v>
      </c>
      <c r="H159" s="178" t="e">
        <f>_xlfn.XLOOKUP(B159&amp;"-00",改定!N:N,改定!E:E)</f>
        <v>#N/A</v>
      </c>
      <c r="J159" t="s">
        <v>1619</v>
      </c>
    </row>
    <row r="160" spans="1:10" hidden="1">
      <c r="B160" s="144" t="s">
        <v>1550</v>
      </c>
      <c r="C160" s="173" t="s">
        <v>1492</v>
      </c>
      <c r="E160" s="173" t="s">
        <v>1376</v>
      </c>
      <c r="G160" s="176" t="s">
        <v>1604</v>
      </c>
      <c r="H160" s="178" t="e">
        <f>_xlfn.XLOOKUP(B160&amp;"-00",改定!N:N,改定!E:E)</f>
        <v>#N/A</v>
      </c>
      <c r="J160" t="s">
        <v>1619</v>
      </c>
    </row>
    <row r="161" spans="2:10" hidden="1">
      <c r="B161" s="175" t="s">
        <v>1527</v>
      </c>
      <c r="C161" s="173" t="s">
        <v>1492</v>
      </c>
      <c r="E161" s="173" t="s">
        <v>1376</v>
      </c>
      <c r="G161" s="173" t="s">
        <v>1526</v>
      </c>
      <c r="H161" s="178" t="e">
        <f>_xlfn.XLOOKUP(B161&amp;"-00",改定!N:N,改定!E:E)</f>
        <v>#N/A</v>
      </c>
      <c r="J161" t="s">
        <v>1620</v>
      </c>
    </row>
    <row r="162" spans="2:10" hidden="1">
      <c r="B162" s="175" t="s">
        <v>1521</v>
      </c>
      <c r="C162" s="173" t="s">
        <v>1492</v>
      </c>
      <c r="E162" s="173" t="s">
        <v>1376</v>
      </c>
      <c r="G162" s="173" t="s">
        <v>518</v>
      </c>
      <c r="H162" s="178" t="str">
        <f>_xlfn.XLOOKUP(B162&amp;"-00",改定!N:N,改定!E:E)</f>
        <v>41940</v>
      </c>
      <c r="J162" t="s">
        <v>1625</v>
      </c>
    </row>
    <row r="163" spans="2:10" hidden="1">
      <c r="B163" s="175" t="s">
        <v>1536</v>
      </c>
      <c r="C163" s="173" t="s">
        <v>1492</v>
      </c>
      <c r="E163" s="173" t="s">
        <v>1376</v>
      </c>
      <c r="G163" s="173" t="s">
        <v>514</v>
      </c>
      <c r="H163" s="178" t="e">
        <f>_xlfn.XLOOKUP(B163&amp;"-00",改定!N:N,改定!E:E)</f>
        <v>#N/A</v>
      </c>
      <c r="J163" t="s">
        <v>1620</v>
      </c>
    </row>
    <row r="164" spans="2:10" hidden="1">
      <c r="B164" s="175" t="s">
        <v>1538</v>
      </c>
      <c r="C164" s="173" t="s">
        <v>1492</v>
      </c>
      <c r="E164" s="173" t="s">
        <v>1376</v>
      </c>
      <c r="G164" s="173" t="s">
        <v>1537</v>
      </c>
      <c r="H164" s="178" t="e">
        <f>_xlfn.XLOOKUP(B164&amp;"-00",改定!N:N,改定!E:E)</f>
        <v>#N/A</v>
      </c>
      <c r="J164" t="s">
        <v>1626</v>
      </c>
    </row>
    <row r="165" spans="2:10" hidden="1">
      <c r="B165" s="175" t="s">
        <v>1540</v>
      </c>
      <c r="C165" s="173" t="s">
        <v>1492</v>
      </c>
      <c r="E165" s="173" t="s">
        <v>1376</v>
      </c>
      <c r="G165" s="173" t="s">
        <v>1539</v>
      </c>
      <c r="H165" s="178" t="e">
        <f>_xlfn.XLOOKUP(B165&amp;"-00",改定!N:N,改定!E:E)</f>
        <v>#N/A</v>
      </c>
      <c r="J165" t="s">
        <v>1620</v>
      </c>
    </row>
    <row r="166" spans="2:10" hidden="1">
      <c r="B166" s="175" t="s">
        <v>1544</v>
      </c>
      <c r="C166" s="173" t="s">
        <v>1492</v>
      </c>
      <c r="E166" s="173" t="s">
        <v>1376</v>
      </c>
      <c r="G166" s="173" t="s">
        <v>1609</v>
      </c>
      <c r="H166" s="178" t="e">
        <f>_xlfn.XLOOKUP(B166&amp;"-00",改定!N:N,改定!E:E)</f>
        <v>#N/A</v>
      </c>
      <c r="J166" t="s">
        <v>1620</v>
      </c>
    </row>
    <row r="167" spans="2:10" hidden="1">
      <c r="B167" s="175" t="s">
        <v>1529</v>
      </c>
      <c r="C167" s="173" t="s">
        <v>1492</v>
      </c>
      <c r="E167" s="173" t="s">
        <v>1376</v>
      </c>
      <c r="G167" s="173" t="s">
        <v>1528</v>
      </c>
      <c r="H167" s="178" t="e">
        <f>_xlfn.XLOOKUP(B167&amp;"-00",改定!N:N,改定!E:E)</f>
        <v>#N/A</v>
      </c>
      <c r="J167" t="s">
        <v>1620</v>
      </c>
    </row>
    <row r="168" spans="2:10" hidden="1">
      <c r="B168" s="175" t="s">
        <v>1628</v>
      </c>
      <c r="C168" s="173" t="s">
        <v>1492</v>
      </c>
      <c r="E168" s="173" t="s">
        <v>1376</v>
      </c>
      <c r="G168" s="173" t="s">
        <v>1627</v>
      </c>
      <c r="H168" s="178" t="e">
        <f>_xlfn.XLOOKUP(B168&amp;"-00",改定!N:N,改定!E:E)</f>
        <v>#N/A</v>
      </c>
      <c r="J168" t="s">
        <v>1619</v>
      </c>
    </row>
    <row r="169" spans="2:10" hidden="1">
      <c r="B169" s="175" t="s">
        <v>1629</v>
      </c>
      <c r="C169" s="173" t="s">
        <v>1492</v>
      </c>
      <c r="E169" s="173" t="s">
        <v>1376</v>
      </c>
      <c r="G169" s="173" t="s">
        <v>1528</v>
      </c>
      <c r="H169" s="178" t="e">
        <f>_xlfn.XLOOKUP(B169&amp;"-00",改定!N:N,改定!E:E)</f>
        <v>#N/A</v>
      </c>
      <c r="J169" t="s">
        <v>1619</v>
      </c>
    </row>
    <row r="170" spans="2:10" hidden="1">
      <c r="B170" s="175" t="s">
        <v>1630</v>
      </c>
      <c r="C170" s="173" t="s">
        <v>1492</v>
      </c>
      <c r="E170" s="173" t="s">
        <v>1376</v>
      </c>
      <c r="G170" s="173" t="s">
        <v>185</v>
      </c>
      <c r="H170" s="178" t="e">
        <f>_xlfn.XLOOKUP(B170&amp;"-00",改定!N:N,改定!E:E)</f>
        <v>#N/A</v>
      </c>
      <c r="J170" t="s">
        <v>1619</v>
      </c>
    </row>
    <row r="171" spans="2:10" hidden="1">
      <c r="B171" s="175" t="s">
        <v>1546</v>
      </c>
      <c r="C171" s="173" t="s">
        <v>1492</v>
      </c>
      <c r="E171" s="173" t="s">
        <v>1376</v>
      </c>
      <c r="G171" s="173" t="s">
        <v>1545</v>
      </c>
      <c r="H171" s="178" t="e">
        <f>_xlfn.XLOOKUP(B171&amp;"-00",改定!N:N,改定!E:E)</f>
        <v>#N/A</v>
      </c>
      <c r="J171" t="s">
        <v>1620</v>
      </c>
    </row>
    <row r="172" spans="2:10" hidden="1">
      <c r="B172" s="175" t="s">
        <v>1518</v>
      </c>
      <c r="C172" s="173" t="s">
        <v>1492</v>
      </c>
      <c r="E172" s="173" t="s">
        <v>1376</v>
      </c>
      <c r="G172" s="173" t="s">
        <v>1517</v>
      </c>
      <c r="H172" s="178">
        <f>_xlfn.XLOOKUP(B172&amp;"-00",改定!N:N,改定!E:E)</f>
        <v>40471</v>
      </c>
      <c r="J172" t="s">
        <v>1620</v>
      </c>
    </row>
    <row r="173" spans="2:10" hidden="1">
      <c r="B173" s="175" t="s">
        <v>1520</v>
      </c>
      <c r="C173" s="173" t="s">
        <v>1492</v>
      </c>
      <c r="E173" s="173" t="s">
        <v>1376</v>
      </c>
      <c r="G173" s="173" t="s">
        <v>1519</v>
      </c>
      <c r="H173" s="178" t="str">
        <f>_xlfn.XLOOKUP(B173&amp;"-00",改定!N:N,改定!E:E)</f>
        <v>41940</v>
      </c>
      <c r="J173" t="s">
        <v>1620</v>
      </c>
    </row>
    <row r="174" spans="2:10" hidden="1">
      <c r="B174" s="173" t="s">
        <v>1491</v>
      </c>
      <c r="C174" s="173" t="s">
        <v>1492</v>
      </c>
      <c r="E174" s="173" t="s">
        <v>1376</v>
      </c>
      <c r="G174" s="173" t="s">
        <v>1543</v>
      </c>
      <c r="H174" s="178" t="str">
        <f>_xlfn.XLOOKUP(B174&amp;"-00",改定!N:N,改定!E:E)</f>
        <v>45920</v>
      </c>
      <c r="J174" s="173" t="s">
        <v>1631</v>
      </c>
    </row>
    <row r="175" spans="2:10" hidden="1">
      <c r="B175" s="144" t="s">
        <v>1557</v>
      </c>
      <c r="C175" s="173" t="s">
        <v>1492</v>
      </c>
      <c r="E175" s="173" t="s">
        <v>1376</v>
      </c>
      <c r="G175" s="173" t="s">
        <v>1532</v>
      </c>
      <c r="H175" s="178" t="e">
        <f>_xlfn.XLOOKUP(B175&amp;"-00",改定!N:N,改定!E:E)</f>
        <v>#N/A</v>
      </c>
      <c r="J175" s="173" t="s">
        <v>1631</v>
      </c>
    </row>
    <row r="176" spans="2:10" hidden="1">
      <c r="B176" s="144" t="s">
        <v>1558</v>
      </c>
      <c r="C176" s="173" t="s">
        <v>1492</v>
      </c>
      <c r="E176" s="173" t="s">
        <v>1376</v>
      </c>
      <c r="G176" s="173" t="s">
        <v>1532</v>
      </c>
      <c r="H176" s="178" t="e">
        <f>_xlfn.XLOOKUP(B176&amp;"-00",改定!N:N,改定!E:E)</f>
        <v>#N/A</v>
      </c>
      <c r="J176" t="s">
        <v>1619</v>
      </c>
    </row>
    <row r="177" spans="2:10" hidden="1">
      <c r="B177" s="175" t="s">
        <v>1534</v>
      </c>
      <c r="C177" s="173" t="s">
        <v>1492</v>
      </c>
      <c r="E177" s="173" t="s">
        <v>1376</v>
      </c>
      <c r="G177" s="173" t="s">
        <v>1533</v>
      </c>
      <c r="H177" s="178" t="e">
        <f>_xlfn.XLOOKUP(B177&amp;"-00",改定!N:N,改定!E:E)</f>
        <v>#N/A</v>
      </c>
      <c r="J177" s="173" t="s">
        <v>1631</v>
      </c>
    </row>
    <row r="178" spans="2:10" hidden="1">
      <c r="B178" s="175" t="s">
        <v>1632</v>
      </c>
      <c r="C178" s="173" t="s">
        <v>1492</v>
      </c>
      <c r="E178" s="173" t="s">
        <v>1376</v>
      </c>
      <c r="G178" s="173" t="s">
        <v>1533</v>
      </c>
      <c r="H178" s="178" t="e">
        <f>_xlfn.XLOOKUP(B178&amp;"-00",改定!N:N,改定!E:E)</f>
        <v>#N/A</v>
      </c>
      <c r="J178" t="s">
        <v>1619</v>
      </c>
    </row>
    <row r="179" spans="2:10" hidden="1">
      <c r="B179" t="s">
        <v>1530</v>
      </c>
      <c r="C179" s="173" t="s">
        <v>1492</v>
      </c>
      <c r="E179" s="173" t="s">
        <v>1376</v>
      </c>
      <c r="G179" s="173" t="s">
        <v>1606</v>
      </c>
      <c r="H179" s="178" t="e">
        <f>_xlfn.XLOOKUP(B179&amp;"-00",改定!N:N,改定!E:E)</f>
        <v>#N/A</v>
      </c>
      <c r="J179" s="173" t="s">
        <v>1631</v>
      </c>
    </row>
    <row r="180" spans="2:10" hidden="1">
      <c r="B180" s="175" t="s">
        <v>1531</v>
      </c>
      <c r="C180" s="173" t="s">
        <v>1492</v>
      </c>
      <c r="E180" s="173" t="s">
        <v>1376</v>
      </c>
      <c r="G180" s="173" t="s">
        <v>1607</v>
      </c>
      <c r="H180" s="178" t="e">
        <f>_xlfn.XLOOKUP(B180&amp;"-00",改定!N:N,改定!E:E)</f>
        <v>#N/A</v>
      </c>
      <c r="J180" s="173" t="s">
        <v>1631</v>
      </c>
    </row>
    <row r="181" spans="2:10" hidden="1">
      <c r="B181" s="175" t="s">
        <v>1638</v>
      </c>
      <c r="C181" s="173" t="s">
        <v>1492</v>
      </c>
      <c r="E181" s="173" t="s">
        <v>1376</v>
      </c>
      <c r="G181" s="173" t="s">
        <v>1607</v>
      </c>
      <c r="H181" s="178" t="e">
        <f>_xlfn.XLOOKUP(B181&amp;"-00",改定!N:N,改定!E:E)</f>
        <v>#N/A</v>
      </c>
      <c r="J181" t="s">
        <v>1619</v>
      </c>
    </row>
    <row r="182" spans="2:10" hidden="1">
      <c r="B182" t="s">
        <v>1541</v>
      </c>
      <c r="C182" s="173" t="s">
        <v>1492</v>
      </c>
      <c r="E182" s="173" t="s">
        <v>1376</v>
      </c>
      <c r="G182" s="173" t="s">
        <v>1610</v>
      </c>
      <c r="H182" s="178" t="e">
        <f>_xlfn.XLOOKUP(B182&amp;"-00",改定!N:N,改定!E:E)</f>
        <v>#N/A</v>
      </c>
      <c r="J182" t="s">
        <v>1620</v>
      </c>
    </row>
    <row r="183" spans="2:10" hidden="1">
      <c r="B183" t="s">
        <v>1639</v>
      </c>
      <c r="C183" s="173" t="s">
        <v>1492</v>
      </c>
      <c r="E183" s="173" t="s">
        <v>1376</v>
      </c>
      <c r="G183" s="173" t="s">
        <v>160</v>
      </c>
      <c r="H183" s="178" t="e">
        <f>_xlfn.XLOOKUP(B183&amp;"-00",改定!N:N,改定!E:E)</f>
        <v>#N/A</v>
      </c>
      <c r="J183" t="s">
        <v>1641</v>
      </c>
    </row>
    <row r="184" spans="2:10" hidden="1">
      <c r="B184" t="s">
        <v>1656</v>
      </c>
      <c r="C184" s="173" t="s">
        <v>1492</v>
      </c>
      <c r="E184" s="173" t="s">
        <v>1376</v>
      </c>
      <c r="G184" s="173" t="s">
        <v>160</v>
      </c>
      <c r="H184" s="178" t="e">
        <f>_xlfn.XLOOKUP(B184&amp;"-00",改定!N:N,改定!E:E)</f>
        <v>#N/A</v>
      </c>
      <c r="J184" t="s">
        <v>1640</v>
      </c>
    </row>
    <row r="185" spans="2:10" hidden="1">
      <c r="B185" s="144" t="s">
        <v>1657</v>
      </c>
      <c r="C185" s="173" t="s">
        <v>1492</v>
      </c>
      <c r="E185" s="173" t="s">
        <v>1376</v>
      </c>
      <c r="G185" s="173" t="s">
        <v>1610</v>
      </c>
      <c r="H185" s="178" t="e">
        <f>_xlfn.XLOOKUP(B185&amp;"-00",改定!N:N,改定!E:E)</f>
        <v>#N/A</v>
      </c>
      <c r="J185" t="s">
        <v>1620</v>
      </c>
    </row>
    <row r="186" spans="2:10" hidden="1">
      <c r="B186" s="144" t="s">
        <v>1554</v>
      </c>
      <c r="C186" s="173" t="s">
        <v>1492</v>
      </c>
      <c r="E186" s="173" t="s">
        <v>1376</v>
      </c>
      <c r="G186" s="173" t="s">
        <v>1542</v>
      </c>
      <c r="H186" s="178" t="e">
        <f>_xlfn.XLOOKUP(B186&amp;"-00",改定!N:N,改定!E:E)</f>
        <v>#N/A</v>
      </c>
      <c r="J186" t="s">
        <v>1620</v>
      </c>
    </row>
    <row r="187" spans="2:10" hidden="1">
      <c r="B187" s="144" t="s">
        <v>1555</v>
      </c>
      <c r="C187" s="173" t="s">
        <v>1492</v>
      </c>
      <c r="E187" s="173" t="s">
        <v>1376</v>
      </c>
      <c r="G187" s="173" t="s">
        <v>1542</v>
      </c>
      <c r="H187" s="178" t="e">
        <f>_xlfn.XLOOKUP(B187&amp;"-00",改定!N:N,改定!E:E)</f>
        <v>#N/A</v>
      </c>
      <c r="J187" t="s">
        <v>1619</v>
      </c>
    </row>
    <row r="188" spans="2:10" hidden="1">
      <c r="B188" s="175" t="s">
        <v>1633</v>
      </c>
      <c r="C188" s="173" t="s">
        <v>1492</v>
      </c>
      <c r="E188" s="173" t="s">
        <v>1376</v>
      </c>
      <c r="G188" s="173" t="s">
        <v>1612</v>
      </c>
      <c r="H188" s="178" t="e">
        <f>_xlfn.XLOOKUP(B188&amp;"-00",改定!N:N,改定!E:E)</f>
        <v>#N/A</v>
      </c>
      <c r="J188" t="s">
        <v>1634</v>
      </c>
    </row>
    <row r="189" spans="2:10" hidden="1">
      <c r="B189" s="175" t="s">
        <v>1636</v>
      </c>
      <c r="C189" s="173" t="s">
        <v>1492</v>
      </c>
      <c r="E189" s="173" t="s">
        <v>1376</v>
      </c>
      <c r="G189" s="173" t="s">
        <v>1612</v>
      </c>
      <c r="H189" s="178" t="e">
        <f>_xlfn.XLOOKUP(B189&amp;"-00",改定!N:N,改定!E:E)</f>
        <v>#N/A</v>
      </c>
      <c r="J189" t="s">
        <v>1635</v>
      </c>
    </row>
    <row r="190" spans="2:10" hidden="1">
      <c r="B190" s="175" t="s">
        <v>1658</v>
      </c>
      <c r="C190" s="173" t="s">
        <v>1492</v>
      </c>
      <c r="E190" s="173" t="s">
        <v>1376</v>
      </c>
      <c r="G190" s="173" t="s">
        <v>232</v>
      </c>
      <c r="H190" s="178" t="e">
        <f>_xlfn.XLOOKUP(B190&amp;"-00",改定!N:N,改定!E:E)</f>
        <v>#N/A</v>
      </c>
      <c r="J190" t="s">
        <v>1620</v>
      </c>
    </row>
    <row r="191" spans="2:10" hidden="1">
      <c r="B191" s="175" t="s">
        <v>1637</v>
      </c>
      <c r="C191" s="173" t="s">
        <v>1492</v>
      </c>
      <c r="E191" s="173" t="s">
        <v>1376</v>
      </c>
      <c r="G191" s="173" t="s">
        <v>232</v>
      </c>
      <c r="H191" s="178" t="e">
        <f>_xlfn.XLOOKUP(B191&amp;"-00",改定!N:N,改定!E:E)</f>
        <v>#N/A</v>
      </c>
      <c r="J191" t="s">
        <v>1619</v>
      </c>
    </row>
    <row r="192" spans="2:10" hidden="1">
      <c r="B192" s="175" t="s">
        <v>1642</v>
      </c>
      <c r="C192" s="173" t="s">
        <v>1492</v>
      </c>
      <c r="E192" s="173" t="s">
        <v>1647</v>
      </c>
      <c r="G192" s="173" t="s">
        <v>1659</v>
      </c>
      <c r="H192" s="178" t="e">
        <f>_xlfn.XLOOKUP(B192&amp;"-00",改定!N:N,改定!E:E)</f>
        <v>#N/A</v>
      </c>
      <c r="J192" t="s">
        <v>1643</v>
      </c>
    </row>
    <row r="193" spans="2:10" hidden="1">
      <c r="B193" s="175" t="s">
        <v>1646</v>
      </c>
      <c r="C193" s="173" t="s">
        <v>1492</v>
      </c>
      <c r="E193" s="173" t="s">
        <v>1647</v>
      </c>
      <c r="G193" s="173" t="s">
        <v>1644</v>
      </c>
      <c r="H193" s="178" t="e">
        <f>_xlfn.XLOOKUP(B193&amp;"-00",改定!N:N,改定!E:E)</f>
        <v>#N/A</v>
      </c>
      <c r="J193" t="s">
        <v>1645</v>
      </c>
    </row>
    <row r="194" spans="2:10" hidden="1">
      <c r="B194" s="175" t="s">
        <v>1648</v>
      </c>
      <c r="C194" s="173" t="s">
        <v>1492</v>
      </c>
      <c r="E194" s="173" t="s">
        <v>1647</v>
      </c>
      <c r="G194" s="173" t="s">
        <v>1649</v>
      </c>
      <c r="H194" s="178" t="e">
        <f>_xlfn.XLOOKUP(B194&amp;"-00",改定!N:N,改定!E:E)</f>
        <v>#N/A</v>
      </c>
      <c r="J194" t="s">
        <v>1650</v>
      </c>
    </row>
    <row r="195" spans="2:10" hidden="1">
      <c r="B195" s="175" t="s">
        <v>1622</v>
      </c>
      <c r="C195" s="173" t="s">
        <v>1492</v>
      </c>
      <c r="E195" s="173" t="s">
        <v>1376</v>
      </c>
      <c r="G195" s="173" t="s">
        <v>1608</v>
      </c>
      <c r="H195" s="178" t="e">
        <f>_xlfn.XLOOKUP(B195&amp;"-00",改定!N:N,改定!E:E)</f>
        <v>#N/A</v>
      </c>
      <c r="J195" t="s">
        <v>1620</v>
      </c>
    </row>
    <row r="196" spans="2:10" hidden="1">
      <c r="B196" s="175" t="s">
        <v>1623</v>
      </c>
      <c r="C196" s="173" t="s">
        <v>1492</v>
      </c>
      <c r="E196" s="173" t="s">
        <v>1376</v>
      </c>
      <c r="G196" s="173" t="s">
        <v>1608</v>
      </c>
      <c r="H196" s="178" t="e">
        <f>_xlfn.XLOOKUP(B196&amp;"-00",改定!N:N,改定!E:E)</f>
        <v>#N/A</v>
      </c>
      <c r="J196" t="s">
        <v>1619</v>
      </c>
    </row>
    <row r="197" spans="2:10" hidden="1">
      <c r="B197" s="175" t="s">
        <v>1654</v>
      </c>
      <c r="C197" s="173" t="s">
        <v>1492</v>
      </c>
      <c r="E197" s="173" t="s">
        <v>1376</v>
      </c>
      <c r="G197" s="173" t="s">
        <v>1611</v>
      </c>
      <c r="H197" s="178" t="str">
        <f>_xlfn.XLOOKUP(B197&amp;"-00",改定!N:N,改定!E:E)</f>
        <v>50307</v>
      </c>
      <c r="J197" t="s">
        <v>1620</v>
      </c>
    </row>
    <row r="198" spans="2:10" hidden="1">
      <c r="B198" s="175" t="s">
        <v>1621</v>
      </c>
      <c r="C198" s="173" t="s">
        <v>1492</v>
      </c>
      <c r="E198" s="173" t="s">
        <v>1376</v>
      </c>
      <c r="G198" s="173" t="s">
        <v>1611</v>
      </c>
      <c r="H198" s="178" t="str">
        <f>_xlfn.XLOOKUP(B198&amp;"-00",改定!N:N,改定!E:E)</f>
        <v>54718</v>
      </c>
      <c r="J198" t="s">
        <v>1619</v>
      </c>
    </row>
    <row r="199" spans="2:10" hidden="1">
      <c r="B199" s="175" t="s">
        <v>1653</v>
      </c>
      <c r="C199" s="173" t="s">
        <v>1492</v>
      </c>
      <c r="E199" s="173" t="s">
        <v>1967</v>
      </c>
      <c r="G199" s="173" t="s">
        <v>1651</v>
      </c>
      <c r="H199" s="178" t="e">
        <f>_xlfn.XLOOKUP(B199&amp;"-00",改定!N:N,改定!E:E)</f>
        <v>#N/A</v>
      </c>
      <c r="J199" t="s">
        <v>1652</v>
      </c>
    </row>
    <row r="200" spans="2:10" hidden="1">
      <c r="B200" s="175" t="s">
        <v>1578</v>
      </c>
      <c r="C200" s="173" t="s">
        <v>1575</v>
      </c>
      <c r="E200" s="173" t="s">
        <v>1576</v>
      </c>
      <c r="G200" s="173" t="s">
        <v>1585</v>
      </c>
      <c r="H200" s="178" t="e">
        <f>_xlfn.XLOOKUP(B201&amp;"-00",改定!N:N,改定!E:E)</f>
        <v>#N/A</v>
      </c>
      <c r="J200" t="s">
        <v>1599</v>
      </c>
    </row>
    <row r="201" spans="2:10" hidden="1">
      <c r="B201" s="175" t="s">
        <v>1577</v>
      </c>
      <c r="C201" s="173" t="s">
        <v>1575</v>
      </c>
      <c r="E201" s="173" t="s">
        <v>1576</v>
      </c>
      <c r="G201" s="173" t="s">
        <v>1585</v>
      </c>
      <c r="H201" s="178" t="e">
        <f>_xlfn.XLOOKUP(B200&amp;"-00",改定!N:N,改定!E:E)</f>
        <v>#N/A</v>
      </c>
      <c r="J201" t="s">
        <v>1600</v>
      </c>
    </row>
    <row r="202" spans="2:10" hidden="1">
      <c r="B202" s="175" t="s">
        <v>1674</v>
      </c>
      <c r="C202" s="173" t="s">
        <v>1372</v>
      </c>
      <c r="E202" s="173" t="s">
        <v>1376</v>
      </c>
      <c r="F202" s="173" t="s">
        <v>607</v>
      </c>
      <c r="G202" s="173" t="s">
        <v>172</v>
      </c>
      <c r="H202" s="178" t="str">
        <f>_xlfn.XLOOKUP(B202&amp;"-00",改定!N:N,改定!E:E)</f>
        <v>63567</v>
      </c>
      <c r="J202" t="s">
        <v>1675</v>
      </c>
    </row>
    <row r="203" spans="2:10" hidden="1">
      <c r="B203" s="175" t="s">
        <v>1715</v>
      </c>
      <c r="C203" s="173" t="s">
        <v>1373</v>
      </c>
      <c r="D203" s="173" t="s">
        <v>2101</v>
      </c>
      <c r="E203" s="173" t="s">
        <v>1376</v>
      </c>
      <c r="F203" s="173" t="s">
        <v>1719</v>
      </c>
      <c r="G203" s="173" t="s">
        <v>1716</v>
      </c>
      <c r="H203" s="178" t="str">
        <f>_xlfn.XLOOKUP(B203&amp;"-00",改定!N:N,改定!E:E)</f>
        <v>63310</v>
      </c>
      <c r="I203" t="s">
        <v>1718</v>
      </c>
      <c r="J203" t="s">
        <v>1717</v>
      </c>
    </row>
    <row r="204" spans="2:10" hidden="1">
      <c r="B204" s="175" t="s">
        <v>1725</v>
      </c>
      <c r="C204" s="173" t="s">
        <v>1372</v>
      </c>
      <c r="E204" s="173" t="s">
        <v>1966</v>
      </c>
      <c r="F204" s="173" t="s">
        <v>1976</v>
      </c>
      <c r="G204" s="173" t="s">
        <v>2026</v>
      </c>
      <c r="H204" s="178" t="str">
        <f>_xlfn.XLOOKUP(B204&amp;"-00",改定!N:N,改定!E:E)</f>
        <v>B007816</v>
      </c>
      <c r="I204" s="173" t="s">
        <v>1750</v>
      </c>
      <c r="J204" t="s">
        <v>1726</v>
      </c>
    </row>
    <row r="205" spans="2:10" hidden="1">
      <c r="B205" t="s">
        <v>1752</v>
      </c>
      <c r="C205" s="173" t="s">
        <v>1372</v>
      </c>
      <c r="E205" s="173" t="s">
        <v>1966</v>
      </c>
      <c r="F205" s="173" t="s">
        <v>1976</v>
      </c>
      <c r="G205" s="173" t="s">
        <v>2026</v>
      </c>
      <c r="H205" s="178" t="str">
        <f>_xlfn.XLOOKUP(B205&amp;"-00",改定!N:N,改定!E:E)</f>
        <v>61205</v>
      </c>
      <c r="I205" t="s">
        <v>1753</v>
      </c>
      <c r="J205" t="s">
        <v>1754</v>
      </c>
    </row>
    <row r="206" spans="2:10" hidden="1">
      <c r="B206" s="175" t="s">
        <v>1767</v>
      </c>
      <c r="C206" s="173" t="s">
        <v>1768</v>
      </c>
      <c r="E206" s="173" t="s">
        <v>1376</v>
      </c>
      <c r="F206" s="173" t="s">
        <v>1769</v>
      </c>
      <c r="H206" s="178" t="str">
        <f>_xlfn.XLOOKUP(B206&amp;"-00",改定!N:N,改定!E:E)</f>
        <v>62014</v>
      </c>
    </row>
    <row r="207" spans="2:10" hidden="1">
      <c r="B207" s="175" t="s">
        <v>1825</v>
      </c>
      <c r="C207" s="173" t="s">
        <v>1492</v>
      </c>
      <c r="E207" s="173" t="s">
        <v>1376</v>
      </c>
      <c r="G207" s="173" t="s">
        <v>170</v>
      </c>
      <c r="H207" s="178" t="str">
        <f>_xlfn.XLOOKUP(B207&amp;"-00",改定!N:N,改定!E:E)</f>
        <v>61457</v>
      </c>
      <c r="J207" t="s">
        <v>1826</v>
      </c>
    </row>
    <row r="208" spans="2:10" hidden="1">
      <c r="B208" s="175" t="s">
        <v>1840</v>
      </c>
      <c r="C208" s="173" t="s">
        <v>1372</v>
      </c>
      <c r="E208" s="173" t="s">
        <v>1376</v>
      </c>
      <c r="F208" s="173" t="s">
        <v>1906</v>
      </c>
      <c r="G208" s="173" t="s">
        <v>197</v>
      </c>
      <c r="H208" s="178" t="str">
        <f>_xlfn.XLOOKUP(B208&amp;"-00",改定!N:N,改定!E:E)</f>
        <v>B007078</v>
      </c>
      <c r="J208" t="s">
        <v>1843</v>
      </c>
    </row>
    <row r="209" spans="2:10" hidden="1">
      <c r="B209" s="173" t="s">
        <v>1842</v>
      </c>
      <c r="C209" s="173" t="s">
        <v>1372</v>
      </c>
      <c r="E209" s="173" t="s">
        <v>1376</v>
      </c>
      <c r="F209" s="173" t="s">
        <v>2036</v>
      </c>
      <c r="G209" s="173" t="s">
        <v>197</v>
      </c>
      <c r="H209" s="178" t="str">
        <f>_xlfn.XLOOKUP(B209&amp;"-00",改定!N:N,改定!E:E)</f>
        <v>61035</v>
      </c>
      <c r="J209" t="s">
        <v>1843</v>
      </c>
    </row>
    <row r="210" spans="2:10" hidden="1">
      <c r="B210" s="173" t="s">
        <v>2001</v>
      </c>
      <c r="C210" s="173" t="s">
        <v>1372</v>
      </c>
      <c r="E210" s="173" t="s">
        <v>1966</v>
      </c>
      <c r="F210" s="173" t="s">
        <v>1976</v>
      </c>
      <c r="G210" s="173" t="s">
        <v>232</v>
      </c>
      <c r="H210" s="178" t="str">
        <f>_xlfn.XLOOKUP(B210&amp;"-00",改定!N:N,改定!E:E)</f>
        <v>B008576</v>
      </c>
      <c r="J210" t="s">
        <v>1927</v>
      </c>
    </row>
    <row r="211" spans="2:10" hidden="1">
      <c r="B211" s="173" t="s">
        <v>1973</v>
      </c>
      <c r="C211" s="173" t="s">
        <v>1372</v>
      </c>
      <c r="E211" s="173" t="s">
        <v>1966</v>
      </c>
      <c r="F211" s="173" t="s">
        <v>1976</v>
      </c>
      <c r="G211" s="173" t="s">
        <v>1983</v>
      </c>
      <c r="H211" s="178" t="str">
        <f>_xlfn.XLOOKUP(B211&amp;"-00",改定!N:N,改定!E:E)</f>
        <v>54713</v>
      </c>
      <c r="I211" s="173" t="s">
        <v>1977</v>
      </c>
      <c r="J211" s="173" t="s">
        <v>1978</v>
      </c>
    </row>
    <row r="212" spans="2:10" hidden="1">
      <c r="B212" s="173" t="s">
        <v>1975</v>
      </c>
      <c r="C212" s="173" t="s">
        <v>1372</v>
      </c>
      <c r="E212" s="173" t="s">
        <v>1966</v>
      </c>
      <c r="F212" s="173" t="s">
        <v>1976</v>
      </c>
      <c r="G212" s="173" t="s">
        <v>1970</v>
      </c>
      <c r="H212" s="178" t="str">
        <f>_xlfn.XLOOKUP(B212&amp;"-00",改定!N:N,改定!E:E)</f>
        <v>61205</v>
      </c>
      <c r="I212" s="173" t="s">
        <v>1753</v>
      </c>
      <c r="J212" t="s">
        <v>1754</v>
      </c>
    </row>
    <row r="213" spans="2:10" hidden="1">
      <c r="B213" s="173" t="s">
        <v>2003</v>
      </c>
      <c r="C213" s="173" t="s">
        <v>1372</v>
      </c>
      <c r="E213" s="173" t="s">
        <v>1966</v>
      </c>
      <c r="F213" s="173" t="s">
        <v>1976</v>
      </c>
      <c r="G213" s="173" t="s">
        <v>1971</v>
      </c>
      <c r="H213" s="178" t="str">
        <f>_xlfn.XLOOKUP(B213&amp;"-00",改定!N:N,改定!E:E)</f>
        <v xml:space="preserve">	B008623</v>
      </c>
      <c r="I213" s="173" t="s">
        <v>1977</v>
      </c>
    </row>
    <row r="214" spans="2:10" hidden="1">
      <c r="B214" s="173" t="s">
        <v>2005</v>
      </c>
      <c r="C214" s="173" t="s">
        <v>1372</v>
      </c>
      <c r="E214" s="173" t="s">
        <v>1966</v>
      </c>
      <c r="F214" s="173" t="s">
        <v>1976</v>
      </c>
      <c r="G214" s="173" t="s">
        <v>1971</v>
      </c>
      <c r="H214" s="178" t="str">
        <f>_xlfn.XLOOKUP(B214&amp;"-00",改定!N:N,改定!E:E)</f>
        <v>61205</v>
      </c>
      <c r="I214" s="173" t="s">
        <v>1753</v>
      </c>
    </row>
    <row r="215" spans="2:10" hidden="1">
      <c r="B215" s="173" t="s">
        <v>2063</v>
      </c>
      <c r="C215" s="173" t="s">
        <v>2100</v>
      </c>
      <c r="D215" s="173" t="s">
        <v>2059</v>
      </c>
      <c r="E215" s="173" t="s">
        <v>2060</v>
      </c>
      <c r="G215" s="173" t="s">
        <v>2061</v>
      </c>
      <c r="H215" s="178" t="str">
        <f>_xlfn.XLOOKUP(B215&amp;"-00",改定!N:N,改定!E:E)</f>
        <v>B007886</v>
      </c>
      <c r="J215" t="s">
        <v>2066</v>
      </c>
    </row>
    <row r="216" spans="2:10" hidden="1">
      <c r="B216" s="173" t="s">
        <v>2065</v>
      </c>
      <c r="C216" s="173" t="s">
        <v>2100</v>
      </c>
      <c r="D216" s="173" t="s">
        <v>2074</v>
      </c>
      <c r="E216" s="173" t="s">
        <v>2060</v>
      </c>
      <c r="G216" s="173" t="s">
        <v>2061</v>
      </c>
      <c r="H216" s="178" t="str">
        <f>_xlfn.XLOOKUP(B216&amp;"-00",改定!N:N,改定!E:E)</f>
        <v>B007886</v>
      </c>
      <c r="J216" t="s">
        <v>2066</v>
      </c>
    </row>
    <row r="217" spans="2:10" hidden="1">
      <c r="H217" s="178">
        <f>_xlfn.XLOOKUP(B217&amp;"-00",改定!N:N,改定!E:E)</f>
        <v>0</v>
      </c>
    </row>
    <row r="218" spans="2:10" hidden="1">
      <c r="H218" s="178" t="e">
        <f>_xlfn.XLOOKUP(#REF!&amp;"-00",改定!N:N,改定!E:E)</f>
        <v>#REF!</v>
      </c>
    </row>
    <row r="219" spans="2:10" hidden="1">
      <c r="H219" s="178">
        <f>_xlfn.XLOOKUP(B219&amp;"-00",改定!N:N,改定!E:E)</f>
        <v>0</v>
      </c>
    </row>
    <row r="220" spans="2:10" hidden="1">
      <c r="H220" s="178">
        <f>_xlfn.XLOOKUP(B220&amp;"-00",改定!N:N,改定!E:E)</f>
        <v>0</v>
      </c>
    </row>
    <row r="221" spans="2:10" hidden="1">
      <c r="H221" s="178">
        <f>_xlfn.XLOOKUP(B221&amp;"-00",改定!N:N,改定!E:E)</f>
        <v>0</v>
      </c>
    </row>
    <row r="222" spans="2:10" hidden="1">
      <c r="H222" s="178">
        <f>_xlfn.XLOOKUP(B222&amp;"-00",改定!N:N,改定!E:E)</f>
        <v>0</v>
      </c>
    </row>
    <row r="223" spans="2:10" hidden="1">
      <c r="H223" s="178">
        <f>_xlfn.XLOOKUP(B223&amp;"-00",改定!N:N,改定!E:E)</f>
        <v>0</v>
      </c>
    </row>
    <row r="224" spans="2:10" hidden="1">
      <c r="H224" s="178">
        <f>_xlfn.XLOOKUP(B224&amp;"-00",改定!N:N,改定!E:E)</f>
        <v>0</v>
      </c>
    </row>
    <row r="225" spans="8:8" hidden="1">
      <c r="H225" s="178">
        <f>_xlfn.XLOOKUP(B225&amp;"-00",改定!N:N,改定!E:E)</f>
        <v>0</v>
      </c>
    </row>
    <row r="226" spans="8:8" hidden="1">
      <c r="H226" s="178">
        <f>_xlfn.XLOOKUP(B226&amp;"-00",改定!N:N,改定!E:E)</f>
        <v>0</v>
      </c>
    </row>
    <row r="227" spans="8:8" hidden="1">
      <c r="H227" s="178">
        <f>_xlfn.XLOOKUP(B227&amp;"-00",改定!N:N,改定!E:E)</f>
        <v>0</v>
      </c>
    </row>
    <row r="228" spans="8:8" hidden="1">
      <c r="H228" s="178">
        <f>_xlfn.XLOOKUP(B228&amp;"-00",改定!N:N,改定!E:E)</f>
        <v>0</v>
      </c>
    </row>
    <row r="229" spans="8:8" hidden="1">
      <c r="H229" s="178">
        <f>_xlfn.XLOOKUP(B229&amp;"-00",改定!N:N,改定!E:E)</f>
        <v>0</v>
      </c>
    </row>
    <row r="230" spans="8:8" hidden="1">
      <c r="H230" s="178">
        <f>_xlfn.XLOOKUP(B230&amp;"-00",改定!N:N,改定!E:E)</f>
        <v>0</v>
      </c>
    </row>
    <row r="231" spans="8:8" hidden="1">
      <c r="H231" s="178">
        <f>_xlfn.XLOOKUP(B231&amp;"-00",改定!N:N,改定!E:E)</f>
        <v>0</v>
      </c>
    </row>
    <row r="232" spans="8:8" hidden="1">
      <c r="H232" s="178">
        <f>_xlfn.XLOOKUP(B232&amp;"-00",改定!N:N,改定!E:E)</f>
        <v>0</v>
      </c>
    </row>
    <row r="233" spans="8:8" hidden="1">
      <c r="H233" s="178">
        <f>_xlfn.XLOOKUP(B233&amp;"-00",改定!N:N,改定!E:E)</f>
        <v>0</v>
      </c>
    </row>
    <row r="234" spans="8:8" hidden="1">
      <c r="H234" s="178">
        <f>_xlfn.XLOOKUP(B234&amp;"-00",改定!N:N,改定!E:E)</f>
        <v>0</v>
      </c>
    </row>
    <row r="235" spans="8:8" hidden="1">
      <c r="H235" s="178">
        <f>_xlfn.XLOOKUP(B235&amp;"-00",改定!N:N,改定!E:E)</f>
        <v>0</v>
      </c>
    </row>
    <row r="236" spans="8:8" hidden="1">
      <c r="H236" s="178">
        <f>_xlfn.XLOOKUP(B236&amp;"-00",改定!N:N,改定!E:E)</f>
        <v>0</v>
      </c>
    </row>
    <row r="237" spans="8:8" hidden="1">
      <c r="H237" s="178">
        <f>_xlfn.XLOOKUP(B237&amp;"-00",改定!N:N,改定!E:E)</f>
        <v>0</v>
      </c>
    </row>
    <row r="238" spans="8:8" hidden="1">
      <c r="H238" s="178">
        <f>_xlfn.XLOOKUP(B238&amp;"-00",改定!N:N,改定!E:E)</f>
        <v>0</v>
      </c>
    </row>
    <row r="239" spans="8:8" hidden="1">
      <c r="H239" s="178">
        <f>_xlfn.XLOOKUP(B239&amp;"-00",改定!N:N,改定!E:E)</f>
        <v>0</v>
      </c>
    </row>
    <row r="240" spans="8:8" hidden="1">
      <c r="H240" s="178">
        <f>_xlfn.XLOOKUP(B240&amp;"-00",改定!N:N,改定!E:E)</f>
        <v>0</v>
      </c>
    </row>
    <row r="241" spans="8:8" hidden="1">
      <c r="H241" s="178">
        <f>_xlfn.XLOOKUP(B241&amp;"-00",改定!N:N,改定!E:E)</f>
        <v>0</v>
      </c>
    </row>
    <row r="242" spans="8:8" hidden="1">
      <c r="H242" s="178">
        <f>_xlfn.XLOOKUP(B242&amp;"-00",改定!N:N,改定!E:E)</f>
        <v>0</v>
      </c>
    </row>
    <row r="243" spans="8:8" hidden="1">
      <c r="H243" s="178">
        <f>_xlfn.XLOOKUP(B243&amp;"-00",改定!N:N,改定!E:E)</f>
        <v>0</v>
      </c>
    </row>
    <row r="244" spans="8:8" hidden="1">
      <c r="H244" s="178">
        <f>_xlfn.XLOOKUP(B244&amp;"-00",改定!N:N,改定!E:E)</f>
        <v>0</v>
      </c>
    </row>
    <row r="245" spans="8:8" hidden="1">
      <c r="H245" s="178">
        <f>_xlfn.XLOOKUP(B245&amp;"-00",改定!N:N,改定!E:E)</f>
        <v>0</v>
      </c>
    </row>
    <row r="246" spans="8:8" hidden="1">
      <c r="H246" s="178">
        <f>_xlfn.XLOOKUP(B246&amp;"-00",改定!N:N,改定!E:E)</f>
        <v>0</v>
      </c>
    </row>
    <row r="247" spans="8:8" hidden="1">
      <c r="H247" s="178">
        <f>_xlfn.XLOOKUP(B247&amp;"-00",改定!N:N,改定!E:E)</f>
        <v>0</v>
      </c>
    </row>
    <row r="248" spans="8:8" hidden="1">
      <c r="H248" s="178">
        <f>_xlfn.XLOOKUP(B248&amp;"-00",改定!N:N,改定!E:E)</f>
        <v>0</v>
      </c>
    </row>
    <row r="249" spans="8:8" hidden="1">
      <c r="H249" s="178">
        <f>_xlfn.XLOOKUP(B249&amp;"-00",改定!N:N,改定!E:E)</f>
        <v>0</v>
      </c>
    </row>
    <row r="250" spans="8:8" hidden="1">
      <c r="H250" s="178">
        <f>_xlfn.XLOOKUP(B250&amp;"-00",改定!N:N,改定!E:E)</f>
        <v>0</v>
      </c>
    </row>
    <row r="251" spans="8:8" hidden="1">
      <c r="H251" s="178">
        <f>_xlfn.XLOOKUP(B251&amp;"-00",改定!N:N,改定!E:E)</f>
        <v>0</v>
      </c>
    </row>
    <row r="252" spans="8:8" hidden="1">
      <c r="H252" s="178">
        <f>_xlfn.XLOOKUP(B252&amp;"-00",改定!N:N,改定!E:E)</f>
        <v>0</v>
      </c>
    </row>
    <row r="253" spans="8:8" hidden="1">
      <c r="H253" s="178">
        <f>_xlfn.XLOOKUP(B253&amp;"-00",改定!N:N,改定!E:E)</f>
        <v>0</v>
      </c>
    </row>
    <row r="254" spans="8:8" hidden="1">
      <c r="H254" s="178">
        <f>_xlfn.XLOOKUP(B254&amp;"-00",改定!N:N,改定!E:E)</f>
        <v>0</v>
      </c>
    </row>
    <row r="255" spans="8:8" hidden="1">
      <c r="H255" s="178">
        <f>_xlfn.XLOOKUP(B255&amp;"-00",改定!N:N,改定!E:E)</f>
        <v>0</v>
      </c>
    </row>
    <row r="256" spans="8:8" hidden="1">
      <c r="H256" s="178">
        <f>_xlfn.XLOOKUP(B256&amp;"-00",改定!N:N,改定!E:E)</f>
        <v>0</v>
      </c>
    </row>
  </sheetData>
  <phoneticPr fontId="1"/>
  <conditionalFormatting sqref="B219:B1048576 B1:B217">
    <cfRule type="duplicateValues" dxfId="4" priority="9"/>
  </conditionalFormatting>
  <conditionalFormatting sqref="J211 B1:B137 B219:B1048576 B139:B217">
    <cfRule type="duplicateValues" dxfId="3" priority="12"/>
  </conditionalFormatting>
  <pageMargins left="0.35433070866141736" right="0.27559055118110237" top="0.55118110236220474" bottom="0.47244094488188981" header="0.51181102362204722" footer="0.51181102362204722"/>
  <pageSetup paperSize="9" scale="50" orientation="portrait" horizontalDpi="300" verticalDpi="300" r:id="rId1"/>
  <headerFooter alignWithMargins="0"/>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729B8-C4D0-4CE2-9108-57EB31D6998F}">
  <sheetPr codeName="Sheet3"/>
  <dimension ref="A1:P883"/>
  <sheetViews>
    <sheetView zoomScaleNormal="100" workbookViewId="0">
      <pane ySplit="1" topLeftCell="A772" activePane="bottomLeft" state="frozen"/>
      <selection activeCell="D736" sqref="D736"/>
      <selection pane="bottomLeft" activeCell="L639" sqref="L639"/>
    </sheetView>
  </sheetViews>
  <sheetFormatPr defaultColWidth="15.375" defaultRowHeight="13.5"/>
  <cols>
    <col min="1" max="1" width="17" style="122" bestFit="1" customWidth="1"/>
    <col min="2" max="3" width="17" style="188" customWidth="1"/>
    <col min="4" max="4" width="9.375" style="188" bestFit="1" customWidth="1"/>
    <col min="5" max="5" width="10" style="179" customWidth="1"/>
    <col min="6" max="6" width="12.75" style="180" bestFit="1" customWidth="1"/>
    <col min="7" max="7" width="4.125" style="181" bestFit="1" customWidth="1"/>
    <col min="8" max="8" width="13.5" style="122" customWidth="1"/>
    <col min="9" max="10" width="10.5" style="122" customWidth="1"/>
    <col min="11" max="11" width="39.875" style="142" customWidth="1"/>
    <col min="12" max="12" width="24.375" style="122" customWidth="1"/>
    <col min="13" max="13" width="77.375" style="266" bestFit="1" customWidth="1"/>
    <col min="14" max="14" width="16.75" style="142" customWidth="1"/>
    <col min="15" max="15" width="15.125" style="122" customWidth="1"/>
    <col min="16" max="16384" width="15.375" style="122"/>
  </cols>
  <sheetData>
    <row r="1" spans="1:16" ht="57">
      <c r="A1" s="122" t="s">
        <v>2</v>
      </c>
      <c r="B1" s="188" t="s">
        <v>2106</v>
      </c>
      <c r="C1" s="188" t="s">
        <v>2107</v>
      </c>
      <c r="D1" s="188" t="s">
        <v>2099</v>
      </c>
      <c r="E1" s="179" t="s">
        <v>4</v>
      </c>
      <c r="F1" s="180" t="s">
        <v>251</v>
      </c>
      <c r="G1" s="181" t="s">
        <v>252</v>
      </c>
      <c r="H1" s="122" t="s">
        <v>253</v>
      </c>
      <c r="I1" s="122" t="s">
        <v>255</v>
      </c>
      <c r="J1" s="122" t="s">
        <v>256</v>
      </c>
      <c r="K1" s="142" t="s">
        <v>257</v>
      </c>
      <c r="L1" s="122" t="s">
        <v>5</v>
      </c>
      <c r="N1" s="142" t="s">
        <v>2105</v>
      </c>
      <c r="O1" s="135" t="s">
        <v>1844</v>
      </c>
    </row>
    <row r="2" spans="1:16">
      <c r="A2" s="142" t="s">
        <v>172</v>
      </c>
      <c r="B2" s="189" t="str">
        <f>_xlfn.XLOOKUP(F2,品番!B:B,品番!G:G)</f>
        <v>E2F</v>
      </c>
      <c r="C2" s="189" t="str">
        <f>_xlfn.XLOOKUP(F2,品番!B:B,品番!C:C)</f>
        <v>コントローラ</v>
      </c>
      <c r="D2" s="189" t="str">
        <f>_xlfn.XLOOKUP(F2,品番!B:B,品番!D:D)</f>
        <v>メイン</v>
      </c>
      <c r="E2" s="179">
        <v>55600</v>
      </c>
      <c r="F2" s="180" t="s">
        <v>173</v>
      </c>
      <c r="G2" s="181">
        <v>0</v>
      </c>
      <c r="J2"/>
      <c r="K2" s="182"/>
      <c r="M2" s="266" t="str" cm="1">
        <f t="array" ref="M2">_xlfn.TEXTJOIN(",", TRUE, _xlfn._xlws.FILTER(適用号機!D:D, (適用号機!B:B=改定!F2)*(適用号機!C:C=改定!G2), ""))</f>
        <v>E2F</v>
      </c>
      <c r="N2" s="142" t="str">
        <f t="shared" ref="N2:N13" si="0">F2 &amp;"-" &amp; TEXT(G2,"00")</f>
        <v>03242-00069-00</v>
      </c>
      <c r="O2" s="122" t="s">
        <v>1702</v>
      </c>
    </row>
    <row r="3" spans="1:16" ht="18.75">
      <c r="A3" s="142" t="s">
        <v>1845</v>
      </c>
      <c r="B3" s="189" t="str">
        <f>_xlfn.XLOOKUP(F3,品番!B:B,品番!G:G)</f>
        <v>E3F(CBN)</v>
      </c>
      <c r="C3" s="189" t="str">
        <f>_xlfn.XLOOKUP(F3,品番!B:B,品番!C:C)</f>
        <v>コントローラ</v>
      </c>
      <c r="D3" s="189" t="str">
        <f>_xlfn.XLOOKUP(F3,品番!B:B,品番!D:D)</f>
        <v>メイン</v>
      </c>
      <c r="E3" s="179">
        <v>60819</v>
      </c>
      <c r="F3" s="180" t="s">
        <v>181</v>
      </c>
      <c r="G3" s="181">
        <v>0</v>
      </c>
      <c r="J3"/>
      <c r="K3" s="182" t="s">
        <v>1402</v>
      </c>
      <c r="M3" s="266" t="str" cm="1">
        <f t="array" ref="M3">_xlfn.TEXTJOIN(",", TRUE, _xlfn._xlws.FILTER(適用号機!D:D, (適用号機!B:B=改定!F3)*(適用号機!C:C=改定!G3), ""))</f>
        <v xml:space="preserve">	E3F</v>
      </c>
      <c r="N3" s="142" t="str">
        <f t="shared" si="0"/>
        <v>03342-00130-00</v>
      </c>
      <c r="O3" s="122" t="s">
        <v>1702</v>
      </c>
    </row>
    <row r="4" spans="1:16">
      <c r="A4" s="142" t="s">
        <v>174</v>
      </c>
      <c r="B4" s="189" t="str">
        <f>_xlfn.XLOOKUP(F4,品番!B:B,品番!G:G)</f>
        <v>E3F</v>
      </c>
      <c r="C4" s="189" t="str">
        <f>_xlfn.XLOOKUP(F4,品番!B:B,品番!C:C)</f>
        <v>コントローラ</v>
      </c>
      <c r="D4" s="189" t="str">
        <f>_xlfn.XLOOKUP(F4,品番!B:B,品番!D:D)</f>
        <v>メイン</v>
      </c>
      <c r="E4" s="179">
        <v>49119</v>
      </c>
      <c r="F4" s="180" t="s">
        <v>179</v>
      </c>
      <c r="G4" s="181">
        <v>0</v>
      </c>
      <c r="J4"/>
      <c r="K4" s="182"/>
      <c r="L4" s="122" t="s">
        <v>180</v>
      </c>
      <c r="M4" s="266" t="str" cm="1">
        <f t="array" ref="M4">_xlfn.TEXTJOIN(",", TRUE, _xlfn._xlws.FILTER(適用号機!D:D, (適用号機!B:B=改定!F4)*(適用号機!C:C=改定!G4), ""))</f>
        <v xml:space="preserve">	E3F</v>
      </c>
      <c r="N4" s="142" t="str">
        <f t="shared" si="0"/>
        <v>03342-00163-00</v>
      </c>
      <c r="O4" s="122" t="s">
        <v>1702</v>
      </c>
    </row>
    <row r="5" spans="1:16">
      <c r="A5" s="142" t="s">
        <v>174</v>
      </c>
      <c r="B5" s="189" t="str">
        <f>_xlfn.XLOOKUP(F5,品番!B:B,品番!G:G)</f>
        <v>E3F</v>
      </c>
      <c r="C5" s="189" t="str">
        <f>_xlfn.XLOOKUP(F5,品番!B:B,品番!C:C)</f>
        <v>コントローラ</v>
      </c>
      <c r="D5" s="189" t="str">
        <f>_xlfn.XLOOKUP(F5,品番!B:B,品番!D:D)</f>
        <v>メイン</v>
      </c>
      <c r="E5" s="179">
        <v>50187</v>
      </c>
      <c r="F5" s="180" t="s">
        <v>175</v>
      </c>
      <c r="G5" s="181">
        <v>0</v>
      </c>
      <c r="J5"/>
      <c r="K5" s="182"/>
      <c r="L5" s="122" t="s">
        <v>176</v>
      </c>
      <c r="M5" s="266" t="str" cm="1">
        <f t="array" ref="M5">_xlfn.TEXTJOIN(",", TRUE, _xlfn._xlws.FILTER(適用号機!D:D, (適用号機!B:B=改定!F5)*(適用号機!C:C=改定!G5), ""))</f>
        <v/>
      </c>
      <c r="N5" s="142" t="str">
        <f t="shared" si="0"/>
        <v>03342-00189-00</v>
      </c>
      <c r="O5" s="122" t="s">
        <v>1702</v>
      </c>
    </row>
    <row r="6" spans="1:16">
      <c r="A6" s="142" t="s">
        <v>174</v>
      </c>
      <c r="B6" s="189" t="str">
        <f>_xlfn.XLOOKUP(F6,品番!B:B,品番!G:G)</f>
        <v>E3F</v>
      </c>
      <c r="C6" s="189" t="str">
        <f>_xlfn.XLOOKUP(F6,品番!B:B,品番!C:C)</f>
        <v>コントローラ</v>
      </c>
      <c r="D6" s="189" t="str">
        <f>_xlfn.XLOOKUP(F6,品番!B:B,品番!D:D)</f>
        <v>メイン</v>
      </c>
      <c r="E6" s="179">
        <v>50187</v>
      </c>
      <c r="F6" s="180" t="s">
        <v>177</v>
      </c>
      <c r="G6" s="181">
        <v>0</v>
      </c>
      <c r="J6"/>
      <c r="K6" s="182"/>
      <c r="L6" s="122" t="s">
        <v>178</v>
      </c>
      <c r="M6" s="266" t="str" cm="1">
        <f t="array" ref="M6">_xlfn.TEXTJOIN(",", TRUE, _xlfn._xlws.FILTER(適用号機!D:D, (適用号機!B:B=改定!F6)*(適用号機!C:C=改定!G6), ""))</f>
        <v>E3F</v>
      </c>
      <c r="N6" s="142" t="str">
        <f t="shared" si="0"/>
        <v>03342-00252-00</v>
      </c>
      <c r="O6" s="122" t="s">
        <v>1702</v>
      </c>
    </row>
    <row r="7" spans="1:16">
      <c r="A7" s="142" t="s">
        <v>174</v>
      </c>
      <c r="B7" s="189" t="str">
        <f>_xlfn.XLOOKUP(F7,品番!B:B,品番!G:G)</f>
        <v>E3F</v>
      </c>
      <c r="C7" s="189" t="str">
        <f>_xlfn.XLOOKUP(F7,品番!B:B,品番!C:C)</f>
        <v>コントローラ</v>
      </c>
      <c r="D7" s="189" t="str">
        <f>_xlfn.XLOOKUP(F7,品番!B:B,品番!D:D)</f>
        <v>メイン</v>
      </c>
      <c r="E7" s="179">
        <v>51443</v>
      </c>
      <c r="F7" s="180" t="s">
        <v>177</v>
      </c>
      <c r="G7" s="181">
        <v>1</v>
      </c>
      <c r="J7"/>
      <c r="K7" s="182"/>
      <c r="M7" s="266" t="str" cm="1">
        <f t="array" ref="M7">_xlfn.TEXTJOIN(",", TRUE, _xlfn._xlws.FILTER(適用号機!D:D, (適用号機!B:B=改定!F7)*(適用号機!C:C=改定!G7), ""))</f>
        <v xml:space="preserve">	E3F</v>
      </c>
      <c r="N7" s="142" t="str">
        <f t="shared" si="0"/>
        <v>03342-00252-01</v>
      </c>
      <c r="O7" s="122" t="s">
        <v>1702</v>
      </c>
      <c r="P7"/>
    </row>
    <row r="8" spans="1:16">
      <c r="A8" s="142" t="s">
        <v>174</v>
      </c>
      <c r="B8" s="189" t="str">
        <f>_xlfn.XLOOKUP(F8,品番!B:B,品番!G:G)</f>
        <v>E3F</v>
      </c>
      <c r="C8" s="189" t="str">
        <f>_xlfn.XLOOKUP(F8,品番!B:B,品番!C:C)</f>
        <v>コントローラ</v>
      </c>
      <c r="D8" s="189" t="str">
        <f>_xlfn.XLOOKUP(F8,品番!B:B,品番!D:D)</f>
        <v>メイン</v>
      </c>
      <c r="E8" s="179">
        <v>51681</v>
      </c>
      <c r="F8" s="180" t="s">
        <v>177</v>
      </c>
      <c r="G8" s="181">
        <v>2</v>
      </c>
      <c r="J8"/>
      <c r="K8" s="182"/>
      <c r="M8" s="266" t="str" cm="1">
        <f t="array" ref="M8">_xlfn.TEXTJOIN(",", TRUE, _xlfn._xlws.FILTER(適用号機!D:D, (適用号機!B:B=改定!F8)*(適用号機!C:C=改定!G8), ""))</f>
        <v>E3F</v>
      </c>
      <c r="N8" s="142" t="str">
        <f t="shared" si="0"/>
        <v>03342-00252-02</v>
      </c>
      <c r="O8" s="122" t="s">
        <v>1702</v>
      </c>
    </row>
    <row r="9" spans="1:16">
      <c r="A9" s="142" t="s">
        <v>174</v>
      </c>
      <c r="B9" s="189" t="str">
        <f>_xlfn.XLOOKUP(F9,品番!B:B,品番!G:G)</f>
        <v>E3F</v>
      </c>
      <c r="C9" s="189" t="str">
        <f>_xlfn.XLOOKUP(F9,品番!B:B,品番!C:C)</f>
        <v>コントローラ</v>
      </c>
      <c r="D9" s="189" t="str">
        <f>_xlfn.XLOOKUP(F9,品番!B:B,品番!D:D)</f>
        <v>メイン</v>
      </c>
      <c r="E9" s="179">
        <v>53560</v>
      </c>
      <c r="F9" s="180" t="s">
        <v>177</v>
      </c>
      <c r="G9" s="181">
        <v>3</v>
      </c>
      <c r="J9"/>
      <c r="K9" s="182"/>
      <c r="M9" s="266" t="str" cm="1">
        <f t="array" ref="M9">_xlfn.TEXTJOIN(",", TRUE, _xlfn._xlws.FILTER(適用号機!D:D, (適用号機!B:B=改定!F9)*(適用号機!C:C=改定!G9), ""))</f>
        <v xml:space="preserve">	E3F</v>
      </c>
      <c r="N9" s="142" t="str">
        <f t="shared" si="0"/>
        <v>03342-00252-03</v>
      </c>
      <c r="O9" s="122" t="s">
        <v>1702</v>
      </c>
    </row>
    <row r="10" spans="1:16">
      <c r="A10" s="142" t="s">
        <v>174</v>
      </c>
      <c r="B10" s="189" t="str">
        <f>_xlfn.XLOOKUP(F10,品番!B:B,品番!G:G)</f>
        <v>E3F</v>
      </c>
      <c r="C10" s="189" t="str">
        <f>_xlfn.XLOOKUP(F10,品番!B:B,品番!C:C)</f>
        <v>コントローラ</v>
      </c>
      <c r="D10" s="189" t="str">
        <f>_xlfn.XLOOKUP(F10,品番!B:B,品番!D:D)</f>
        <v>メイン</v>
      </c>
      <c r="E10" s="179">
        <v>54076</v>
      </c>
      <c r="F10" s="180" t="s">
        <v>177</v>
      </c>
      <c r="G10" s="181">
        <v>4</v>
      </c>
      <c r="J10"/>
      <c r="K10" s="182"/>
      <c r="M10" s="266" t="str" cm="1">
        <f t="array" ref="M10">_xlfn.TEXTJOIN(",", TRUE, _xlfn._xlws.FILTER(適用号機!D:D, (適用号機!B:B=改定!F10)*(適用号機!C:C=改定!G10), ""))</f>
        <v xml:space="preserve">	E3F</v>
      </c>
      <c r="N10" s="142" t="str">
        <f t="shared" si="0"/>
        <v>03342-00252-04</v>
      </c>
      <c r="O10" s="122" t="s">
        <v>1702</v>
      </c>
    </row>
    <row r="11" spans="1:16">
      <c r="A11" s="142" t="s">
        <v>174</v>
      </c>
      <c r="B11" s="189" t="str">
        <f>_xlfn.XLOOKUP(F11,品番!B:B,品番!G:G)</f>
        <v>E3F</v>
      </c>
      <c r="C11" s="189" t="str">
        <f>_xlfn.XLOOKUP(F11,品番!B:B,品番!C:C)</f>
        <v>コントローラ</v>
      </c>
      <c r="D11" s="189" t="str">
        <f>_xlfn.XLOOKUP(F11,品番!B:B,品番!D:D)</f>
        <v>メイン</v>
      </c>
      <c r="E11" s="179">
        <v>54209</v>
      </c>
      <c r="F11" s="180" t="s">
        <v>177</v>
      </c>
      <c r="G11" s="181">
        <v>5</v>
      </c>
      <c r="J11"/>
      <c r="K11" s="182"/>
      <c r="M11" s="266" t="str" cm="1">
        <f t="array" ref="M11">_xlfn.TEXTJOIN(",", TRUE, _xlfn._xlws.FILTER(適用号機!D:D, (適用号機!B:B=改定!F11)*(適用号機!C:C=改定!G11), ""))</f>
        <v/>
      </c>
      <c r="N11" s="142" t="str">
        <f t="shared" si="0"/>
        <v>03342-00252-05</v>
      </c>
      <c r="O11" s="122" t="s">
        <v>1702</v>
      </c>
    </row>
    <row r="12" spans="1:16">
      <c r="A12" s="142" t="s">
        <v>174</v>
      </c>
      <c r="B12" s="189" t="str">
        <f>_xlfn.XLOOKUP(F12,品番!B:B,品番!G:G)</f>
        <v>E3F</v>
      </c>
      <c r="C12" s="189" t="str">
        <f>_xlfn.XLOOKUP(F12,品番!B:B,品番!C:C)</f>
        <v>コントローラ</v>
      </c>
      <c r="D12" s="189" t="str">
        <f>_xlfn.XLOOKUP(F12,品番!B:B,品番!D:D)</f>
        <v>メイン</v>
      </c>
      <c r="E12" s="179">
        <v>54603</v>
      </c>
      <c r="F12" s="180" t="s">
        <v>177</v>
      </c>
      <c r="G12" s="181">
        <v>6</v>
      </c>
      <c r="J12"/>
      <c r="K12" s="182"/>
      <c r="M12" s="266" t="str" cm="1">
        <f t="array" ref="M12">_xlfn.TEXTJOIN(",", TRUE, _xlfn._xlws.FILTER(適用号機!D:D, (適用号機!B:B=改定!F12)*(適用号機!C:C=改定!G12), ""))</f>
        <v xml:space="preserve">	E3F,	E3F</v>
      </c>
      <c r="N12" s="142" t="str">
        <f t="shared" si="0"/>
        <v>03342-00252-06</v>
      </c>
      <c r="O12" s="122" t="s">
        <v>1702</v>
      </c>
      <c r="P12"/>
    </row>
    <row r="13" spans="1:16">
      <c r="A13" s="142" t="s">
        <v>174</v>
      </c>
      <c r="B13" s="189" t="str">
        <f>_xlfn.XLOOKUP(F13,品番!B:B,品番!G:G)</f>
        <v>E3F</v>
      </c>
      <c r="C13" s="189" t="str">
        <f>_xlfn.XLOOKUP(F13,品番!B:B,品番!C:C)</f>
        <v>コントローラ</v>
      </c>
      <c r="D13" s="189" t="str">
        <f>_xlfn.XLOOKUP(F13,品番!B:B,品番!D:D)</f>
        <v>メイン</v>
      </c>
      <c r="E13" s="179">
        <v>55548</v>
      </c>
      <c r="F13" s="180" t="s">
        <v>177</v>
      </c>
      <c r="G13" s="181">
        <v>7</v>
      </c>
      <c r="J13"/>
      <c r="M13" s="266" t="str" cm="1">
        <f t="array" ref="M13">_xlfn.TEXTJOIN(",", TRUE, _xlfn._xlws.FILTER(適用号機!D:D, (適用号機!B:B=改定!F13)*(適用号機!C:C=改定!G13), ""))</f>
        <v xml:space="preserve">	E3F</v>
      </c>
      <c r="N13" s="142" t="str">
        <f t="shared" si="0"/>
        <v>03342-00252-07</v>
      </c>
      <c r="O13" s="122" t="s">
        <v>1702</v>
      </c>
    </row>
    <row r="14" spans="1:16">
      <c r="A14" s="142" t="s">
        <v>174</v>
      </c>
      <c r="B14" s="189" t="str">
        <f>_xlfn.XLOOKUP(F14,品番!B:B,品番!G:G)</f>
        <v>E3F</v>
      </c>
      <c r="C14" s="189" t="str">
        <f>_xlfn.XLOOKUP(F14,品番!B:B,品番!C:C)</f>
        <v>コントローラ</v>
      </c>
      <c r="D14" s="189" t="str">
        <f>_xlfn.XLOOKUP(F14,品番!B:B,品番!D:D)</f>
        <v>メイン</v>
      </c>
      <c r="F14" s="180" t="s">
        <v>1298</v>
      </c>
      <c r="G14" s="181">
        <v>0</v>
      </c>
      <c r="H14" s="122" t="s">
        <v>1304</v>
      </c>
      <c r="I14" s="122" t="s">
        <v>1302</v>
      </c>
      <c r="L14" s="122" t="s">
        <v>1367</v>
      </c>
      <c r="M14" s="266" t="str" cm="1">
        <f t="array" ref="M14">_xlfn.TEXTJOIN(",", TRUE, _xlfn._xlws.FILTER(適用号機!D:D, (適用号機!B:B=改定!F14)*(適用号機!C:C=改定!G14), ""))</f>
        <v/>
      </c>
      <c r="N14" s="142" t="str">
        <f t="shared" ref="N14:N17" si="1">F14 &amp;"-" &amp; TEXT(G14,"00")</f>
        <v>03342-00515-00</v>
      </c>
      <c r="O14" s="122" t="s">
        <v>1702</v>
      </c>
    </row>
    <row r="15" spans="1:16">
      <c r="A15" s="142" t="s">
        <v>174</v>
      </c>
      <c r="B15" s="189" t="str">
        <f>_xlfn.XLOOKUP(F15,品番!B:B,品番!G:G)</f>
        <v>E3F</v>
      </c>
      <c r="C15" s="189" t="str">
        <f>_xlfn.XLOOKUP(F15,品番!B:B,品番!C:C)</f>
        <v>コントローラ</v>
      </c>
      <c r="D15" s="189" t="str">
        <f>_xlfn.XLOOKUP(F15,品番!B:B,品番!D:D)</f>
        <v>メイン</v>
      </c>
      <c r="F15" s="180" t="s">
        <v>1299</v>
      </c>
      <c r="G15" s="181">
        <v>0</v>
      </c>
      <c r="H15" s="122" t="s">
        <v>1295</v>
      </c>
      <c r="I15" s="122" t="s">
        <v>1303</v>
      </c>
      <c r="L15" s="122" t="s">
        <v>1367</v>
      </c>
      <c r="M15" s="266" t="str" cm="1">
        <f t="array" ref="M15">_xlfn.TEXTJOIN(",", TRUE, _xlfn._xlws.FILTER(適用号機!D:D, (適用号機!B:B=改定!F15)*(適用号機!C:C=改定!G15), ""))</f>
        <v/>
      </c>
      <c r="N15" s="142" t="str">
        <f t="shared" si="1"/>
        <v>03342-00516-00</v>
      </c>
      <c r="O15" s="122" t="s">
        <v>1702</v>
      </c>
    </row>
    <row r="16" spans="1:16">
      <c r="A16" s="142" t="s">
        <v>174</v>
      </c>
      <c r="B16" s="189" t="str">
        <f>_xlfn.XLOOKUP(F16,品番!B:B,品番!G:G)</f>
        <v>E3F</v>
      </c>
      <c r="C16" s="189" t="str">
        <f>_xlfn.XLOOKUP(F16,品番!B:B,品番!C:C)</f>
        <v>コントローラ</v>
      </c>
      <c r="D16" s="189" t="str">
        <f>_xlfn.XLOOKUP(F16,品番!B:B,品番!D:D)</f>
        <v>メイン</v>
      </c>
      <c r="F16" s="180" t="s">
        <v>1300</v>
      </c>
      <c r="G16" s="181">
        <v>0</v>
      </c>
      <c r="H16" s="122" t="s">
        <v>1305</v>
      </c>
      <c r="I16" s="122" t="s">
        <v>1306</v>
      </c>
      <c r="L16" s="122" t="s">
        <v>1367</v>
      </c>
      <c r="M16" s="266" t="str" cm="1">
        <f t="array" ref="M16">_xlfn.TEXTJOIN(",", TRUE, _xlfn._xlws.FILTER(適用号機!D:D, (適用号機!B:B=改定!F16)*(適用号機!C:C=改定!G16), ""))</f>
        <v/>
      </c>
      <c r="N16" s="142" t="str">
        <f t="shared" si="1"/>
        <v>03342-00534-00</v>
      </c>
      <c r="O16" s="122" t="s">
        <v>1702</v>
      </c>
    </row>
    <row r="17" spans="1:16">
      <c r="A17" s="142" t="s">
        <v>174</v>
      </c>
      <c r="B17" s="189" t="str">
        <f>_xlfn.XLOOKUP(F17,品番!B:B,品番!G:G)</f>
        <v>E3F</v>
      </c>
      <c r="C17" s="189" t="str">
        <f>_xlfn.XLOOKUP(F17,品番!B:B,品番!C:C)</f>
        <v>コントローラ</v>
      </c>
      <c r="D17" s="189" t="str">
        <f>_xlfn.XLOOKUP(F17,品番!B:B,品番!D:D)</f>
        <v>メイン</v>
      </c>
      <c r="E17" s="179">
        <v>62888</v>
      </c>
      <c r="F17" s="180" t="s">
        <v>1301</v>
      </c>
      <c r="G17" s="181">
        <v>0</v>
      </c>
      <c r="H17" s="122" t="s">
        <v>1307</v>
      </c>
      <c r="I17" s="122" t="s">
        <v>1308</v>
      </c>
      <c r="L17" s="122" t="s">
        <v>1367</v>
      </c>
      <c r="M17" s="266" t="str" cm="1">
        <f t="array" ref="M17">_xlfn.TEXTJOIN(",", TRUE, _xlfn._xlws.FILTER(適用号機!D:D, (適用号機!B:B=改定!F17)*(適用号機!C:C=改定!G17), ""))</f>
        <v>E3F</v>
      </c>
      <c r="N17" s="142" t="str">
        <f t="shared" si="1"/>
        <v>03342-00535-00</v>
      </c>
      <c r="O17" s="122" t="s">
        <v>1702</v>
      </c>
    </row>
    <row r="18" spans="1:16">
      <c r="A18" s="140" t="s">
        <v>132</v>
      </c>
      <c r="B18" s="189" t="str">
        <f>_xlfn.XLOOKUP(F18,品番!B:B,品番!G:G)</f>
        <v>A4E/A4F/J4B</v>
      </c>
      <c r="C18" s="189" t="str">
        <f>_xlfn.XLOOKUP(F18,品番!B:B,品番!C:C)</f>
        <v>コントローラ</v>
      </c>
      <c r="D18" s="189" t="str">
        <f>_xlfn.XLOOKUP(F18,品番!B:B,品番!D:D)</f>
        <v>メイン</v>
      </c>
      <c r="E18" s="179">
        <v>46368</v>
      </c>
      <c r="F18" s="180" t="s">
        <v>133</v>
      </c>
      <c r="G18" s="183">
        <v>0</v>
      </c>
      <c r="H18" s="135"/>
      <c r="I18" s="135"/>
      <c r="K18" s="182" t="s">
        <v>187</v>
      </c>
      <c r="L18" s="122" t="s">
        <v>48</v>
      </c>
      <c r="M18" s="266" t="str" cm="1">
        <f t="array" ref="M18">_xlfn.TEXTJOIN(",", TRUE, _xlfn._xlws.FILTER(適用号機!D:D, (適用号機!B:B=改定!F18)*(適用号機!C:C=改定!G18), ""))</f>
        <v xml:space="preserve">	A4E</v>
      </c>
      <c r="N18" s="142" t="str">
        <f t="shared" ref="N18:N81" si="2">F18 &amp;"-" &amp; TEXT(G18,"00")</f>
        <v>03442-00020-00</v>
      </c>
      <c r="O18" s="122" t="s">
        <v>1702</v>
      </c>
    </row>
    <row r="19" spans="1:16">
      <c r="A19" s="140" t="s">
        <v>132</v>
      </c>
      <c r="B19" s="189" t="str">
        <f>_xlfn.XLOOKUP(F19,品番!B:B,品番!G:G)</f>
        <v>A4E/A4F/J4B</v>
      </c>
      <c r="C19" s="189" t="str">
        <f>_xlfn.XLOOKUP(F19,品番!B:B,品番!C:C)</f>
        <v>コントローラ</v>
      </c>
      <c r="D19" s="189" t="str">
        <f>_xlfn.XLOOKUP(F19,品番!B:B,品番!D:D)</f>
        <v>メイン</v>
      </c>
      <c r="E19" s="179">
        <v>48070</v>
      </c>
      <c r="F19" s="180" t="s">
        <v>133</v>
      </c>
      <c r="G19" s="183">
        <v>1</v>
      </c>
      <c r="H19" s="135"/>
      <c r="I19" s="135"/>
      <c r="K19" s="184"/>
      <c r="M19" s="266" t="str" cm="1">
        <f t="array" ref="M19">_xlfn.TEXTJOIN(",", TRUE, _xlfn._xlws.FILTER(適用号機!D:D, (適用号機!B:B=改定!F19)*(適用号機!C:C=改定!G19), ""))</f>
        <v xml:space="preserve">	A4E,	A4F</v>
      </c>
      <c r="N19" s="142" t="str">
        <f t="shared" si="2"/>
        <v>03442-00020-01</v>
      </c>
      <c r="O19" s="122" t="s">
        <v>1702</v>
      </c>
    </row>
    <row r="20" spans="1:16">
      <c r="A20" s="140" t="s">
        <v>132</v>
      </c>
      <c r="B20" s="189" t="str">
        <f>_xlfn.XLOOKUP(F20,品番!B:B,品番!G:G)</f>
        <v>A4E/A4F/J4B</v>
      </c>
      <c r="C20" s="189" t="str">
        <f>_xlfn.XLOOKUP(F20,品番!B:B,品番!C:C)</f>
        <v>コントローラ</v>
      </c>
      <c r="D20" s="189" t="str">
        <f>_xlfn.XLOOKUP(F20,品番!B:B,品番!D:D)</f>
        <v>メイン</v>
      </c>
      <c r="E20" s="179">
        <v>50466</v>
      </c>
      <c r="F20" s="180" t="s">
        <v>133</v>
      </c>
      <c r="G20" s="183">
        <v>2</v>
      </c>
      <c r="H20" s="135"/>
      <c r="I20" s="135"/>
      <c r="K20" s="184"/>
      <c r="M20" s="266" t="str" cm="1">
        <f t="array" ref="M20">_xlfn.TEXTJOIN(",", TRUE, _xlfn._xlws.FILTER(適用号機!D:D, (適用号機!B:B=改定!F20)*(適用号機!C:C=改定!G20), ""))</f>
        <v/>
      </c>
      <c r="N20" s="142" t="str">
        <f t="shared" si="2"/>
        <v>03442-00020-02</v>
      </c>
      <c r="O20" s="122" t="s">
        <v>1702</v>
      </c>
    </row>
    <row r="21" spans="1:16">
      <c r="A21" s="140" t="s">
        <v>132</v>
      </c>
      <c r="B21" s="189" t="str">
        <f>_xlfn.XLOOKUP(F21,品番!B:B,品番!G:G)</f>
        <v>A4E/A4F/J4B</v>
      </c>
      <c r="C21" s="189" t="str">
        <f>_xlfn.XLOOKUP(F21,品番!B:B,品番!C:C)</f>
        <v>コントローラ</v>
      </c>
      <c r="D21" s="189" t="str">
        <f>_xlfn.XLOOKUP(F21,品番!B:B,品番!D:D)</f>
        <v>メイン</v>
      </c>
      <c r="E21" s="179">
        <v>51091</v>
      </c>
      <c r="F21" s="180" t="s">
        <v>133</v>
      </c>
      <c r="G21" s="183">
        <v>3</v>
      </c>
      <c r="H21" s="135"/>
      <c r="I21" s="135"/>
      <c r="K21" s="184"/>
      <c r="M21" s="266" t="str" cm="1">
        <f t="array" ref="M21">_xlfn.TEXTJOIN(",", TRUE, _xlfn._xlws.FILTER(適用号機!D:D, (適用号機!B:B=改定!F21)*(適用号機!C:C=改定!G21), ""))</f>
        <v>J4B,	A4F,A4E</v>
      </c>
      <c r="N21" s="142" t="str">
        <f t="shared" si="2"/>
        <v>03442-00020-03</v>
      </c>
      <c r="O21" s="122" t="s">
        <v>1702</v>
      </c>
      <c r="P21"/>
    </row>
    <row r="22" spans="1:16">
      <c r="A22" s="140" t="s">
        <v>132</v>
      </c>
      <c r="B22" s="189" t="str">
        <f>_xlfn.XLOOKUP(F22,品番!B:B,品番!G:G)</f>
        <v>A4E/A4F/J4B</v>
      </c>
      <c r="C22" s="189" t="str">
        <f>_xlfn.XLOOKUP(F22,品番!B:B,品番!C:C)</f>
        <v>コントローラ</v>
      </c>
      <c r="D22" s="189" t="str">
        <f>_xlfn.XLOOKUP(F22,品番!B:B,品番!D:D)</f>
        <v>メイン</v>
      </c>
      <c r="E22" s="179">
        <v>51447</v>
      </c>
      <c r="F22" s="180" t="s">
        <v>133</v>
      </c>
      <c r="G22" s="183">
        <v>4</v>
      </c>
      <c r="H22" s="135"/>
      <c r="I22" s="135"/>
      <c r="K22" s="184"/>
      <c r="M22" s="266" t="str" cm="1">
        <f t="array" ref="M22">_xlfn.TEXTJOIN(",", TRUE, _xlfn._xlws.FILTER(適用号機!D:D, (適用号機!B:B=改定!F22)*(適用号機!C:C=改定!G22), ""))</f>
        <v xml:space="preserve">	J4B,	A4F	,	A4E</v>
      </c>
      <c r="N22" s="142" t="str">
        <f t="shared" si="2"/>
        <v>03442-00020-04</v>
      </c>
      <c r="O22" s="122" t="s">
        <v>1702</v>
      </c>
      <c r="P22"/>
    </row>
    <row r="23" spans="1:16">
      <c r="A23" s="140" t="s">
        <v>132</v>
      </c>
      <c r="B23" s="189" t="str">
        <f>_xlfn.XLOOKUP(F23,品番!B:B,品番!G:G)</f>
        <v>A4E/A4F/J4B</v>
      </c>
      <c r="C23" s="189" t="str">
        <f>_xlfn.XLOOKUP(F23,品番!B:B,品番!C:C)</f>
        <v>コントローラ</v>
      </c>
      <c r="D23" s="189" t="str">
        <f>_xlfn.XLOOKUP(F23,品番!B:B,品番!D:D)</f>
        <v>メイン</v>
      </c>
      <c r="E23" s="179">
        <v>52170</v>
      </c>
      <c r="F23" s="180" t="s">
        <v>133</v>
      </c>
      <c r="G23" s="183">
        <v>5</v>
      </c>
      <c r="H23" s="135"/>
      <c r="I23" s="135"/>
      <c r="K23" s="184"/>
      <c r="M23" s="266" t="str" cm="1">
        <f t="array" ref="M23">_xlfn.TEXTJOIN(",", TRUE, _xlfn._xlws.FILTER(適用号機!D:D, (適用号機!B:B=改定!F23)*(適用号機!C:C=改定!G23), ""))</f>
        <v>J4B,	A4F,A4E</v>
      </c>
      <c r="N23" s="142" t="str">
        <f t="shared" si="2"/>
        <v>03442-00020-05</v>
      </c>
      <c r="O23" s="122" t="s">
        <v>1702</v>
      </c>
      <c r="P23"/>
    </row>
    <row r="24" spans="1:16">
      <c r="A24" s="140" t="s">
        <v>132</v>
      </c>
      <c r="B24" s="189" t="str">
        <f>_xlfn.XLOOKUP(F24,品番!B:B,品番!G:G)</f>
        <v>A4E/A4F/J4B</v>
      </c>
      <c r="C24" s="189" t="str">
        <f>_xlfn.XLOOKUP(F24,品番!B:B,品番!C:C)</f>
        <v>コントローラ</v>
      </c>
      <c r="D24" s="189" t="str">
        <f>_xlfn.XLOOKUP(F24,品番!B:B,品番!D:D)</f>
        <v>メイン</v>
      </c>
      <c r="E24" s="179">
        <v>52931</v>
      </c>
      <c r="F24" s="180" t="s">
        <v>133</v>
      </c>
      <c r="G24" s="183">
        <v>6</v>
      </c>
      <c r="H24" s="135"/>
      <c r="I24" s="135"/>
      <c r="K24" s="184"/>
      <c r="M24" s="266" t="str" cm="1">
        <f t="array" ref="M24">_xlfn.TEXTJOIN(",", TRUE, _xlfn._xlws.FILTER(適用号機!D:D, (適用号機!B:B=改定!F24)*(適用号機!C:C=改定!G24), ""))</f>
        <v xml:space="preserve">	J4B,	A4F,	A4E</v>
      </c>
      <c r="N24" s="142" t="str">
        <f t="shared" si="2"/>
        <v>03442-00020-06</v>
      </c>
      <c r="O24" s="122" t="s">
        <v>1702</v>
      </c>
    </row>
    <row r="25" spans="1:16">
      <c r="A25" s="140" t="s">
        <v>132</v>
      </c>
      <c r="B25" s="189" t="str">
        <f>_xlfn.XLOOKUP(F25,品番!B:B,品番!G:G)</f>
        <v>A4E/A4F/J4B</v>
      </c>
      <c r="C25" s="189" t="str">
        <f>_xlfn.XLOOKUP(F25,品番!B:B,品番!C:C)</f>
        <v>コントローラ</v>
      </c>
      <c r="D25" s="189" t="str">
        <f>_xlfn.XLOOKUP(F25,品番!B:B,品番!D:D)</f>
        <v>メイン</v>
      </c>
      <c r="E25" s="179">
        <v>53099</v>
      </c>
      <c r="F25" s="180" t="s">
        <v>133</v>
      </c>
      <c r="G25" s="183">
        <v>7</v>
      </c>
      <c r="H25" s="135"/>
      <c r="I25" s="135"/>
      <c r="K25" s="184"/>
      <c r="M25" s="266" t="str" cm="1">
        <f t="array" ref="M25">_xlfn.TEXTJOIN(",", TRUE, _xlfn._xlws.FILTER(適用号機!D:D, (適用号機!B:B=改定!F25)*(適用号機!C:C=改定!G25), ""))</f>
        <v xml:space="preserve">	J4B,	A4F,	A4E</v>
      </c>
      <c r="N25" s="142" t="str">
        <f t="shared" si="2"/>
        <v>03442-00020-07</v>
      </c>
      <c r="O25" s="122" t="s">
        <v>1702</v>
      </c>
    </row>
    <row r="26" spans="1:16" ht="15">
      <c r="A26" s="140" t="s">
        <v>132</v>
      </c>
      <c r="B26" s="189" t="str">
        <f>_xlfn.XLOOKUP(F26,品番!B:B,品番!G:G)</f>
        <v>A4E/A4F/J4B</v>
      </c>
      <c r="C26" s="189" t="str">
        <f>_xlfn.XLOOKUP(F26,品番!B:B,品番!C:C)</f>
        <v>コントローラ</v>
      </c>
      <c r="D26" s="189" t="str">
        <f>_xlfn.XLOOKUP(F26,品番!B:B,品番!D:D)</f>
        <v>メイン</v>
      </c>
      <c r="E26" s="179">
        <v>54464</v>
      </c>
      <c r="F26" s="180" t="s">
        <v>133</v>
      </c>
      <c r="G26" s="183">
        <v>8</v>
      </c>
      <c r="H26" s="135" t="s">
        <v>1846</v>
      </c>
      <c r="I26" s="135"/>
      <c r="K26" s="184" t="s">
        <v>1413</v>
      </c>
      <c r="M26" s="266" t="str" cm="1">
        <f t="array" ref="M26">_xlfn.TEXTJOIN(",", TRUE, _xlfn._xlws.FILTER(適用号機!D:D, (適用号機!B:B=改定!F26)*(適用号機!C:C=改定!G26), ""))</f>
        <v xml:space="preserve">	A4F</v>
      </c>
      <c r="N26" s="142" t="str">
        <f t="shared" si="2"/>
        <v>03442-00020-08</v>
      </c>
      <c r="O26" s="122" t="s">
        <v>1702</v>
      </c>
    </row>
    <row r="27" spans="1:16">
      <c r="A27" s="140" t="s">
        <v>132</v>
      </c>
      <c r="B27" s="189" t="str">
        <f>_xlfn.XLOOKUP(F27,品番!B:B,品番!G:G)</f>
        <v>A4E/A4F/J4B</v>
      </c>
      <c r="C27" s="189" t="str">
        <f>_xlfn.XLOOKUP(F27,品番!B:B,品番!C:C)</f>
        <v>コントローラ</v>
      </c>
      <c r="D27" s="189" t="str">
        <f>_xlfn.XLOOKUP(F27,品番!B:B,品番!D:D)</f>
        <v>メイン</v>
      </c>
      <c r="E27" s="179">
        <v>55511</v>
      </c>
      <c r="F27" s="180" t="s">
        <v>133</v>
      </c>
      <c r="G27" s="183">
        <v>9</v>
      </c>
      <c r="H27" s="135" t="s">
        <v>390</v>
      </c>
      <c r="I27" s="122" t="s">
        <v>47</v>
      </c>
      <c r="J27" s="122" t="s">
        <v>47</v>
      </c>
      <c r="M27" s="266" t="str" cm="1">
        <f t="array" ref="M27">_xlfn.TEXTJOIN(",", TRUE, _xlfn._xlws.FILTER(適用号機!D:D, (適用号機!B:B=改定!F27)*(適用号機!C:C=改定!G27), ""))</f>
        <v xml:space="preserve">	J4B,	A4F,A4E</v>
      </c>
      <c r="N27" s="142" t="str">
        <f t="shared" si="2"/>
        <v>03442-00020-09</v>
      </c>
      <c r="O27" s="122" t="s">
        <v>1702</v>
      </c>
    </row>
    <row r="28" spans="1:16">
      <c r="A28" s="140" t="s">
        <v>132</v>
      </c>
      <c r="B28" s="189" t="str">
        <f>_xlfn.XLOOKUP(F28,品番!B:B,品番!G:G)</f>
        <v>A4E/A4F/J4B</v>
      </c>
      <c r="C28" s="189" t="str">
        <f>_xlfn.XLOOKUP(F28,品番!B:B,品番!C:C)</f>
        <v>コントローラ</v>
      </c>
      <c r="D28" s="189" t="str">
        <f>_xlfn.XLOOKUP(F28,品番!B:B,品番!D:D)</f>
        <v>メイン</v>
      </c>
      <c r="E28" s="179">
        <v>53559</v>
      </c>
      <c r="F28" s="180" t="s">
        <v>134</v>
      </c>
      <c r="G28" s="183">
        <v>0</v>
      </c>
      <c r="H28" s="135"/>
      <c r="K28" s="182" t="s">
        <v>391</v>
      </c>
      <c r="L28" s="122" t="s">
        <v>135</v>
      </c>
      <c r="M28" s="266" t="str" cm="1">
        <f t="array" ref="M28">_xlfn.TEXTJOIN(",", TRUE, _xlfn._xlws.FILTER(適用号機!D:D, (適用号機!B:B=改定!F28)*(適用号機!C:C=改定!G28), ""))</f>
        <v xml:space="preserve">	J4B</v>
      </c>
      <c r="N28" s="142" t="str">
        <f t="shared" si="2"/>
        <v>03442-00195-00</v>
      </c>
      <c r="O28" s="122" t="s">
        <v>1702</v>
      </c>
    </row>
    <row r="29" spans="1:16">
      <c r="A29" s="140" t="s">
        <v>132</v>
      </c>
      <c r="B29" s="189" t="str">
        <f>_xlfn.XLOOKUP(F29,品番!B:B,品番!G:G)</f>
        <v>A4E/A4F/J4B</v>
      </c>
      <c r="C29" s="189" t="str">
        <f>_xlfn.XLOOKUP(F29,品番!B:B,品番!C:C)</f>
        <v>コントローラ</v>
      </c>
      <c r="D29" s="189" t="str">
        <f>_xlfn.XLOOKUP(F29,品番!B:B,品番!D:D)</f>
        <v>メイン</v>
      </c>
      <c r="E29" s="179">
        <v>53774</v>
      </c>
      <c r="F29" s="180" t="s">
        <v>134</v>
      </c>
      <c r="G29" s="183">
        <v>1</v>
      </c>
      <c r="H29" s="135"/>
      <c r="K29" s="182"/>
      <c r="M29" s="266" t="str" cm="1">
        <f t="array" ref="M29">_xlfn.TEXTJOIN(",", TRUE, _xlfn._xlws.FILTER(適用号機!D:D, (適用号機!B:B=改定!F29)*(適用号機!C:C=改定!G29), ""))</f>
        <v xml:space="preserve">	J4B</v>
      </c>
      <c r="N29" s="142" t="str">
        <f t="shared" si="2"/>
        <v>03442-00195-01</v>
      </c>
      <c r="O29" s="122" t="s">
        <v>1702</v>
      </c>
    </row>
    <row r="30" spans="1:16">
      <c r="A30" s="140" t="s">
        <v>132</v>
      </c>
      <c r="B30" s="189" t="str">
        <f>_xlfn.XLOOKUP(F30,品番!B:B,品番!G:G)</f>
        <v>A4E/A4F/J4B</v>
      </c>
      <c r="C30" s="189" t="str">
        <f>_xlfn.XLOOKUP(F30,品番!B:B,品番!C:C)</f>
        <v>コントローラ</v>
      </c>
      <c r="D30" s="189" t="str">
        <f>_xlfn.XLOOKUP(F30,品番!B:B,品番!D:D)</f>
        <v>メイン</v>
      </c>
      <c r="E30" s="179">
        <v>54251</v>
      </c>
      <c r="F30" s="180" t="s">
        <v>134</v>
      </c>
      <c r="G30" s="183">
        <v>2</v>
      </c>
      <c r="H30" s="135"/>
      <c r="K30" s="182"/>
      <c r="M30" s="266" t="str" cm="1">
        <f t="array" ref="M30">_xlfn.TEXTJOIN(",", TRUE, _xlfn._xlws.FILTER(適用号機!D:D, (適用号機!B:B=改定!F30)*(適用号機!C:C=改定!G30), ""))</f>
        <v xml:space="preserve">	J4B</v>
      </c>
      <c r="N30" s="142" t="str">
        <f t="shared" si="2"/>
        <v>03442-00195-02</v>
      </c>
      <c r="O30" s="122" t="s">
        <v>1702</v>
      </c>
    </row>
    <row r="31" spans="1:16">
      <c r="A31" s="140" t="s">
        <v>132</v>
      </c>
      <c r="B31" s="189" t="str">
        <f>_xlfn.XLOOKUP(F31,品番!B:B,品番!G:G)</f>
        <v>A4E/A4F/J4B</v>
      </c>
      <c r="C31" s="189" t="str">
        <f>_xlfn.XLOOKUP(F31,品番!B:B,品番!C:C)</f>
        <v>コントローラ</v>
      </c>
      <c r="D31" s="189" t="str">
        <f>_xlfn.XLOOKUP(F31,品番!B:B,品番!D:D)</f>
        <v>メイン</v>
      </c>
      <c r="E31" s="179">
        <v>54353</v>
      </c>
      <c r="F31" s="180" t="s">
        <v>134</v>
      </c>
      <c r="G31" s="183">
        <v>3</v>
      </c>
      <c r="H31" s="135"/>
      <c r="K31" s="182"/>
      <c r="M31" s="266" t="str" cm="1">
        <f t="array" ref="M31">_xlfn.TEXTJOIN(",", TRUE, _xlfn._xlws.FILTER(適用号機!D:D, (適用号機!B:B=改定!F31)*(適用号機!C:C=改定!G31), ""))</f>
        <v xml:space="preserve">	J4B</v>
      </c>
      <c r="N31" s="142" t="str">
        <f t="shared" si="2"/>
        <v>03442-00195-03</v>
      </c>
      <c r="O31" s="122" t="s">
        <v>1702</v>
      </c>
    </row>
    <row r="32" spans="1:16">
      <c r="A32" s="140" t="s">
        <v>132</v>
      </c>
      <c r="B32" s="189" t="str">
        <f>_xlfn.XLOOKUP(F32,品番!B:B,品番!G:G)</f>
        <v>A4E/A4F/J4B</v>
      </c>
      <c r="C32" s="189" t="str">
        <f>_xlfn.XLOOKUP(F32,品番!B:B,品番!C:C)</f>
        <v>コントローラ</v>
      </c>
      <c r="D32" s="189" t="str">
        <f>_xlfn.XLOOKUP(F32,品番!B:B,品番!D:D)</f>
        <v>メイン</v>
      </c>
      <c r="E32" s="179">
        <v>54464</v>
      </c>
      <c r="F32" s="180" t="s">
        <v>134</v>
      </c>
      <c r="G32" s="183">
        <v>4</v>
      </c>
      <c r="H32" s="135" t="s">
        <v>1414</v>
      </c>
      <c r="K32" s="184" t="s">
        <v>1413</v>
      </c>
      <c r="M32" s="266" t="str" cm="1">
        <f t="array" ref="M32">_xlfn.TEXTJOIN(",", TRUE, _xlfn._xlws.FILTER(適用号機!D:D, (適用号機!B:B=改定!F32)*(適用号機!C:C=改定!G32), ""))</f>
        <v xml:space="preserve">	J4B</v>
      </c>
      <c r="N32" s="142" t="str">
        <f t="shared" si="2"/>
        <v>03442-00195-04</v>
      </c>
      <c r="O32" s="122" t="s">
        <v>1702</v>
      </c>
    </row>
    <row r="33" spans="1:15">
      <c r="A33" s="140" t="s">
        <v>132</v>
      </c>
      <c r="B33" s="189" t="str">
        <f>_xlfn.XLOOKUP(F33,品番!B:B,品番!G:G)</f>
        <v>A4E/A4F/J4B</v>
      </c>
      <c r="C33" s="189" t="str">
        <f>_xlfn.XLOOKUP(F33,品番!B:B,品番!C:C)</f>
        <v>コントローラ</v>
      </c>
      <c r="D33" s="189" t="str">
        <f>_xlfn.XLOOKUP(F33,品番!B:B,品番!D:D)</f>
        <v>メイン</v>
      </c>
      <c r="E33" s="179">
        <v>55511</v>
      </c>
      <c r="F33" s="180" t="s">
        <v>134</v>
      </c>
      <c r="G33" s="183">
        <v>5</v>
      </c>
      <c r="H33" s="135" t="s">
        <v>392</v>
      </c>
      <c r="I33" s="122" t="s">
        <v>47</v>
      </c>
      <c r="J33" s="122" t="s">
        <v>47</v>
      </c>
      <c r="M33" s="266" t="str" cm="1">
        <f t="array" ref="M33">_xlfn.TEXTJOIN(",", TRUE, _xlfn._xlws.FILTER(適用号機!D:D, (適用号機!B:B=改定!F33)*(適用号機!C:C=改定!G33), ""))</f>
        <v>J4B</v>
      </c>
      <c r="N33" s="142" t="str">
        <f t="shared" si="2"/>
        <v>03442-00195-05</v>
      </c>
      <c r="O33" s="122" t="s">
        <v>1702</v>
      </c>
    </row>
    <row r="34" spans="1:15">
      <c r="A34" s="140" t="s">
        <v>136</v>
      </c>
      <c r="B34" s="189" t="str">
        <f>_xlfn.XLOOKUP(F34,品番!B:B,品番!G:G)</f>
        <v>A5F,A7FG,A12B</v>
      </c>
      <c r="C34" s="189" t="str">
        <f>_xlfn.XLOOKUP(F34,品番!B:B,品番!C:C)</f>
        <v>コントローラ</v>
      </c>
      <c r="D34" s="189" t="str">
        <f>_xlfn.XLOOKUP(F34,品番!B:B,品番!D:D)</f>
        <v>メイン</v>
      </c>
      <c r="E34" s="179">
        <v>42121</v>
      </c>
      <c r="F34" s="180" t="s">
        <v>137</v>
      </c>
      <c r="G34" s="183">
        <v>0</v>
      </c>
      <c r="H34" s="135"/>
      <c r="K34" s="182" t="s">
        <v>325</v>
      </c>
      <c r="L34" s="122" t="s">
        <v>48</v>
      </c>
      <c r="M34" s="266" t="str" cm="1">
        <f t="array" ref="M34">_xlfn.TEXTJOIN(",", TRUE, _xlfn._xlws.FILTER(適用号機!D:D, (適用号機!B:B=改定!F34)*(適用号機!C:C=改定!G34), ""))</f>
        <v/>
      </c>
      <c r="N34" s="142" t="str">
        <f t="shared" si="2"/>
        <v>03542-00020-00</v>
      </c>
      <c r="O34" s="122" t="s">
        <v>1702</v>
      </c>
    </row>
    <row r="35" spans="1:15">
      <c r="A35" s="140" t="s">
        <v>136</v>
      </c>
      <c r="B35" s="189" t="str">
        <f>_xlfn.XLOOKUP(F35,品番!B:B,品番!G:G)</f>
        <v>A5F,A7FG,A12B</v>
      </c>
      <c r="C35" s="189" t="str">
        <f>_xlfn.XLOOKUP(F35,品番!B:B,品番!C:C)</f>
        <v>コントローラ</v>
      </c>
      <c r="D35" s="189" t="str">
        <f>_xlfn.XLOOKUP(F35,品番!B:B,品番!D:D)</f>
        <v>メイン</v>
      </c>
      <c r="E35" s="179">
        <v>42644</v>
      </c>
      <c r="F35" s="180" t="s">
        <v>137</v>
      </c>
      <c r="G35" s="183">
        <v>1</v>
      </c>
      <c r="H35" s="135"/>
      <c r="K35" s="182"/>
      <c r="M35" s="266" t="str" cm="1">
        <f t="array" ref="M35">_xlfn.TEXTJOIN(",", TRUE, _xlfn._xlws.FILTER(適用号機!D:D, (適用号機!B:B=改定!F35)*(適用号機!C:C=改定!G35), ""))</f>
        <v/>
      </c>
      <c r="N35" s="142" t="str">
        <f t="shared" si="2"/>
        <v>03542-00020-01</v>
      </c>
      <c r="O35" s="122" t="s">
        <v>1702</v>
      </c>
    </row>
    <row r="36" spans="1:15">
      <c r="A36" s="140" t="s">
        <v>136</v>
      </c>
      <c r="B36" s="189" t="str">
        <f>_xlfn.XLOOKUP(F36,品番!B:B,品番!G:G)</f>
        <v>A5F,A7FG,A12B</v>
      </c>
      <c r="C36" s="189" t="str">
        <f>_xlfn.XLOOKUP(F36,品番!B:B,品番!C:C)</f>
        <v>コントローラ</v>
      </c>
      <c r="D36" s="189" t="str">
        <f>_xlfn.XLOOKUP(F36,品番!B:B,品番!D:D)</f>
        <v>メイン</v>
      </c>
      <c r="E36" s="179">
        <v>42988</v>
      </c>
      <c r="F36" s="180" t="s">
        <v>137</v>
      </c>
      <c r="G36" s="183">
        <v>2</v>
      </c>
      <c r="H36" s="135"/>
      <c r="K36" s="182"/>
      <c r="M36" s="266" t="str" cm="1">
        <f t="array" ref="M36">_xlfn.TEXTJOIN(",", TRUE, _xlfn._xlws.FILTER(適用号機!D:D, (適用号機!B:B=改定!F36)*(適用号機!C:C=改定!G36), ""))</f>
        <v>A5F,A7F</v>
      </c>
      <c r="N36" s="142" t="str">
        <f t="shared" si="2"/>
        <v>03542-00020-02</v>
      </c>
      <c r="O36" s="122" t="s">
        <v>1702</v>
      </c>
    </row>
    <row r="37" spans="1:15">
      <c r="A37" s="140" t="s">
        <v>136</v>
      </c>
      <c r="B37" s="189" t="str">
        <f>_xlfn.XLOOKUP(F37,品番!B:B,品番!G:G)</f>
        <v>A5F,A7FG,A12B</v>
      </c>
      <c r="C37" s="189" t="str">
        <f>_xlfn.XLOOKUP(F37,品番!B:B,品番!C:C)</f>
        <v>コントローラ</v>
      </c>
      <c r="D37" s="189" t="str">
        <f>_xlfn.XLOOKUP(F37,品番!B:B,品番!D:D)</f>
        <v>メイン</v>
      </c>
      <c r="E37" s="179">
        <v>43589</v>
      </c>
      <c r="F37" s="180" t="s">
        <v>137</v>
      </c>
      <c r="G37" s="183">
        <v>3</v>
      </c>
      <c r="H37" s="135"/>
      <c r="K37" s="182"/>
      <c r="M37" s="266" t="str" cm="1">
        <f t="array" ref="M37">_xlfn.TEXTJOIN(",", TRUE, _xlfn._xlws.FILTER(適用号機!D:D, (適用号機!B:B=改定!F37)*(適用号機!C:C=改定!G37), ""))</f>
        <v>A5F,A7F</v>
      </c>
      <c r="N37" s="142" t="str">
        <f t="shared" si="2"/>
        <v>03542-00020-03</v>
      </c>
      <c r="O37" s="122" t="s">
        <v>1702</v>
      </c>
    </row>
    <row r="38" spans="1:15">
      <c r="A38" s="140" t="s">
        <v>136</v>
      </c>
      <c r="B38" s="189" t="str">
        <f>_xlfn.XLOOKUP(F38,品番!B:B,品番!G:G)</f>
        <v>A5F,A7FG,A12B</v>
      </c>
      <c r="C38" s="189" t="str">
        <f>_xlfn.XLOOKUP(F38,品番!B:B,品番!C:C)</f>
        <v>コントローラ</v>
      </c>
      <c r="D38" s="189" t="str">
        <f>_xlfn.XLOOKUP(F38,品番!B:B,品番!D:D)</f>
        <v>メイン</v>
      </c>
      <c r="E38" s="179">
        <v>43748</v>
      </c>
      <c r="F38" s="180" t="s">
        <v>137</v>
      </c>
      <c r="G38" s="183">
        <v>4</v>
      </c>
      <c r="H38" s="135"/>
      <c r="K38" s="182"/>
      <c r="M38" s="266" t="str" cm="1">
        <f t="array" ref="M38">_xlfn.TEXTJOIN(",", TRUE, _xlfn._xlws.FILTER(適用号機!D:D, (適用号機!B:B=改定!F38)*(適用号機!C:C=改定!G38), ""))</f>
        <v>A5F,A7F</v>
      </c>
      <c r="N38" s="142" t="str">
        <f t="shared" si="2"/>
        <v>03542-00020-04</v>
      </c>
      <c r="O38" s="122" t="s">
        <v>1702</v>
      </c>
    </row>
    <row r="39" spans="1:15">
      <c r="A39" s="140" t="s">
        <v>136</v>
      </c>
      <c r="B39" s="189" t="str">
        <f>_xlfn.XLOOKUP(F39,品番!B:B,品番!G:G)</f>
        <v>A5F,A7FG,A12B</v>
      </c>
      <c r="C39" s="189" t="str">
        <f>_xlfn.XLOOKUP(F39,品番!B:B,品番!C:C)</f>
        <v>コントローラ</v>
      </c>
      <c r="D39" s="189" t="str">
        <f>_xlfn.XLOOKUP(F39,品番!B:B,品番!D:D)</f>
        <v>メイン</v>
      </c>
      <c r="E39" s="179">
        <v>46167</v>
      </c>
      <c r="F39" s="180" t="s">
        <v>137</v>
      </c>
      <c r="G39" s="183">
        <v>5</v>
      </c>
      <c r="H39" s="135"/>
      <c r="K39" s="182"/>
      <c r="M39" s="266" t="str" cm="1">
        <f t="array" ref="M39">_xlfn.TEXTJOIN(",", TRUE, _xlfn._xlws.FILTER(適用号機!D:D, (適用号機!B:B=改定!F39)*(適用号機!C:C=改定!G39), ""))</f>
        <v>A6E,	A7F,	A5F,	A7G,A12B</v>
      </c>
      <c r="N39" s="142" t="str">
        <f t="shared" si="2"/>
        <v>03542-00020-05</v>
      </c>
      <c r="O39" s="122" t="s">
        <v>1702</v>
      </c>
    </row>
    <row r="40" spans="1:15">
      <c r="A40" s="140" t="s">
        <v>136</v>
      </c>
      <c r="B40" s="189" t="str">
        <f>_xlfn.XLOOKUP(F40,品番!B:B,品番!G:G)</f>
        <v>A5F,A7FG,A12B</v>
      </c>
      <c r="C40" s="189" t="str">
        <f>_xlfn.XLOOKUP(F40,品番!B:B,品番!C:C)</f>
        <v>コントローラ</v>
      </c>
      <c r="D40" s="189" t="str">
        <f>_xlfn.XLOOKUP(F40,品番!B:B,品番!D:D)</f>
        <v>メイン</v>
      </c>
      <c r="E40" s="179">
        <v>46629</v>
      </c>
      <c r="F40" s="180" t="s">
        <v>137</v>
      </c>
      <c r="G40" s="183">
        <v>6</v>
      </c>
      <c r="H40" s="135"/>
      <c r="K40" s="182"/>
      <c r="M40" s="266" t="str" cm="1">
        <f t="array" ref="M40">_xlfn.TEXTJOIN(",", TRUE, _xlfn._xlws.FILTER(適用号機!D:D, (適用号機!B:B=改定!F40)*(適用号機!C:C=改定!G40), ""))</f>
        <v>A6E,A7F,A5F,A7G,A5F,A12B</v>
      </c>
      <c r="N40" s="142" t="str">
        <f t="shared" si="2"/>
        <v>03542-00020-06</v>
      </c>
      <c r="O40" s="122" t="s">
        <v>1702</v>
      </c>
    </row>
    <row r="41" spans="1:15">
      <c r="A41" s="140" t="s">
        <v>136</v>
      </c>
      <c r="B41" s="189" t="str">
        <f>_xlfn.XLOOKUP(F41,品番!B:B,品番!G:G)</f>
        <v>A5F,A7FG,A12B</v>
      </c>
      <c r="C41" s="189" t="str">
        <f>_xlfn.XLOOKUP(F41,品番!B:B,品番!C:C)</f>
        <v>コントローラ</v>
      </c>
      <c r="D41" s="189" t="str">
        <f>_xlfn.XLOOKUP(F41,品番!B:B,品番!D:D)</f>
        <v>メイン</v>
      </c>
      <c r="E41" s="179">
        <v>46839</v>
      </c>
      <c r="F41" s="180" t="s">
        <v>137</v>
      </c>
      <c r="G41" s="183">
        <v>7</v>
      </c>
      <c r="H41" s="135"/>
      <c r="K41" s="182"/>
      <c r="M41" s="266" t="str" cm="1">
        <f t="array" ref="M41">_xlfn.TEXTJOIN(",", TRUE, _xlfn._xlws.FILTER(適用号機!D:D, (適用号機!B:B=改定!F41)*(適用号機!C:C=改定!G41), ""))</f>
        <v>A6E,A7F,A5F,A7G,A12B</v>
      </c>
      <c r="N41" s="142" t="str">
        <f t="shared" si="2"/>
        <v>03542-00020-07</v>
      </c>
      <c r="O41" s="122" t="s">
        <v>1702</v>
      </c>
    </row>
    <row r="42" spans="1:15">
      <c r="A42" s="140" t="s">
        <v>136</v>
      </c>
      <c r="B42" s="189" t="str">
        <f>_xlfn.XLOOKUP(F42,品番!B:B,品番!G:G)</f>
        <v>A5F,A7FG,A12B</v>
      </c>
      <c r="C42" s="189" t="str">
        <f>_xlfn.XLOOKUP(F42,品番!B:B,品番!C:C)</f>
        <v>コントローラ</v>
      </c>
      <c r="D42" s="189" t="str">
        <f>_xlfn.XLOOKUP(F42,品番!B:B,品番!D:D)</f>
        <v>メイン</v>
      </c>
      <c r="E42" s="179">
        <v>47086</v>
      </c>
      <c r="F42" s="180" t="s">
        <v>137</v>
      </c>
      <c r="G42" s="183">
        <v>8</v>
      </c>
      <c r="H42" s="135"/>
      <c r="K42" s="182"/>
      <c r="M42" s="266" t="str" cm="1">
        <f t="array" ref="M42">_xlfn.TEXTJOIN(",", TRUE, _xlfn._xlws.FILTER(適用号機!D:D, (適用号機!B:B=改定!F42)*(適用号機!C:C=改定!G42), ""))</f>
        <v>A6E,A7F,A5F,A7G,A12B</v>
      </c>
      <c r="N42" s="142" t="str">
        <f t="shared" si="2"/>
        <v>03542-00020-08</v>
      </c>
      <c r="O42" s="122" t="s">
        <v>1702</v>
      </c>
    </row>
    <row r="43" spans="1:15">
      <c r="A43" s="140" t="s">
        <v>136</v>
      </c>
      <c r="B43" s="189" t="str">
        <f>_xlfn.XLOOKUP(F43,品番!B:B,品番!G:G)</f>
        <v>A5F,A7FG,A12B</v>
      </c>
      <c r="C43" s="189" t="str">
        <f>_xlfn.XLOOKUP(F43,品番!B:B,品番!C:C)</f>
        <v>コントローラ</v>
      </c>
      <c r="D43" s="189" t="str">
        <f>_xlfn.XLOOKUP(F43,品番!B:B,品番!D:D)</f>
        <v>メイン</v>
      </c>
      <c r="E43" s="179">
        <v>47467</v>
      </c>
      <c r="F43" s="180" t="s">
        <v>137</v>
      </c>
      <c r="G43" s="183">
        <v>9</v>
      </c>
      <c r="H43" s="135"/>
      <c r="K43" s="182"/>
      <c r="M43" s="266" t="str" cm="1">
        <f t="array" ref="M43">_xlfn.TEXTJOIN(",", TRUE, _xlfn._xlws.FILTER(適用号機!D:D, (適用号機!B:B=改定!F43)*(適用号機!C:C=改定!G43), ""))</f>
        <v xml:space="preserve">	A7F,A5F,	A7G,	A12B</v>
      </c>
      <c r="N43" s="142" t="str">
        <f t="shared" si="2"/>
        <v>03542-00020-09</v>
      </c>
      <c r="O43" s="122" t="s">
        <v>1702</v>
      </c>
    </row>
    <row r="44" spans="1:15">
      <c r="A44" s="140" t="s">
        <v>136</v>
      </c>
      <c r="B44" s="189" t="str">
        <f>_xlfn.XLOOKUP(F44,品番!B:B,品番!G:G)</f>
        <v>A5F,A7FG,A12B</v>
      </c>
      <c r="C44" s="189" t="str">
        <f>_xlfn.XLOOKUP(F44,品番!B:B,品番!C:C)</f>
        <v>コントローラ</v>
      </c>
      <c r="D44" s="189" t="str">
        <f>_xlfn.XLOOKUP(F44,品番!B:B,品番!D:D)</f>
        <v>メイン</v>
      </c>
      <c r="E44" s="179">
        <v>47975</v>
      </c>
      <c r="F44" s="180" t="s">
        <v>137</v>
      </c>
      <c r="G44" s="183">
        <v>10</v>
      </c>
      <c r="H44" s="135"/>
      <c r="K44" s="182"/>
      <c r="M44" s="266" t="str" cm="1">
        <f t="array" ref="M44">_xlfn.TEXTJOIN(",", TRUE, _xlfn._xlws.FILTER(適用号機!D:D, (適用号機!B:B=改定!F44)*(適用号機!C:C=改定!G44), ""))</f>
        <v xml:space="preserve">	A7F,	A5F,	A7G,	A12B</v>
      </c>
      <c r="N44" s="142" t="str">
        <f t="shared" si="2"/>
        <v>03542-00020-10</v>
      </c>
      <c r="O44" s="122" t="s">
        <v>1702</v>
      </c>
    </row>
    <row r="45" spans="1:15">
      <c r="A45" s="140" t="s">
        <v>136</v>
      </c>
      <c r="B45" s="189" t="str">
        <f>_xlfn.XLOOKUP(F45,品番!B:B,品番!G:G)</f>
        <v>A5F,A7FG,A12B</v>
      </c>
      <c r="C45" s="189" t="str">
        <f>_xlfn.XLOOKUP(F45,品番!B:B,品番!C:C)</f>
        <v>コントローラ</v>
      </c>
      <c r="D45" s="189" t="str">
        <f>_xlfn.XLOOKUP(F45,品番!B:B,品番!D:D)</f>
        <v>メイン</v>
      </c>
      <c r="E45" s="179">
        <v>50466</v>
      </c>
      <c r="F45" s="180" t="s">
        <v>137</v>
      </c>
      <c r="G45" s="183">
        <v>11</v>
      </c>
      <c r="H45" s="135"/>
      <c r="K45" s="182"/>
      <c r="M45" s="266" t="str" cm="1">
        <f t="array" ref="M45">_xlfn.TEXTJOIN(",", TRUE, _xlfn._xlws.FILTER(適用号機!D:D, (適用号機!B:B=改定!F45)*(適用号機!C:C=改定!G45), ""))</f>
        <v/>
      </c>
      <c r="N45" s="142" t="str">
        <f t="shared" si="2"/>
        <v>03542-00020-11</v>
      </c>
      <c r="O45" s="122" t="s">
        <v>1702</v>
      </c>
    </row>
    <row r="46" spans="1:15">
      <c r="A46" s="140" t="s">
        <v>136</v>
      </c>
      <c r="B46" s="189" t="str">
        <f>_xlfn.XLOOKUP(F46,品番!B:B,品番!G:G)</f>
        <v>A5F,A7FG,A12B</v>
      </c>
      <c r="C46" s="189" t="str">
        <f>_xlfn.XLOOKUP(F46,品番!B:B,品番!C:C)</f>
        <v>コントローラ</v>
      </c>
      <c r="D46" s="189" t="str">
        <f>_xlfn.XLOOKUP(F46,品番!B:B,品番!D:D)</f>
        <v>メイン</v>
      </c>
      <c r="E46" s="179">
        <v>55511</v>
      </c>
      <c r="F46" s="180" t="s">
        <v>137</v>
      </c>
      <c r="G46" s="183">
        <v>12</v>
      </c>
      <c r="H46" s="135" t="s">
        <v>394</v>
      </c>
      <c r="I46" s="122" t="s">
        <v>395</v>
      </c>
      <c r="J46" s="122" t="s">
        <v>47</v>
      </c>
      <c r="M46" s="266" t="str" cm="1">
        <f t="array" ref="M46">_xlfn.TEXTJOIN(",", TRUE, _xlfn._xlws.FILTER(適用号機!D:D, (適用号機!B:B=改定!F46)*(適用号機!C:C=改定!G46), ""))</f>
        <v xml:space="preserve">	A5F</v>
      </c>
      <c r="N46" s="142" t="str">
        <f t="shared" si="2"/>
        <v>03542-00020-12</v>
      </c>
      <c r="O46" s="122" t="s">
        <v>1702</v>
      </c>
    </row>
    <row r="47" spans="1:15">
      <c r="A47" s="140" t="s">
        <v>136</v>
      </c>
      <c r="B47" s="189" t="str">
        <f>_xlfn.XLOOKUP(F47,品番!B:B,品番!G:G)</f>
        <v>A5F,A7FG,A12B</v>
      </c>
      <c r="C47" s="189" t="str">
        <f>_xlfn.XLOOKUP(F47,品番!B:B,品番!C:C)</f>
        <v>コントローラ</v>
      </c>
      <c r="D47" s="189" t="str">
        <f>_xlfn.XLOOKUP(F47,品番!B:B,品番!D:D)</f>
        <v>メイン</v>
      </c>
      <c r="E47" s="179">
        <v>47366</v>
      </c>
      <c r="F47" s="180" t="s">
        <v>138</v>
      </c>
      <c r="G47" s="183">
        <v>0</v>
      </c>
      <c r="H47" s="135"/>
      <c r="K47" s="185"/>
      <c r="L47" s="122" t="s">
        <v>139</v>
      </c>
      <c r="M47" s="266" t="str" cm="1">
        <f t="array" ref="M47">_xlfn.TEXTJOIN(",", TRUE, _xlfn._xlws.FILTER(適用号機!D:D, (適用号機!B:B=改定!F47)*(適用号機!C:C=改定!G47), ""))</f>
        <v/>
      </c>
      <c r="N47" s="142" t="str">
        <f t="shared" si="2"/>
        <v>03542-00063-00</v>
      </c>
      <c r="O47" s="122" t="s">
        <v>1702</v>
      </c>
    </row>
    <row r="48" spans="1:15">
      <c r="A48" s="140" t="s">
        <v>136</v>
      </c>
      <c r="B48" s="189" t="str">
        <f>_xlfn.XLOOKUP(F48,品番!B:B,品番!G:G)</f>
        <v>A5F,A7FG,A12B</v>
      </c>
      <c r="C48" s="189" t="str">
        <f>_xlfn.XLOOKUP(F48,品番!B:B,品番!C:C)</f>
        <v>コントローラ</v>
      </c>
      <c r="D48" s="189" t="str">
        <f>_xlfn.XLOOKUP(F48,品番!B:B,品番!D:D)</f>
        <v>メイン</v>
      </c>
      <c r="E48" s="179">
        <v>47467</v>
      </c>
      <c r="F48" s="180" t="s">
        <v>138</v>
      </c>
      <c r="G48" s="183">
        <v>1</v>
      </c>
      <c r="H48" s="135"/>
      <c r="K48" s="182"/>
      <c r="M48" s="266" t="str" cm="1">
        <f t="array" ref="M48">_xlfn.TEXTJOIN(",", TRUE, _xlfn._xlws.FILTER(適用号機!D:D, (適用号機!B:B=改定!F48)*(適用号機!C:C=改定!G48), ""))</f>
        <v/>
      </c>
      <c r="N48" s="142" t="str">
        <f t="shared" si="2"/>
        <v>03542-00063-01</v>
      </c>
      <c r="O48" s="122" t="s">
        <v>1702</v>
      </c>
    </row>
    <row r="49" spans="1:16">
      <c r="A49" s="140" t="s">
        <v>136</v>
      </c>
      <c r="B49" s="189" t="str">
        <f>_xlfn.XLOOKUP(F49,品番!B:B,品番!G:G)</f>
        <v>A5F,A7FG,A12B</v>
      </c>
      <c r="C49" s="189" t="str">
        <f>_xlfn.XLOOKUP(F49,品番!B:B,品番!C:C)</f>
        <v>コントローラ</v>
      </c>
      <c r="D49" s="189" t="str">
        <f>_xlfn.XLOOKUP(F49,品番!B:B,品番!D:D)</f>
        <v>メイン</v>
      </c>
      <c r="E49" s="179">
        <v>50466</v>
      </c>
      <c r="F49" s="180" t="s">
        <v>138</v>
      </c>
      <c r="G49" s="183">
        <v>2</v>
      </c>
      <c r="H49" s="135"/>
      <c r="K49" s="182"/>
      <c r="L49" s="122" t="s">
        <v>1015</v>
      </c>
      <c r="M49" s="266" t="str" cm="1">
        <f t="array" ref="M49">_xlfn.TEXTJOIN(",", TRUE, _xlfn._xlws.FILTER(適用号機!D:D, (適用号機!B:B=改定!F49)*(適用号機!C:C=改定!G49), ""))</f>
        <v/>
      </c>
      <c r="N49" s="142" t="str">
        <f t="shared" si="2"/>
        <v>03542-00063-02</v>
      </c>
      <c r="O49" s="122" t="s">
        <v>1702</v>
      </c>
    </row>
    <row r="50" spans="1:16">
      <c r="A50" s="140" t="s">
        <v>136</v>
      </c>
      <c r="B50" s="189" t="str">
        <f>_xlfn.XLOOKUP(F50,品番!B:B,品番!G:G)</f>
        <v>A5F,A7FG,A12B</v>
      </c>
      <c r="C50" s="189" t="str">
        <f>_xlfn.XLOOKUP(F50,品番!B:B,品番!C:C)</f>
        <v>コントローラ</v>
      </c>
      <c r="D50" s="189" t="str">
        <f>_xlfn.XLOOKUP(F50,品番!B:B,品番!D:D)</f>
        <v>メイン</v>
      </c>
      <c r="E50" s="179">
        <v>55511</v>
      </c>
      <c r="F50" s="180" t="s">
        <v>138</v>
      </c>
      <c r="G50" s="183">
        <v>3</v>
      </c>
      <c r="H50" s="135" t="s">
        <v>397</v>
      </c>
      <c r="I50" s="122" t="s">
        <v>47</v>
      </c>
      <c r="J50" s="122" t="s">
        <v>47</v>
      </c>
      <c r="M50" s="266" t="str" cm="1">
        <f t="array" ref="M50">_xlfn.TEXTJOIN(",", TRUE, _xlfn._xlws.FILTER(適用号機!D:D, (適用号機!B:B=改定!F50)*(適用号機!C:C=改定!G50), ""))</f>
        <v/>
      </c>
      <c r="N50" s="142" t="str">
        <f t="shared" si="2"/>
        <v>03542-00063-03</v>
      </c>
      <c r="O50" s="122" t="s">
        <v>1702</v>
      </c>
    </row>
    <row r="51" spans="1:16">
      <c r="A51" s="140" t="s">
        <v>136</v>
      </c>
      <c r="B51" s="189" t="str">
        <f>_xlfn.XLOOKUP(F51,品番!B:B,品番!G:G)</f>
        <v>A5F,A7FG,A12B</v>
      </c>
      <c r="C51" s="189" t="str">
        <f>_xlfn.XLOOKUP(F51,品番!B:B,品番!C:C)</f>
        <v>コントローラ</v>
      </c>
      <c r="D51" s="189" t="str">
        <f>_xlfn.XLOOKUP(F51,品番!B:B,品番!D:D)</f>
        <v>メイン</v>
      </c>
      <c r="E51" s="179">
        <v>48878</v>
      </c>
      <c r="F51" s="180" t="s">
        <v>140</v>
      </c>
      <c r="G51" s="183">
        <v>0</v>
      </c>
      <c r="H51" s="135"/>
      <c r="K51" s="182" t="s">
        <v>399</v>
      </c>
      <c r="L51" s="122" t="s">
        <v>141</v>
      </c>
      <c r="M51" s="266" t="str" cm="1">
        <f t="array" ref="M51">_xlfn.TEXTJOIN(",", TRUE, _xlfn._xlws.FILTER(適用号機!D:D, (適用号機!B:B=改定!F51)*(適用号機!C:C=改定!G51), ""))</f>
        <v xml:space="preserve">	A7F,A5F,	A7G,	A12B</v>
      </c>
      <c r="N51" s="142" t="str">
        <f t="shared" si="2"/>
        <v>03542-00065-00</v>
      </c>
      <c r="O51" s="122" t="s">
        <v>1702</v>
      </c>
    </row>
    <row r="52" spans="1:16">
      <c r="A52" s="140" t="s">
        <v>136</v>
      </c>
      <c r="B52" s="189" t="str">
        <f>_xlfn.XLOOKUP(F52,品番!B:B,品番!G:G)</f>
        <v>A5F,A7FG,A12B</v>
      </c>
      <c r="C52" s="189" t="str">
        <f>_xlfn.XLOOKUP(F52,品番!B:B,品番!C:C)</f>
        <v>コントローラ</v>
      </c>
      <c r="D52" s="189" t="str">
        <f>_xlfn.XLOOKUP(F52,品番!B:B,品番!D:D)</f>
        <v>メイン</v>
      </c>
      <c r="E52" s="179">
        <v>49337</v>
      </c>
      <c r="F52" s="180" t="s">
        <v>140</v>
      </c>
      <c r="G52" s="183">
        <v>1</v>
      </c>
      <c r="H52" s="135"/>
      <c r="K52" s="185"/>
      <c r="M52" s="266" t="str" cm="1">
        <f t="array" ref="M52">_xlfn.TEXTJOIN(",", TRUE, _xlfn._xlws.FILTER(適用号機!D:D, (適用号機!B:B=改定!F52)*(適用号機!C:C=改定!G52), ""))</f>
        <v xml:space="preserve">	A7F,A5F,	A7G,A12B</v>
      </c>
      <c r="N52" s="142" t="str">
        <f t="shared" si="2"/>
        <v>03542-00065-01</v>
      </c>
      <c r="O52" s="122" t="s">
        <v>1702</v>
      </c>
    </row>
    <row r="53" spans="1:16">
      <c r="A53" s="140" t="s">
        <v>136</v>
      </c>
      <c r="B53" s="189" t="str">
        <f>_xlfn.XLOOKUP(F53,品番!B:B,品番!G:G)</f>
        <v>A5F,A7FG,A12B</v>
      </c>
      <c r="C53" s="189" t="str">
        <f>_xlfn.XLOOKUP(F53,品番!B:B,品番!C:C)</f>
        <v>コントローラ</v>
      </c>
      <c r="D53" s="189" t="str">
        <f>_xlfn.XLOOKUP(F53,品番!B:B,品番!D:D)</f>
        <v>メイン</v>
      </c>
      <c r="E53" s="179">
        <v>49603</v>
      </c>
      <c r="F53" s="180" t="s">
        <v>140</v>
      </c>
      <c r="G53" s="183">
        <v>2</v>
      </c>
      <c r="H53" s="135"/>
      <c r="K53" s="185"/>
      <c r="M53" s="266" t="str" cm="1">
        <f t="array" ref="M53">_xlfn.TEXTJOIN(",", TRUE, _xlfn._xlws.FILTER(適用号機!D:D, (適用号機!B:B=改定!F53)*(適用号機!C:C=改定!G53), ""))</f>
        <v>A7F,	A5F,A7G	,A12B</v>
      </c>
      <c r="N53" s="142" t="str">
        <f t="shared" si="2"/>
        <v>03542-00065-02</v>
      </c>
      <c r="O53" s="122" t="s">
        <v>1702</v>
      </c>
    </row>
    <row r="54" spans="1:16">
      <c r="A54" s="140" t="s">
        <v>136</v>
      </c>
      <c r="B54" s="189" t="str">
        <f>_xlfn.XLOOKUP(F54,品番!B:B,品番!G:G)</f>
        <v>A5F,A7FG,A12B</v>
      </c>
      <c r="C54" s="189" t="str">
        <f>_xlfn.XLOOKUP(F54,品番!B:B,品番!C:C)</f>
        <v>コントローラ</v>
      </c>
      <c r="D54" s="189" t="str">
        <f>_xlfn.XLOOKUP(F54,品番!B:B,品番!D:D)</f>
        <v>メイン</v>
      </c>
      <c r="E54" s="179">
        <v>49853</v>
      </c>
      <c r="F54" s="180" t="s">
        <v>140</v>
      </c>
      <c r="G54" s="183">
        <v>3</v>
      </c>
      <c r="H54" s="135"/>
      <c r="K54" s="185"/>
      <c r="M54" s="266" t="str" cm="1">
        <f t="array" ref="M54">_xlfn.TEXTJOIN(",", TRUE, _xlfn._xlws.FILTER(適用号機!D:D, (適用号機!B:B=改定!F54)*(適用号機!C:C=改定!G54), ""))</f>
        <v>A7F,A5F,	A7G	,	A12B</v>
      </c>
      <c r="N54" s="142" t="str">
        <f t="shared" si="2"/>
        <v>03542-00065-03</v>
      </c>
      <c r="O54" s="122" t="s">
        <v>1702</v>
      </c>
    </row>
    <row r="55" spans="1:16">
      <c r="A55" s="140" t="s">
        <v>136</v>
      </c>
      <c r="B55" s="189" t="str">
        <f>_xlfn.XLOOKUP(F55,品番!B:B,品番!G:G)</f>
        <v>A5F,A7FG,A12B</v>
      </c>
      <c r="C55" s="189" t="str">
        <f>_xlfn.XLOOKUP(F55,品番!B:B,品番!C:C)</f>
        <v>コントローラ</v>
      </c>
      <c r="D55" s="189" t="str">
        <f>_xlfn.XLOOKUP(F55,品番!B:B,品番!D:D)</f>
        <v>メイン</v>
      </c>
      <c r="E55" s="179">
        <v>50466</v>
      </c>
      <c r="F55" s="180" t="s">
        <v>140</v>
      </c>
      <c r="G55" s="183">
        <v>4</v>
      </c>
      <c r="H55" s="135"/>
      <c r="K55" s="185"/>
      <c r="M55" s="266" t="str" cm="1">
        <f t="array" ref="M55">_xlfn.TEXTJOIN(",", TRUE, _xlfn._xlws.FILTER(適用号機!D:D, (適用号機!B:B=改定!F55)*(適用号機!C:C=改定!G55), ""))</f>
        <v/>
      </c>
      <c r="N55" s="142" t="str">
        <f t="shared" si="2"/>
        <v>03542-00065-04</v>
      </c>
      <c r="O55" s="122" t="s">
        <v>1702</v>
      </c>
    </row>
    <row r="56" spans="1:16">
      <c r="A56" s="140" t="s">
        <v>136</v>
      </c>
      <c r="B56" s="189" t="str">
        <f>_xlfn.XLOOKUP(F56,品番!B:B,品番!G:G)</f>
        <v>A5F,A7FG,A12B</v>
      </c>
      <c r="C56" s="189" t="str">
        <f>_xlfn.XLOOKUP(F56,品番!B:B,品番!C:C)</f>
        <v>コントローラ</v>
      </c>
      <c r="D56" s="189" t="str">
        <f>_xlfn.XLOOKUP(F56,品番!B:B,品番!D:D)</f>
        <v>メイン</v>
      </c>
      <c r="E56" s="179">
        <v>51420</v>
      </c>
      <c r="F56" s="180" t="s">
        <v>140</v>
      </c>
      <c r="G56" s="183">
        <v>5</v>
      </c>
      <c r="H56" s="135"/>
      <c r="K56" s="185"/>
      <c r="M56" s="266" t="str" cm="1">
        <f t="array" ref="M56">_xlfn.TEXTJOIN(",", TRUE, _xlfn._xlws.FILTER(適用号機!D:D, (適用号機!B:B=改定!F56)*(適用号機!C:C=改定!G56), ""))</f>
        <v xml:space="preserve">	A7F,A5F,	A7G,A12B</v>
      </c>
      <c r="N56" s="142" t="str">
        <f t="shared" si="2"/>
        <v>03542-00065-05</v>
      </c>
      <c r="O56" s="122" t="s">
        <v>1702</v>
      </c>
      <c r="P56"/>
    </row>
    <row r="57" spans="1:16">
      <c r="A57" s="140" t="s">
        <v>136</v>
      </c>
      <c r="B57" s="189" t="str">
        <f>_xlfn.XLOOKUP(F57,品番!B:B,品番!G:G)</f>
        <v>A5F,A7FG,A12B</v>
      </c>
      <c r="C57" s="189" t="str">
        <f>_xlfn.XLOOKUP(F57,品番!B:B,品番!C:C)</f>
        <v>コントローラ</v>
      </c>
      <c r="D57" s="189" t="str">
        <f>_xlfn.XLOOKUP(F57,品番!B:B,品番!D:D)</f>
        <v>メイン</v>
      </c>
      <c r="E57" s="179">
        <v>53270</v>
      </c>
      <c r="F57" s="180" t="s">
        <v>140</v>
      </c>
      <c r="G57" s="183">
        <v>6</v>
      </c>
      <c r="H57" s="135"/>
      <c r="K57" s="185"/>
      <c r="L57" s="122" t="s">
        <v>1114</v>
      </c>
      <c r="M57" s="266" t="str" cm="1">
        <f t="array" ref="M57">_xlfn.TEXTJOIN(",", TRUE, _xlfn._xlws.FILTER(適用号機!D:D, (適用号機!B:B=改定!F57)*(適用号機!C:C=改定!G57), ""))</f>
        <v xml:space="preserve">	A7F,	A5F,A7G,	A12B</v>
      </c>
      <c r="N57" s="142" t="str">
        <f t="shared" si="2"/>
        <v>03542-00065-06</v>
      </c>
      <c r="O57" s="122" t="s">
        <v>1702</v>
      </c>
    </row>
    <row r="58" spans="1:16">
      <c r="A58" s="140" t="s">
        <v>136</v>
      </c>
      <c r="B58" s="189" t="str">
        <f>_xlfn.XLOOKUP(F58,品番!B:B,品番!G:G)</f>
        <v>A5F,A7FG,A12B</v>
      </c>
      <c r="C58" s="189" t="str">
        <f>_xlfn.XLOOKUP(F58,品番!B:B,品番!C:C)</f>
        <v>コントローラ</v>
      </c>
      <c r="D58" s="189" t="str">
        <f>_xlfn.XLOOKUP(F58,品番!B:B,品番!D:D)</f>
        <v>メイン</v>
      </c>
      <c r="E58" s="179">
        <v>54464</v>
      </c>
      <c r="F58" s="180" t="s">
        <v>140</v>
      </c>
      <c r="G58" s="183">
        <v>7</v>
      </c>
      <c r="H58" s="135" t="s">
        <v>1415</v>
      </c>
      <c r="K58" s="184" t="s">
        <v>1413</v>
      </c>
      <c r="M58" s="266" t="str" cm="1">
        <f t="array" ref="M58">_xlfn.TEXTJOIN(",", TRUE, _xlfn._xlws.FILTER(適用号機!D:D, (適用号機!B:B=改定!F58)*(適用号機!C:C=改定!G58), ""))</f>
        <v xml:space="preserve">	A7F,	A5F,	A7G</v>
      </c>
      <c r="N58" s="142" t="str">
        <f t="shared" si="2"/>
        <v>03542-00065-07</v>
      </c>
      <c r="O58" s="122" t="s">
        <v>1702</v>
      </c>
    </row>
    <row r="59" spans="1:16">
      <c r="A59" s="140" t="s">
        <v>136</v>
      </c>
      <c r="B59" s="189" t="str">
        <f>_xlfn.XLOOKUP(F59,品番!B:B,品番!G:G)</f>
        <v>A5F,A7FG,A12B</v>
      </c>
      <c r="C59" s="189" t="str">
        <f>_xlfn.XLOOKUP(F59,品番!B:B,品番!C:C)</f>
        <v>コントローラ</v>
      </c>
      <c r="D59" s="189" t="str">
        <f>_xlfn.XLOOKUP(F59,品番!B:B,品番!D:D)</f>
        <v>メイン</v>
      </c>
      <c r="E59" s="179">
        <v>55511</v>
      </c>
      <c r="F59" s="180" t="s">
        <v>140</v>
      </c>
      <c r="G59" s="183">
        <v>8</v>
      </c>
      <c r="H59" s="135" t="s">
        <v>400</v>
      </c>
      <c r="I59" s="122" t="s">
        <v>47</v>
      </c>
      <c r="J59" s="122" t="s">
        <v>47</v>
      </c>
      <c r="M59" s="266" t="str" cm="1">
        <f t="array" ref="M59">_xlfn.TEXTJOIN(",", TRUE, _xlfn._xlws.FILTER(適用号機!D:D, (適用号機!B:B=改定!F59)*(適用号機!C:C=改定!G59), ""))</f>
        <v>A7F,	A5F,	A7G</v>
      </c>
      <c r="N59" s="142" t="str">
        <f t="shared" si="2"/>
        <v>03542-00065-08</v>
      </c>
      <c r="O59" s="122" t="s">
        <v>1702</v>
      </c>
    </row>
    <row r="60" spans="1:16">
      <c r="A60" s="140" t="s">
        <v>136</v>
      </c>
      <c r="B60" s="189" t="str">
        <f>_xlfn.XLOOKUP(F60,品番!B:B,品番!G:G)</f>
        <v>A5F,A7FG,A12B</v>
      </c>
      <c r="C60" s="189" t="str">
        <f>_xlfn.XLOOKUP(F60,品番!B:B,品番!C:C)</f>
        <v>コントローラ</v>
      </c>
      <c r="D60" s="189" t="str">
        <f>_xlfn.XLOOKUP(F60,品番!B:B,品番!D:D)</f>
        <v>メイン</v>
      </c>
      <c r="E60" s="179">
        <v>49795</v>
      </c>
      <c r="F60" s="180" t="s">
        <v>142</v>
      </c>
      <c r="G60" s="183">
        <v>0</v>
      </c>
      <c r="H60" s="135"/>
      <c r="K60" s="182"/>
      <c r="L60" s="122" t="s">
        <v>143</v>
      </c>
      <c r="M60" s="266" t="str" cm="1">
        <f t="array" ref="M60">_xlfn.TEXTJOIN(",", TRUE, _xlfn._xlws.FILTER(適用号機!D:D, (適用号機!B:B=改定!F60)*(適用号機!C:C=改定!G60), ""))</f>
        <v/>
      </c>
      <c r="N60" s="142" t="str">
        <f t="shared" si="2"/>
        <v>03542-00070-00</v>
      </c>
      <c r="O60" s="122" t="s">
        <v>1702</v>
      </c>
    </row>
    <row r="61" spans="1:16">
      <c r="A61" s="140" t="s">
        <v>136</v>
      </c>
      <c r="B61" s="189" t="str">
        <f>_xlfn.XLOOKUP(F61,品番!B:B,品番!G:G)</f>
        <v>A5F,A7FG,A12B</v>
      </c>
      <c r="C61" s="189" t="str">
        <f>_xlfn.XLOOKUP(F61,品番!B:B,品番!C:C)</f>
        <v>コントローラ</v>
      </c>
      <c r="D61" s="189" t="str">
        <f>_xlfn.XLOOKUP(F61,品番!B:B,品番!D:D)</f>
        <v>メイン</v>
      </c>
      <c r="E61" s="179">
        <v>50466</v>
      </c>
      <c r="F61" s="180" t="s">
        <v>142</v>
      </c>
      <c r="G61" s="183">
        <v>1</v>
      </c>
      <c r="H61" s="135"/>
      <c r="K61" s="182"/>
      <c r="M61" s="266" t="str" cm="1">
        <f t="array" ref="M61">_xlfn.TEXTJOIN(",", TRUE, _xlfn._xlws.FILTER(適用号機!D:D, (適用号機!B:B=改定!F61)*(適用号機!C:C=改定!G61), ""))</f>
        <v/>
      </c>
      <c r="N61" s="142" t="str">
        <f t="shared" si="2"/>
        <v>03542-00070-01</v>
      </c>
      <c r="O61" s="122" t="s">
        <v>1702</v>
      </c>
    </row>
    <row r="62" spans="1:16">
      <c r="A62" s="140" t="s">
        <v>136</v>
      </c>
      <c r="B62" s="189" t="str">
        <f>_xlfn.XLOOKUP(F62,品番!B:B,品番!G:G)</f>
        <v>A5F,A7FG,A12B</v>
      </c>
      <c r="C62" s="189" t="str">
        <f>_xlfn.XLOOKUP(F62,品番!B:B,品番!C:C)</f>
        <v>コントローラ</v>
      </c>
      <c r="D62" s="189" t="str">
        <f>_xlfn.XLOOKUP(F62,品番!B:B,品番!D:D)</f>
        <v>メイン</v>
      </c>
      <c r="E62" s="179">
        <v>55511</v>
      </c>
      <c r="F62" s="180" t="s">
        <v>142</v>
      </c>
      <c r="G62" s="183">
        <v>2</v>
      </c>
      <c r="H62" s="135" t="s">
        <v>401</v>
      </c>
      <c r="M62" s="266" t="str" cm="1">
        <f t="array" ref="M62">_xlfn.TEXTJOIN(",", TRUE, _xlfn._xlws.FILTER(適用号機!D:D, (適用号機!B:B=改定!F62)*(適用号機!C:C=改定!G62), ""))</f>
        <v/>
      </c>
      <c r="N62" s="142" t="str">
        <f t="shared" si="2"/>
        <v>03542-00070-02</v>
      </c>
      <c r="O62" s="122" t="s">
        <v>1702</v>
      </c>
    </row>
    <row r="63" spans="1:16">
      <c r="A63" s="140" t="s">
        <v>511</v>
      </c>
      <c r="B63" s="189" t="str">
        <f>_xlfn.XLOOKUP(F63,品番!B:B,品番!G:G)</f>
        <v>A5F</v>
      </c>
      <c r="C63" s="189" t="str">
        <f>_xlfn.XLOOKUP(F63,品番!B:B,品番!C:C)</f>
        <v>コントローラ</v>
      </c>
      <c r="D63" s="189" t="str">
        <f>_xlfn.XLOOKUP(F63,品番!B:B,品番!D:D)</f>
        <v>メイン</v>
      </c>
      <c r="E63" s="179">
        <v>63015</v>
      </c>
      <c r="F63" s="180" t="s">
        <v>1275</v>
      </c>
      <c r="G63" s="181">
        <v>0</v>
      </c>
      <c r="H63" s="135" t="s">
        <v>1295</v>
      </c>
      <c r="K63" s="182"/>
      <c r="M63" s="266" t="str" cm="1">
        <f t="array" ref="M63">_xlfn.TEXTJOIN(",", TRUE, _xlfn._xlws.FILTER(適用号機!D:D, (適用号機!B:B=改定!F63)*(適用号機!C:C=改定!G63), ""))</f>
        <v>A5F</v>
      </c>
      <c r="N63" s="142" t="str">
        <f t="shared" si="2"/>
        <v>03542-00091-00</v>
      </c>
      <c r="O63" s="122" t="s">
        <v>1702</v>
      </c>
    </row>
    <row r="64" spans="1:16">
      <c r="A64" s="142" t="s">
        <v>154</v>
      </c>
      <c r="B64" s="189" t="str">
        <f>_xlfn.XLOOKUP(F64,品番!B:B,品番!G:G)</f>
        <v>A6E/A9F</v>
      </c>
      <c r="C64" s="189" t="str">
        <f>_xlfn.XLOOKUP(F64,品番!B:B,品番!C:C)</f>
        <v>コントローラ</v>
      </c>
      <c r="D64" s="189" t="str">
        <f>_xlfn.XLOOKUP(F64,品番!B:B,品番!D:D)</f>
        <v>メイン</v>
      </c>
      <c r="E64" s="179">
        <v>47399</v>
      </c>
      <c r="F64" s="180" t="s">
        <v>155</v>
      </c>
      <c r="G64" s="183">
        <v>0</v>
      </c>
      <c r="H64" s="135"/>
      <c r="K64" s="182" t="s">
        <v>187</v>
      </c>
      <c r="M64" s="266" t="str" cm="1">
        <f t="array" ref="M64">_xlfn.TEXTJOIN(",", TRUE, _xlfn._xlws.FILTER(適用号機!D:D, (適用号機!B:B=改定!F64)*(適用号機!C:C=改定!G64), ""))</f>
        <v>A6E,A9F</v>
      </c>
      <c r="N64" s="142" t="str">
        <f t="shared" si="2"/>
        <v>03642-00034-00</v>
      </c>
      <c r="O64" s="122" t="s">
        <v>1702</v>
      </c>
    </row>
    <row r="65" spans="1:16">
      <c r="A65" s="142" t="s">
        <v>154</v>
      </c>
      <c r="B65" s="189" t="str">
        <f>_xlfn.XLOOKUP(F65,品番!B:B,品番!G:G)</f>
        <v>A6E/A9F</v>
      </c>
      <c r="C65" s="189" t="str">
        <f>_xlfn.XLOOKUP(F65,品番!B:B,品番!C:C)</f>
        <v>コントローラ</v>
      </c>
      <c r="D65" s="189" t="str">
        <f>_xlfn.XLOOKUP(F65,品番!B:B,品番!D:D)</f>
        <v>メイン</v>
      </c>
      <c r="E65" s="179">
        <v>48702</v>
      </c>
      <c r="F65" s="180" t="s">
        <v>155</v>
      </c>
      <c r="G65" s="183">
        <v>1</v>
      </c>
      <c r="H65" s="135"/>
      <c r="K65" s="182"/>
      <c r="M65" s="266" t="str" cm="1">
        <f t="array" ref="M65">_xlfn.TEXTJOIN(",", TRUE, _xlfn._xlws.FILTER(適用号機!D:D, (適用号機!B:B=改定!F65)*(適用号機!C:C=改定!G65), ""))</f>
        <v xml:space="preserve">	A6E,	A9F</v>
      </c>
      <c r="N65" s="142" t="str">
        <f t="shared" si="2"/>
        <v>03642-00034-01</v>
      </c>
      <c r="O65" s="122" t="s">
        <v>1702</v>
      </c>
    </row>
    <row r="66" spans="1:16">
      <c r="A66" s="142" t="s">
        <v>154</v>
      </c>
      <c r="B66" s="189" t="str">
        <f>_xlfn.XLOOKUP(F66,品番!B:B,品番!G:G)</f>
        <v>A6E/A9F</v>
      </c>
      <c r="C66" s="189" t="str">
        <f>_xlfn.XLOOKUP(F66,品番!B:B,品番!C:C)</f>
        <v>コントローラ</v>
      </c>
      <c r="D66" s="189" t="str">
        <f>_xlfn.XLOOKUP(F66,品番!B:B,品番!D:D)</f>
        <v>メイン</v>
      </c>
      <c r="E66" s="179">
        <v>49134</v>
      </c>
      <c r="F66" s="180" t="s">
        <v>155</v>
      </c>
      <c r="G66" s="183">
        <v>2</v>
      </c>
      <c r="H66" s="135"/>
      <c r="K66" s="182"/>
      <c r="M66" s="266" t="str" cm="1">
        <f t="array" ref="M66">_xlfn.TEXTJOIN(",", TRUE, _xlfn._xlws.FILTER(適用号機!D:D, (適用号機!B:B=改定!F66)*(適用号機!C:C=改定!G66), ""))</f>
        <v xml:space="preserve">	A6E,	A9F</v>
      </c>
      <c r="N66" s="142" t="str">
        <f t="shared" si="2"/>
        <v>03642-00034-02</v>
      </c>
      <c r="O66" s="122" t="s">
        <v>1702</v>
      </c>
    </row>
    <row r="67" spans="1:16">
      <c r="A67" s="142" t="s">
        <v>154</v>
      </c>
      <c r="B67" s="189" t="str">
        <f>_xlfn.XLOOKUP(F67,品番!B:B,品番!G:G)</f>
        <v>A6E/A9F</v>
      </c>
      <c r="C67" s="189" t="str">
        <f>_xlfn.XLOOKUP(F67,品番!B:B,品番!C:C)</f>
        <v>コントローラ</v>
      </c>
      <c r="D67" s="189" t="str">
        <f>_xlfn.XLOOKUP(F67,品番!B:B,品番!D:D)</f>
        <v>メイン</v>
      </c>
      <c r="E67" s="179">
        <v>49402</v>
      </c>
      <c r="F67" s="180" t="s">
        <v>155</v>
      </c>
      <c r="G67" s="183">
        <v>3</v>
      </c>
      <c r="H67" s="135"/>
      <c r="K67" s="182"/>
      <c r="M67" s="266" t="str" cm="1">
        <f t="array" ref="M67">_xlfn.TEXTJOIN(",", TRUE, _xlfn._xlws.FILTER(適用号機!D:D, (適用号機!B:B=改定!F67)*(適用号機!C:C=改定!G67), ""))</f>
        <v>A6E,	A9F</v>
      </c>
      <c r="N67" s="142" t="str">
        <f t="shared" si="2"/>
        <v>03642-00034-03</v>
      </c>
      <c r="O67" s="122" t="s">
        <v>1702</v>
      </c>
    </row>
    <row r="68" spans="1:16">
      <c r="A68" s="142" t="s">
        <v>154</v>
      </c>
      <c r="B68" s="189" t="str">
        <f>_xlfn.XLOOKUP(F68,品番!B:B,品番!G:G)</f>
        <v>A6E/A9F</v>
      </c>
      <c r="C68" s="189" t="str">
        <f>_xlfn.XLOOKUP(F68,品番!B:B,品番!C:C)</f>
        <v>コントローラ</v>
      </c>
      <c r="D68" s="189" t="str">
        <f>_xlfn.XLOOKUP(F68,品番!B:B,品番!D:D)</f>
        <v>メイン</v>
      </c>
      <c r="E68" s="179">
        <v>49504</v>
      </c>
      <c r="F68" s="180" t="s">
        <v>155</v>
      </c>
      <c r="G68" s="183">
        <v>4</v>
      </c>
      <c r="H68" s="135"/>
      <c r="K68" s="182"/>
      <c r="M68" s="266" t="str" cm="1">
        <f t="array" ref="M68">_xlfn.TEXTJOIN(",", TRUE, _xlfn._xlws.FILTER(適用号機!D:D, (適用号機!B:B=改定!F68)*(適用号機!C:C=改定!G68), ""))</f>
        <v>A6E,A9F</v>
      </c>
      <c r="N68" s="142" t="str">
        <f t="shared" si="2"/>
        <v>03642-00034-04</v>
      </c>
      <c r="O68" s="122" t="s">
        <v>1702</v>
      </c>
    </row>
    <row r="69" spans="1:16">
      <c r="A69" s="142" t="s">
        <v>154</v>
      </c>
      <c r="B69" s="189" t="str">
        <f>_xlfn.XLOOKUP(F69,品番!B:B,品番!G:G)</f>
        <v>A6E/A9F</v>
      </c>
      <c r="C69" s="189" t="str">
        <f>_xlfn.XLOOKUP(F69,品番!B:B,品番!C:C)</f>
        <v>コントローラ</v>
      </c>
      <c r="D69" s="189" t="str">
        <f>_xlfn.XLOOKUP(F69,品番!B:B,品番!D:D)</f>
        <v>メイン</v>
      </c>
      <c r="E69" s="179">
        <v>50466</v>
      </c>
      <c r="F69" s="180" t="s">
        <v>155</v>
      </c>
      <c r="G69" s="183">
        <v>5</v>
      </c>
      <c r="H69" s="135"/>
      <c r="K69" s="182"/>
      <c r="M69" s="266" t="str" cm="1">
        <f t="array" ref="M69">_xlfn.TEXTJOIN(",", TRUE, _xlfn._xlws.FILTER(適用号機!D:D, (適用号機!B:B=改定!F69)*(適用号機!C:C=改定!G69), ""))</f>
        <v/>
      </c>
      <c r="N69" s="142" t="str">
        <f t="shared" si="2"/>
        <v>03642-00034-05</v>
      </c>
      <c r="O69" s="122" t="s">
        <v>1702</v>
      </c>
    </row>
    <row r="70" spans="1:16">
      <c r="A70" s="142" t="s">
        <v>154</v>
      </c>
      <c r="B70" s="189" t="str">
        <f>_xlfn.XLOOKUP(F70,品番!B:B,品番!G:G)</f>
        <v>A6E/A9F</v>
      </c>
      <c r="C70" s="189" t="str">
        <f>_xlfn.XLOOKUP(F70,品番!B:B,品番!C:C)</f>
        <v>コントローラ</v>
      </c>
      <c r="D70" s="189" t="str">
        <f>_xlfn.XLOOKUP(F70,品番!B:B,品番!D:D)</f>
        <v>メイン</v>
      </c>
      <c r="E70" s="179">
        <v>51631</v>
      </c>
      <c r="F70" s="180" t="s">
        <v>155</v>
      </c>
      <c r="G70" s="183">
        <v>6</v>
      </c>
      <c r="H70" s="135"/>
      <c r="K70" s="182"/>
      <c r="M70" s="266" t="str" cm="1">
        <f t="array" ref="M70">_xlfn.TEXTJOIN(",", TRUE, _xlfn._xlws.FILTER(適用号機!D:D, (適用号機!B:B=改定!F70)*(適用号機!C:C=改定!G70), ""))</f>
        <v xml:space="preserve">	A9F,	A6E</v>
      </c>
      <c r="N70" s="142" t="str">
        <f t="shared" si="2"/>
        <v>03642-00034-06</v>
      </c>
      <c r="O70" s="122" t="s">
        <v>1702</v>
      </c>
    </row>
    <row r="71" spans="1:16">
      <c r="A71" s="142" t="s">
        <v>154</v>
      </c>
      <c r="B71" s="189" t="str">
        <f>_xlfn.XLOOKUP(F71,品番!B:B,品番!G:G)</f>
        <v>A6E/A9F</v>
      </c>
      <c r="C71" s="189" t="str">
        <f>_xlfn.XLOOKUP(F71,品番!B:B,品番!C:C)</f>
        <v>コントローラ</v>
      </c>
      <c r="D71" s="189" t="str">
        <f>_xlfn.XLOOKUP(F71,品番!B:B,品番!D:D)</f>
        <v>メイン</v>
      </c>
      <c r="E71" s="179">
        <v>53264</v>
      </c>
      <c r="F71" s="180" t="s">
        <v>155</v>
      </c>
      <c r="G71" s="183">
        <v>7</v>
      </c>
      <c r="H71" s="135"/>
      <c r="K71" s="182"/>
      <c r="M71" s="266" t="str" cm="1">
        <f t="array" ref="M71">_xlfn.TEXTJOIN(",", TRUE, _xlfn._xlws.FILTER(適用号機!D:D, (適用号機!B:B=改定!F71)*(適用号機!C:C=改定!G71), ""))</f>
        <v xml:space="preserve">	A9F,	A6E</v>
      </c>
      <c r="N71" s="142" t="str">
        <f t="shared" si="2"/>
        <v>03642-00034-07</v>
      </c>
      <c r="O71" s="122" t="s">
        <v>1702</v>
      </c>
    </row>
    <row r="72" spans="1:16">
      <c r="A72" s="142" t="s">
        <v>154</v>
      </c>
      <c r="B72" s="189" t="str">
        <f>_xlfn.XLOOKUP(F72,品番!B:B,品番!G:G)</f>
        <v>A6E/A9F</v>
      </c>
      <c r="C72" s="189" t="str">
        <f>_xlfn.XLOOKUP(F72,品番!B:B,品番!C:C)</f>
        <v>コントローラ</v>
      </c>
      <c r="D72" s="189" t="str">
        <f>_xlfn.XLOOKUP(F72,品番!B:B,品番!D:D)</f>
        <v>メイン</v>
      </c>
      <c r="E72" s="179">
        <v>54790</v>
      </c>
      <c r="F72" s="180" t="s">
        <v>155</v>
      </c>
      <c r="G72" s="183">
        <v>8</v>
      </c>
      <c r="H72" s="122" t="s">
        <v>408</v>
      </c>
      <c r="J72"/>
      <c r="M72" s="266" t="str" cm="1">
        <f t="array" ref="M72">_xlfn.TEXTJOIN(",", TRUE, _xlfn._xlws.FILTER(適用号機!D:D, (適用号機!B:B=改定!F72)*(適用号機!C:C=改定!G72), ""))</f>
        <v xml:space="preserve">	A9F,	A6E</v>
      </c>
      <c r="N72" s="142" t="str">
        <f t="shared" si="2"/>
        <v>03642-00034-08</v>
      </c>
      <c r="O72" s="122" t="s">
        <v>1702</v>
      </c>
      <c r="P72"/>
    </row>
    <row r="73" spans="1:16" ht="14.25">
      <c r="A73" s="140" t="s">
        <v>407</v>
      </c>
      <c r="B73" s="189" t="str">
        <f>_xlfn.XLOOKUP(F73,品番!B:B,品番!G:G)</f>
        <v>A6E</v>
      </c>
      <c r="C73" s="189" t="str">
        <f>_xlfn.XLOOKUP(F73,品番!B:B,品番!C:C)</f>
        <v>コントローラ</v>
      </c>
      <c r="D73" s="189" t="str">
        <f>_xlfn.XLOOKUP(F73,品番!B:B,品番!D:D)</f>
        <v>メイン</v>
      </c>
      <c r="E73" s="179">
        <v>63015</v>
      </c>
      <c r="F73" s="180" t="s">
        <v>1235</v>
      </c>
      <c r="G73" s="183">
        <v>0</v>
      </c>
      <c r="H73" s="122" t="s">
        <v>1847</v>
      </c>
      <c r="M73" s="266" t="str" cm="1">
        <f t="array" ref="M73">_xlfn.TEXTJOIN(",", TRUE, _xlfn._xlws.FILTER(適用号機!D:D, (適用号機!B:B=改定!F73)*(適用号機!C:C=改定!G73), ""))</f>
        <v>A6E</v>
      </c>
      <c r="N73" s="142" t="str">
        <f t="shared" si="2"/>
        <v>03642-00072-00</v>
      </c>
      <c r="O73" s="122" t="s">
        <v>1702</v>
      </c>
    </row>
    <row r="74" spans="1:16" ht="14.25">
      <c r="A74" s="140" t="s">
        <v>940</v>
      </c>
      <c r="B74" s="189" t="str">
        <f>_xlfn.XLOOKUP(F74,品番!B:B,品番!G:G)</f>
        <v>A9F</v>
      </c>
      <c r="C74" s="189" t="str">
        <f>_xlfn.XLOOKUP(F74,品番!B:B,品番!C:C)</f>
        <v>コントローラ</v>
      </c>
      <c r="D74" s="189" t="str">
        <f>_xlfn.XLOOKUP(F74,品番!B:B,品番!D:D)</f>
        <v>メイン</v>
      </c>
      <c r="E74" s="179">
        <v>62121</v>
      </c>
      <c r="F74" s="180" t="s">
        <v>1238</v>
      </c>
      <c r="G74" s="183">
        <v>0</v>
      </c>
      <c r="H74" s="122" t="s">
        <v>1847</v>
      </c>
      <c r="M74" s="266" t="str" cm="1">
        <f t="array" ref="M74">_xlfn.TEXTJOIN(",", TRUE, _xlfn._xlws.FILTER(適用号機!D:D, (適用号機!B:B=改定!F74)*(適用号機!C:C=改定!G74), ""))</f>
        <v>A9F</v>
      </c>
      <c r="N74" s="142" t="str">
        <f t="shared" si="2"/>
        <v>03642-00327-00</v>
      </c>
      <c r="O74" s="122" t="s">
        <v>1702</v>
      </c>
    </row>
    <row r="75" spans="1:16">
      <c r="A75" s="142" t="s">
        <v>197</v>
      </c>
      <c r="B75" s="189" t="str">
        <f>_xlfn.XLOOKUP(F75,品番!B:B,品番!G:G)</f>
        <v>J7B/J10B</v>
      </c>
      <c r="C75" s="189" t="str">
        <f>_xlfn.XLOOKUP(F75,品番!B:B,品番!C:C)</f>
        <v>コントローラ</v>
      </c>
      <c r="D75" s="189" t="str">
        <f>_xlfn.XLOOKUP(F75,品番!B:B,品番!D:D)</f>
        <v>メイン</v>
      </c>
      <c r="E75" s="179">
        <v>50132</v>
      </c>
      <c r="F75" s="180" t="s">
        <v>198</v>
      </c>
      <c r="G75" s="181">
        <v>0</v>
      </c>
      <c r="H75" s="122" t="s">
        <v>1453</v>
      </c>
      <c r="K75" s="182" t="s">
        <v>187</v>
      </c>
      <c r="M75" s="266" t="str" cm="1">
        <f t="array" ref="M75">_xlfn.TEXTJOIN(",", TRUE, _xlfn._xlws.FILTER(適用号機!D:D, (適用号機!B:B=改定!F75)*(適用号機!C:C=改定!G75), ""))</f>
        <v>J7B</v>
      </c>
      <c r="N75" s="142" t="str">
        <f t="shared" si="2"/>
        <v>03742-00133-00</v>
      </c>
      <c r="O75" s="122" t="s">
        <v>1702</v>
      </c>
    </row>
    <row r="76" spans="1:16">
      <c r="A76" s="142" t="s">
        <v>197</v>
      </c>
      <c r="B76" s="189" t="str">
        <f>_xlfn.XLOOKUP(F76,品番!B:B,品番!G:G)</f>
        <v>J7B/J10B</v>
      </c>
      <c r="C76" s="189" t="str">
        <f>_xlfn.XLOOKUP(F76,品番!B:B,品番!C:C)</f>
        <v>コントローラ</v>
      </c>
      <c r="D76" s="189" t="str">
        <f>_xlfn.XLOOKUP(F76,品番!B:B,品番!D:D)</f>
        <v>メイン</v>
      </c>
      <c r="E76" s="179">
        <v>51617</v>
      </c>
      <c r="F76" s="180" t="s">
        <v>198</v>
      </c>
      <c r="G76" s="181">
        <v>1</v>
      </c>
      <c r="H76" s="122" t="s">
        <v>1453</v>
      </c>
      <c r="K76" s="182" t="s">
        <v>1462</v>
      </c>
      <c r="M76" s="266" t="str" cm="1">
        <f t="array" ref="M76">_xlfn.TEXTJOIN(",", TRUE, _xlfn._xlws.FILTER(適用号機!D:D, (適用号機!B:B=改定!F76)*(適用号機!C:C=改定!G76), ""))</f>
        <v xml:space="preserve">	J7B,	J10B</v>
      </c>
      <c r="N76" s="142" t="str">
        <f t="shared" si="2"/>
        <v>03742-00133-01</v>
      </c>
      <c r="O76" s="122" t="s">
        <v>1702</v>
      </c>
    </row>
    <row r="77" spans="1:16">
      <c r="A77" s="142" t="s">
        <v>197</v>
      </c>
      <c r="B77" s="189" t="str">
        <f>_xlfn.XLOOKUP(F77,品番!B:B,品番!G:G)</f>
        <v>J7B/J10B</v>
      </c>
      <c r="C77" s="189" t="str">
        <f>_xlfn.XLOOKUP(F77,品番!B:B,品番!C:C)</f>
        <v>コントローラ</v>
      </c>
      <c r="D77" s="189" t="str">
        <f>_xlfn.XLOOKUP(F77,品番!B:B,品番!D:D)</f>
        <v>メイン</v>
      </c>
      <c r="E77" s="179">
        <v>53787</v>
      </c>
      <c r="F77" s="180" t="s">
        <v>198</v>
      </c>
      <c r="G77" s="181">
        <v>2</v>
      </c>
      <c r="H77" s="122" t="s">
        <v>1457</v>
      </c>
      <c r="K77" s="182" t="s">
        <v>1463</v>
      </c>
      <c r="M77" s="266" t="str" cm="1">
        <f t="array" ref="M77">_xlfn.TEXTJOIN(",", TRUE, _xlfn._xlws.FILTER(適用号機!D:D, (適用号機!B:B=改定!F77)*(適用号機!C:C=改定!G77), ""))</f>
        <v xml:space="preserve">	J7B,	J10B</v>
      </c>
      <c r="N77" s="142" t="str">
        <f t="shared" si="2"/>
        <v>03742-00133-02</v>
      </c>
      <c r="O77" s="122" t="s">
        <v>1702</v>
      </c>
    </row>
    <row r="78" spans="1:16" ht="15">
      <c r="A78" s="142" t="s">
        <v>197</v>
      </c>
      <c r="B78" s="189" t="str">
        <f>_xlfn.XLOOKUP(F78,品番!B:B,品番!G:G)</f>
        <v>J7B/J10B</v>
      </c>
      <c r="C78" s="189" t="str">
        <f>_xlfn.XLOOKUP(F78,品番!B:B,品番!C:C)</f>
        <v>コントローラ</v>
      </c>
      <c r="D78" s="189" t="str">
        <f>_xlfn.XLOOKUP(F78,品番!B:B,品番!D:D)</f>
        <v>メイン</v>
      </c>
      <c r="E78" s="179">
        <v>54269</v>
      </c>
      <c r="F78" s="180" t="s">
        <v>198</v>
      </c>
      <c r="G78" s="181">
        <v>3</v>
      </c>
      <c r="H78" s="122" t="s">
        <v>1454</v>
      </c>
      <c r="K78" s="182" t="s">
        <v>1848</v>
      </c>
      <c r="M78" s="266" t="str" cm="1">
        <f t="array" ref="M78">_xlfn.TEXTJOIN(",", TRUE, _xlfn._xlws.FILTER(適用号機!D:D, (適用号機!B:B=改定!F78)*(適用号機!C:C=改定!G78), ""))</f>
        <v xml:space="preserve">	J7B,	J10B</v>
      </c>
      <c r="N78" s="142" t="str">
        <f t="shared" si="2"/>
        <v>03742-00133-03</v>
      </c>
      <c r="O78" s="122" t="s">
        <v>1702</v>
      </c>
    </row>
    <row r="79" spans="1:16">
      <c r="A79" s="142" t="s">
        <v>197</v>
      </c>
      <c r="B79" s="189" t="str">
        <f>_xlfn.XLOOKUP(F79,品番!B:B,品番!G:G)</f>
        <v>J7B/J10B</v>
      </c>
      <c r="C79" s="189" t="str">
        <f>_xlfn.XLOOKUP(F79,品番!B:B,品番!C:C)</f>
        <v>コントローラ</v>
      </c>
      <c r="D79" s="189" t="str">
        <f>_xlfn.XLOOKUP(F79,品番!B:B,品番!D:D)</f>
        <v>メイン</v>
      </c>
      <c r="E79" s="179">
        <v>54324</v>
      </c>
      <c r="F79" s="180" t="s">
        <v>198</v>
      </c>
      <c r="G79" s="181">
        <v>4</v>
      </c>
      <c r="H79" s="122" t="s">
        <v>316</v>
      </c>
      <c r="K79" s="182" t="s">
        <v>1464</v>
      </c>
      <c r="M79" s="266" t="str" cm="1">
        <f t="array" ref="M79">_xlfn.TEXTJOIN(",", TRUE, _xlfn._xlws.FILTER(適用号機!D:D, (適用号機!B:B=改定!F79)*(適用号機!C:C=改定!G79), ""))</f>
        <v xml:space="preserve">	J7B,	J10B</v>
      </c>
      <c r="N79" s="142" t="str">
        <f t="shared" si="2"/>
        <v>03742-00133-04</v>
      </c>
      <c r="O79" s="122" t="s">
        <v>1702</v>
      </c>
    </row>
    <row r="80" spans="1:16">
      <c r="A80" s="142" t="s">
        <v>197</v>
      </c>
      <c r="B80" s="189" t="str">
        <f>_xlfn.XLOOKUP(F80,品番!B:B,品番!G:G)</f>
        <v>J7B/J10B</v>
      </c>
      <c r="C80" s="189" t="str">
        <f>_xlfn.XLOOKUP(F80,品番!B:B,品番!C:C)</f>
        <v>コントローラ</v>
      </c>
      <c r="D80" s="189" t="str">
        <f>_xlfn.XLOOKUP(F80,品番!B:B,品番!D:D)</f>
        <v>メイン</v>
      </c>
      <c r="E80" s="179">
        <v>54905</v>
      </c>
      <c r="F80" s="180" t="s">
        <v>198</v>
      </c>
      <c r="G80" s="181">
        <v>5</v>
      </c>
      <c r="H80" s="122" t="s">
        <v>264</v>
      </c>
      <c r="K80" s="182" t="s">
        <v>1465</v>
      </c>
      <c r="M80" s="266" t="str" cm="1">
        <f t="array" ref="M80">_xlfn.TEXTJOIN(",", TRUE, _xlfn._xlws.FILTER(適用号機!D:D, (適用号機!B:B=改定!F80)*(適用号機!C:C=改定!G80), ""))</f>
        <v xml:space="preserve">	J10B,	J7B</v>
      </c>
      <c r="N80" s="142" t="str">
        <f t="shared" si="2"/>
        <v>03742-00133-05</v>
      </c>
      <c r="O80" s="122" t="s">
        <v>1702</v>
      </c>
      <c r="P80"/>
    </row>
    <row r="81" spans="1:16">
      <c r="A81" s="142" t="s">
        <v>197</v>
      </c>
      <c r="B81" s="189" t="str">
        <f>_xlfn.XLOOKUP(F81,品番!B:B,品番!G:G)</f>
        <v>J7B/J10B</v>
      </c>
      <c r="C81" s="189" t="str">
        <f>_xlfn.XLOOKUP(F81,品番!B:B,品番!C:C)</f>
        <v>コントローラ</v>
      </c>
      <c r="D81" s="189" t="str">
        <f>_xlfn.XLOOKUP(F81,品番!B:B,品番!D:D)</f>
        <v>メイン</v>
      </c>
      <c r="E81" s="179">
        <v>54648</v>
      </c>
      <c r="F81" s="180" t="s">
        <v>198</v>
      </c>
      <c r="G81" s="181">
        <v>6</v>
      </c>
      <c r="H81" s="122" t="s">
        <v>1455</v>
      </c>
      <c r="K81" s="182" t="s">
        <v>1466</v>
      </c>
      <c r="M81" s="266" t="str" cm="1">
        <f t="array" ref="M81">_xlfn.TEXTJOIN(",", TRUE, _xlfn._xlws.FILTER(適用号機!D:D, (適用号機!B:B=改定!F81)*(適用号機!C:C=改定!G81), ""))</f>
        <v xml:space="preserve">	J7B,	J10B</v>
      </c>
      <c r="N81" s="142" t="str">
        <f t="shared" si="2"/>
        <v>03742-00133-06</v>
      </c>
      <c r="O81" s="122" t="s">
        <v>1702</v>
      </c>
      <c r="P81"/>
    </row>
    <row r="82" spans="1:16">
      <c r="A82" s="142" t="s">
        <v>197</v>
      </c>
      <c r="B82" s="189" t="str">
        <f>_xlfn.XLOOKUP(F82,品番!B:B,品番!G:G)</f>
        <v>J7B/J10B</v>
      </c>
      <c r="C82" s="189" t="str">
        <f>_xlfn.XLOOKUP(F82,品番!B:B,品番!C:C)</f>
        <v>コントローラ</v>
      </c>
      <c r="D82" s="189" t="str">
        <f>_xlfn.XLOOKUP(F82,品番!B:B,品番!D:D)</f>
        <v>メイン</v>
      </c>
      <c r="E82" s="179">
        <v>55139</v>
      </c>
      <c r="F82" s="180" t="s">
        <v>198</v>
      </c>
      <c r="G82" s="181">
        <v>7</v>
      </c>
      <c r="H82" s="122" t="s">
        <v>1456</v>
      </c>
      <c r="K82" s="182" t="s">
        <v>1467</v>
      </c>
      <c r="M82" s="266" t="str" cm="1">
        <f t="array" ref="M82">_xlfn.TEXTJOIN(",", TRUE, _xlfn._xlws.FILTER(適用号機!D:D, (適用号機!B:B=改定!F82)*(適用号機!C:C=改定!G82), ""))</f>
        <v>J10B,	J10B</v>
      </c>
      <c r="N82" s="142" t="str">
        <f t="shared" ref="N82:N145" si="3">F82 &amp;"-" &amp; TEXT(G82,"00")</f>
        <v>03742-00133-07</v>
      </c>
      <c r="O82" s="122" t="s">
        <v>1702</v>
      </c>
    </row>
    <row r="83" spans="1:16" ht="15">
      <c r="A83" s="142" t="s">
        <v>197</v>
      </c>
      <c r="B83" s="189" t="str">
        <f>_xlfn.XLOOKUP(F83,品番!B:B,品番!G:G)</f>
        <v>J7B/J10B</v>
      </c>
      <c r="C83" s="189" t="str">
        <f>_xlfn.XLOOKUP(F83,品番!B:B,品番!C:C)</f>
        <v>コントローラ</v>
      </c>
      <c r="D83" s="189" t="str">
        <f>_xlfn.XLOOKUP(F83,品番!B:B,品番!D:D)</f>
        <v>メイン</v>
      </c>
      <c r="E83" s="179">
        <v>54721</v>
      </c>
      <c r="F83" s="180" t="s">
        <v>198</v>
      </c>
      <c r="G83" s="181">
        <v>8</v>
      </c>
      <c r="H83" s="122" t="s">
        <v>1458</v>
      </c>
      <c r="K83" s="182" t="s">
        <v>1849</v>
      </c>
      <c r="M83" s="266" t="str" cm="1">
        <f t="array" ref="M83">_xlfn.TEXTJOIN(",", TRUE, _xlfn._xlws.FILTER(適用号機!D:D, (適用号機!B:B=改定!F83)*(適用号機!C:C=改定!G83), ""))</f>
        <v xml:space="preserve">	J7B,	J10B</v>
      </c>
      <c r="N83" s="142" t="str">
        <f t="shared" si="3"/>
        <v>03742-00133-08</v>
      </c>
      <c r="O83" s="122" t="s">
        <v>1702</v>
      </c>
      <c r="P83"/>
    </row>
    <row r="84" spans="1:16" ht="15">
      <c r="A84" s="142" t="s">
        <v>197</v>
      </c>
      <c r="B84" s="189" t="str">
        <f>_xlfn.XLOOKUP(F84,品番!B:B,品番!G:G)</f>
        <v>J7B/J10B</v>
      </c>
      <c r="C84" s="189" t="str">
        <f>_xlfn.XLOOKUP(F84,品番!B:B,品番!C:C)</f>
        <v>コントローラ</v>
      </c>
      <c r="D84" s="189" t="str">
        <f>_xlfn.XLOOKUP(F84,品番!B:B,品番!D:D)</f>
        <v>メイン</v>
      </c>
      <c r="E84" s="179">
        <v>55674</v>
      </c>
      <c r="F84" s="180" t="s">
        <v>198</v>
      </c>
      <c r="G84" s="181">
        <v>9</v>
      </c>
      <c r="H84" s="122" t="s">
        <v>1459</v>
      </c>
      <c r="K84" s="182" t="s">
        <v>1850</v>
      </c>
      <c r="M84" s="266" t="str" cm="1">
        <f t="array" ref="M84">_xlfn.TEXTJOIN(",", TRUE, _xlfn._xlws.FILTER(適用号機!D:D, (適用号機!B:B=改定!F84)*(適用号機!C:C=改定!G84), ""))</f>
        <v xml:space="preserve">	J7B,	J10B</v>
      </c>
      <c r="N84" s="142" t="str">
        <f t="shared" si="3"/>
        <v>03742-00133-09</v>
      </c>
      <c r="O84" s="122" t="s">
        <v>1702</v>
      </c>
    </row>
    <row r="85" spans="1:16" ht="15">
      <c r="A85" s="142" t="s">
        <v>197</v>
      </c>
      <c r="B85" s="189" t="str">
        <f>_xlfn.XLOOKUP(F85,品番!B:B,品番!G:G)</f>
        <v>J7B/J10B</v>
      </c>
      <c r="C85" s="189" t="str">
        <f>_xlfn.XLOOKUP(F85,品番!B:B,品番!C:C)</f>
        <v>コントローラ</v>
      </c>
      <c r="D85" s="189" t="str">
        <f>_xlfn.XLOOKUP(F85,品番!B:B,品番!D:D)</f>
        <v>メイン</v>
      </c>
      <c r="E85" s="179">
        <v>55994</v>
      </c>
      <c r="F85" s="180" t="s">
        <v>198</v>
      </c>
      <c r="G85" s="181">
        <v>10</v>
      </c>
      <c r="H85" s="122" t="s">
        <v>1460</v>
      </c>
      <c r="K85" s="182" t="s">
        <v>1851</v>
      </c>
      <c r="M85" s="266" t="str" cm="1">
        <f t="array" ref="M85">_xlfn.TEXTJOIN(",", TRUE, _xlfn._xlws.FILTER(適用号機!D:D, (適用号機!B:B=改定!F85)*(適用号機!C:C=改定!G85), ""))</f>
        <v>J7B,	J10B</v>
      </c>
      <c r="N85" s="142" t="str">
        <f t="shared" si="3"/>
        <v>03742-00133-10</v>
      </c>
      <c r="O85" s="122" t="s">
        <v>1702</v>
      </c>
    </row>
    <row r="86" spans="1:16">
      <c r="A86" s="142" t="s">
        <v>197</v>
      </c>
      <c r="B86" s="189" t="str">
        <f>_xlfn.XLOOKUP(F86,品番!B:B,品番!G:G)</f>
        <v>J7B/J10B</v>
      </c>
      <c r="C86" s="189" t="str">
        <f>_xlfn.XLOOKUP(F86,品番!B:B,品番!C:C)</f>
        <v>コントローラ</v>
      </c>
      <c r="D86" s="189" t="str">
        <f>_xlfn.XLOOKUP(F86,品番!B:B,品番!D:D)</f>
        <v>メイン</v>
      </c>
      <c r="E86" s="179">
        <v>60238</v>
      </c>
      <c r="F86" s="180" t="s">
        <v>198</v>
      </c>
      <c r="G86" s="181">
        <v>11</v>
      </c>
      <c r="H86" s="122" t="s">
        <v>269</v>
      </c>
      <c r="I86" s="122" t="s">
        <v>47</v>
      </c>
      <c r="J86" s="122" t="s">
        <v>47</v>
      </c>
      <c r="K86" s="142" t="s">
        <v>1852</v>
      </c>
      <c r="M86" s="266" t="str" cm="1">
        <f t="array" ref="M86">_xlfn.TEXTJOIN(",", TRUE, _xlfn._xlws.FILTER(適用号機!D:D, (適用号機!B:B=改定!F86)*(適用号機!C:C=改定!G86), ""))</f>
        <v xml:space="preserve">	J7B,J10B</v>
      </c>
      <c r="N86" s="142" t="str">
        <f t="shared" si="3"/>
        <v>03742-00133-11</v>
      </c>
      <c r="O86" s="122" t="s">
        <v>1702</v>
      </c>
    </row>
    <row r="87" spans="1:16">
      <c r="A87" s="142" t="s">
        <v>197</v>
      </c>
      <c r="B87" s="189" t="str">
        <f>_xlfn.XLOOKUP(F87,品番!B:B,品番!G:G)</f>
        <v>J7B/J10B</v>
      </c>
      <c r="C87" s="189" t="str">
        <f>_xlfn.XLOOKUP(F87,品番!B:B,品番!C:C)</f>
        <v>コントローラ</v>
      </c>
      <c r="D87" s="189" t="str">
        <f>_xlfn.XLOOKUP(F87,品番!B:B,品番!D:D)</f>
        <v>メイン</v>
      </c>
      <c r="E87" s="179">
        <v>61179</v>
      </c>
      <c r="F87" s="180" t="s">
        <v>198</v>
      </c>
      <c r="G87" s="181">
        <v>12</v>
      </c>
      <c r="H87" s="122" t="s">
        <v>1461</v>
      </c>
      <c r="K87" s="142" t="s">
        <v>1853</v>
      </c>
      <c r="M87" s="266" t="str" cm="1">
        <f t="array" ref="M87">_xlfn.TEXTJOIN(",", TRUE, _xlfn._xlws.FILTER(適用号機!D:D, (適用号機!B:B=改定!F87)*(適用号機!C:C=改定!G87), ""))</f>
        <v xml:space="preserve">	J7B,J10B</v>
      </c>
      <c r="N87" s="142" t="str">
        <f t="shared" si="3"/>
        <v>03742-00133-12</v>
      </c>
      <c r="O87" s="122" t="s">
        <v>1702</v>
      </c>
    </row>
    <row r="88" spans="1:16" ht="18.75">
      <c r="A88" s="142" t="s">
        <v>182</v>
      </c>
      <c r="B88" s="189" t="str">
        <f>_xlfn.XLOOKUP(F88,品番!B:B,品番!G:G)</f>
        <v>E7F</v>
      </c>
      <c r="C88" s="189" t="str">
        <f>_xlfn.XLOOKUP(F88,品番!B:B,品番!C:C)</f>
        <v>コントローラ</v>
      </c>
      <c r="D88" s="189" t="str">
        <f>_xlfn.XLOOKUP(F88,品番!B:B,品番!D:D)</f>
        <v>メイン</v>
      </c>
      <c r="E88" s="179">
        <v>45012</v>
      </c>
      <c r="F88" s="180" t="s">
        <v>1854</v>
      </c>
      <c r="G88" s="181">
        <v>0</v>
      </c>
      <c r="H88" s="122" t="s">
        <v>1907</v>
      </c>
      <c r="J88"/>
      <c r="K88" s="182"/>
      <c r="M88" s="266" t="str" cm="1">
        <f t="array" ref="M88">_xlfn.TEXTJOIN(",", TRUE, _xlfn._xlws.FILTER(適用号機!D:D, (適用号機!B:B=改定!F88)*(適用号機!C:C=改定!G88), ""))</f>
        <v/>
      </c>
      <c r="N88" s="142" t="str">
        <f t="shared" si="3"/>
        <v>03742-00414-00</v>
      </c>
      <c r="O88" s="122" t="s">
        <v>1702</v>
      </c>
    </row>
    <row r="89" spans="1:16">
      <c r="A89" s="142" t="s">
        <v>199</v>
      </c>
      <c r="B89" s="189" t="str">
        <f>_xlfn.XLOOKUP(F89,品番!B:B,品番!G:G)</f>
        <v>J7B</v>
      </c>
      <c r="C89" s="189" t="str">
        <f>_xlfn.XLOOKUP(F89,品番!B:B,品番!C:C)</f>
        <v>コントローラ</v>
      </c>
      <c r="D89" s="189" t="str">
        <f>_xlfn.XLOOKUP(F89,品番!B:B,品番!D:D)</f>
        <v>メイン</v>
      </c>
      <c r="E89" s="179">
        <v>62516</v>
      </c>
      <c r="F89" s="180" t="s">
        <v>200</v>
      </c>
      <c r="G89" s="181">
        <v>0</v>
      </c>
      <c r="H89" s="122" t="s">
        <v>437</v>
      </c>
      <c r="K89" s="142" t="s">
        <v>2058</v>
      </c>
      <c r="L89" s="122" t="s">
        <v>201</v>
      </c>
      <c r="M89" s="266" t="str" cm="1">
        <f t="array" ref="M89">_xlfn.TEXTJOIN(",", TRUE, _xlfn._xlws.FILTER(適用号機!D:D, (適用号機!B:B=改定!F89)*(適用号機!C:C=改定!G89), ""))</f>
        <v xml:space="preserve">	J7B</v>
      </c>
      <c r="N89" s="142" t="str">
        <f t="shared" si="3"/>
        <v>03742-00529-00</v>
      </c>
      <c r="O89" s="122" t="s">
        <v>1702</v>
      </c>
    </row>
    <row r="90" spans="1:16">
      <c r="A90" s="142" t="s">
        <v>199</v>
      </c>
      <c r="B90" s="189" t="str">
        <f>_xlfn.XLOOKUP(F90,品番!B:B,品番!G:G)</f>
        <v>J7B</v>
      </c>
      <c r="C90" s="189" t="str">
        <f>_xlfn.XLOOKUP(F90,品番!B:B,品番!C:C)</f>
        <v>コントローラ</v>
      </c>
      <c r="D90" s="189" t="str">
        <f>_xlfn.XLOOKUP(F90,品番!B:B,品番!D:D)</f>
        <v>メイン</v>
      </c>
      <c r="E90" s="179">
        <v>62686</v>
      </c>
      <c r="F90" s="180" t="s">
        <v>200</v>
      </c>
      <c r="G90" s="181">
        <v>1</v>
      </c>
      <c r="H90" s="122" t="s">
        <v>1323</v>
      </c>
      <c r="I90" s="122" t="s">
        <v>1314</v>
      </c>
      <c r="J90" s="122" t="s">
        <v>47</v>
      </c>
      <c r="K90" s="182"/>
      <c r="M90" s="266" t="str" cm="1">
        <f t="array" ref="M90">_xlfn.TEXTJOIN(",", TRUE, _xlfn._xlws.FILTER(適用号機!D:D, (適用号機!B:B=改定!F90)*(適用号機!C:C=改定!G90), ""))</f>
        <v xml:space="preserve">	J7B</v>
      </c>
      <c r="N90" s="142" t="str">
        <f t="shared" si="3"/>
        <v>03742-00529-01</v>
      </c>
      <c r="O90" s="122" t="s">
        <v>1702</v>
      </c>
    </row>
    <row r="91" spans="1:16">
      <c r="A91" s="142" t="s">
        <v>183</v>
      </c>
      <c r="B91" s="189" t="str">
        <f>_xlfn.XLOOKUP(F91,品番!B:B,品番!G:G)</f>
        <v>F10E</v>
      </c>
      <c r="C91" s="189" t="str">
        <f>_xlfn.XLOOKUP(F91,品番!B:B,品番!C:C)</f>
        <v>コントローラ</v>
      </c>
      <c r="D91" s="189" t="str">
        <f>_xlfn.XLOOKUP(F91,品番!B:B,品番!D:D)</f>
        <v>メイン</v>
      </c>
      <c r="E91" s="179">
        <v>49467</v>
      </c>
      <c r="F91" s="180" t="s">
        <v>184</v>
      </c>
      <c r="G91" s="181">
        <v>0</v>
      </c>
      <c r="J91"/>
      <c r="K91" s="182" t="s">
        <v>187</v>
      </c>
      <c r="M91" s="266" t="str" cm="1">
        <f t="array" ref="M91">_xlfn.TEXTJOIN(",", TRUE, _xlfn._xlws.FILTER(適用号機!D:D, (適用号機!B:B=改定!F91)*(適用号機!C:C=改定!G91), ""))</f>
        <v>F10E</v>
      </c>
      <c r="N91" s="142" t="str">
        <f t="shared" si="3"/>
        <v>03942-00087-00</v>
      </c>
      <c r="O91" s="122" t="s">
        <v>1702</v>
      </c>
    </row>
    <row r="92" spans="1:16">
      <c r="A92" s="142" t="s">
        <v>183</v>
      </c>
      <c r="B92" s="189" t="str">
        <f>_xlfn.XLOOKUP(F92,品番!B:B,品番!G:G)</f>
        <v>F10E</v>
      </c>
      <c r="C92" s="189" t="str">
        <f>_xlfn.XLOOKUP(F92,品番!B:B,品番!C:C)</f>
        <v>コントローラ</v>
      </c>
      <c r="D92" s="189" t="str">
        <f>_xlfn.XLOOKUP(F92,品番!B:B,品番!D:D)</f>
        <v>メイン</v>
      </c>
      <c r="E92" s="179">
        <v>51175</v>
      </c>
      <c r="F92" s="180" t="s">
        <v>184</v>
      </c>
      <c r="G92" s="181">
        <v>1</v>
      </c>
      <c r="J92"/>
      <c r="K92" s="182"/>
      <c r="M92" s="266" t="str" cm="1">
        <f t="array" ref="M92">_xlfn.TEXTJOIN(",", TRUE, _xlfn._xlws.FILTER(適用号機!D:D, (適用号機!B:B=改定!F92)*(適用号機!C:C=改定!G92), ""))</f>
        <v xml:space="preserve">	F10E</v>
      </c>
      <c r="N92" s="142" t="str">
        <f t="shared" si="3"/>
        <v>03942-00087-01</v>
      </c>
      <c r="O92" s="122" t="s">
        <v>1702</v>
      </c>
      <c r="P92"/>
    </row>
    <row r="93" spans="1:16">
      <c r="A93" s="142" t="s">
        <v>183</v>
      </c>
      <c r="B93" s="189" t="str">
        <f>_xlfn.XLOOKUP(F93,品番!B:B,品番!G:G)</f>
        <v>F10E</v>
      </c>
      <c r="C93" s="189" t="str">
        <f>_xlfn.XLOOKUP(F93,品番!B:B,品番!C:C)</f>
        <v>コントローラ</v>
      </c>
      <c r="D93" s="189" t="str">
        <f>_xlfn.XLOOKUP(F93,品番!B:B,品番!D:D)</f>
        <v>メイン</v>
      </c>
      <c r="E93" s="179">
        <v>50879</v>
      </c>
      <c r="F93" s="180" t="s">
        <v>184</v>
      </c>
      <c r="G93" s="181">
        <v>2</v>
      </c>
      <c r="J93"/>
      <c r="K93" s="182"/>
      <c r="M93" s="266" t="str" cm="1">
        <f t="array" ref="M93">_xlfn.TEXTJOIN(",", TRUE, _xlfn._xlws.FILTER(適用号機!D:D, (適用号機!B:B=改定!F93)*(適用号機!C:C=改定!G93), ""))</f>
        <v xml:space="preserve">	F10E</v>
      </c>
      <c r="N93" s="142" t="str">
        <f t="shared" si="3"/>
        <v>03942-00087-02</v>
      </c>
      <c r="O93" s="122" t="s">
        <v>1702</v>
      </c>
    </row>
    <row r="94" spans="1:16">
      <c r="A94" s="142" t="s">
        <v>183</v>
      </c>
      <c r="B94" s="189" t="str">
        <f>_xlfn.XLOOKUP(F94,品番!B:B,品番!G:G)</f>
        <v>F10E</v>
      </c>
      <c r="C94" s="189" t="str">
        <f>_xlfn.XLOOKUP(F94,品番!B:B,品番!C:C)</f>
        <v>コントローラ</v>
      </c>
      <c r="D94" s="189" t="str">
        <f>_xlfn.XLOOKUP(F94,品番!B:B,品番!D:D)</f>
        <v>メイン</v>
      </c>
      <c r="E94" s="179">
        <v>51751</v>
      </c>
      <c r="F94" s="180" t="s">
        <v>184</v>
      </c>
      <c r="G94" s="181">
        <v>3</v>
      </c>
      <c r="J94"/>
      <c r="K94" s="182"/>
      <c r="M94" s="266" t="str" cm="1">
        <f t="array" ref="M94">_xlfn.TEXTJOIN(",", TRUE, _xlfn._xlws.FILTER(適用号機!D:D, (適用号機!B:B=改定!F94)*(適用号機!C:C=改定!G94), ""))</f>
        <v>F10E</v>
      </c>
      <c r="N94" s="142" t="str">
        <f t="shared" si="3"/>
        <v>03942-00087-03</v>
      </c>
      <c r="O94" s="122" t="s">
        <v>1702</v>
      </c>
      <c r="P94"/>
    </row>
    <row r="95" spans="1:16">
      <c r="A95" s="142" t="s">
        <v>183</v>
      </c>
      <c r="B95" s="189" t="str">
        <f>_xlfn.XLOOKUP(F95,品番!B:B,品番!G:G)</f>
        <v>F10E</v>
      </c>
      <c r="C95" s="189" t="str">
        <f>_xlfn.XLOOKUP(F95,品番!B:B,品番!C:C)</f>
        <v>コントローラ</v>
      </c>
      <c r="D95" s="189" t="str">
        <f>_xlfn.XLOOKUP(F95,品番!B:B,品番!D:D)</f>
        <v>メイン</v>
      </c>
      <c r="E95" s="179">
        <v>53280</v>
      </c>
      <c r="F95" s="180" t="s">
        <v>184</v>
      </c>
      <c r="G95" s="181">
        <v>4</v>
      </c>
      <c r="J95"/>
      <c r="K95" s="182"/>
      <c r="M95" s="266" t="str" cm="1">
        <f t="array" ref="M95">_xlfn.TEXTJOIN(",", TRUE, _xlfn._xlws.FILTER(適用号機!D:D, (適用号機!B:B=改定!F95)*(適用号機!C:C=改定!G95), ""))</f>
        <v xml:space="preserve">	F10E,F10E</v>
      </c>
      <c r="N95" s="142" t="str">
        <f t="shared" si="3"/>
        <v>03942-00087-04</v>
      </c>
      <c r="O95" s="122" t="s">
        <v>1702</v>
      </c>
    </row>
    <row r="96" spans="1:16">
      <c r="A96" s="142" t="s">
        <v>183</v>
      </c>
      <c r="B96" s="189" t="str">
        <f>_xlfn.XLOOKUP(F96,品番!B:B,品番!G:G)</f>
        <v>F10E</v>
      </c>
      <c r="C96" s="189" t="str">
        <f>_xlfn.XLOOKUP(F96,品番!B:B,品番!C:C)</f>
        <v>コントローラ</v>
      </c>
      <c r="D96" s="189" t="str">
        <f>_xlfn.XLOOKUP(F96,品番!B:B,品番!D:D)</f>
        <v>メイン</v>
      </c>
      <c r="E96" s="179">
        <v>53573</v>
      </c>
      <c r="F96" s="180" t="s">
        <v>184</v>
      </c>
      <c r="G96" s="181">
        <v>5</v>
      </c>
      <c r="J96"/>
      <c r="K96" s="182"/>
      <c r="M96" s="266" t="str" cm="1">
        <f t="array" ref="M96">_xlfn.TEXTJOIN(",", TRUE, _xlfn._xlws.FILTER(適用号機!D:D, (適用号機!B:B=改定!F96)*(適用号機!C:C=改定!G96), ""))</f>
        <v>F10E</v>
      </c>
      <c r="N96" s="142" t="str">
        <f t="shared" si="3"/>
        <v>03942-00087-05</v>
      </c>
      <c r="O96" s="122" t="s">
        <v>1702</v>
      </c>
    </row>
    <row r="97" spans="1:15">
      <c r="A97" s="142" t="s">
        <v>183</v>
      </c>
      <c r="B97" s="189" t="str">
        <f>_xlfn.XLOOKUP(F97,品番!B:B,品番!G:G)</f>
        <v>F10E</v>
      </c>
      <c r="C97" s="189" t="str">
        <f>_xlfn.XLOOKUP(F97,品番!B:B,品番!C:C)</f>
        <v>コントローラ</v>
      </c>
      <c r="D97" s="189" t="str">
        <f>_xlfn.XLOOKUP(F97,品番!B:B,品番!D:D)</f>
        <v>メイン</v>
      </c>
      <c r="E97" s="179">
        <v>53722</v>
      </c>
      <c r="F97" s="180" t="s">
        <v>184</v>
      </c>
      <c r="G97" s="181">
        <v>6</v>
      </c>
      <c r="J97"/>
      <c r="K97" s="182"/>
      <c r="M97" s="266" t="str" cm="1">
        <f t="array" ref="M97">_xlfn.TEXTJOIN(",", TRUE, _xlfn._xlws.FILTER(適用号機!D:D, (適用号機!B:B=改定!F97)*(適用号機!C:C=改定!G97), ""))</f>
        <v xml:space="preserve">	F10E</v>
      </c>
      <c r="N97" s="142" t="str">
        <f t="shared" si="3"/>
        <v>03942-00087-06</v>
      </c>
      <c r="O97" s="122" t="s">
        <v>1702</v>
      </c>
    </row>
    <row r="98" spans="1:15" ht="15">
      <c r="A98" s="142" t="s">
        <v>183</v>
      </c>
      <c r="B98" s="189" t="str">
        <f>_xlfn.XLOOKUP(F98,品番!B:B,品番!G:G)</f>
        <v>F10E</v>
      </c>
      <c r="C98" s="189" t="str">
        <f>_xlfn.XLOOKUP(F98,品番!B:B,品番!C:C)</f>
        <v>コントローラ</v>
      </c>
      <c r="D98" s="189" t="str">
        <f>_xlfn.XLOOKUP(F98,品番!B:B,品番!D:D)</f>
        <v>メイン</v>
      </c>
      <c r="E98" s="179">
        <v>54464</v>
      </c>
      <c r="F98" s="180" t="s">
        <v>184</v>
      </c>
      <c r="G98" s="181">
        <v>7</v>
      </c>
      <c r="H98" s="122" t="s">
        <v>1855</v>
      </c>
      <c r="J98"/>
      <c r="K98" s="184" t="s">
        <v>1413</v>
      </c>
      <c r="M98" s="266" t="str" cm="1">
        <f t="array" ref="M98">_xlfn.TEXTJOIN(",", TRUE, _xlfn._xlws.FILTER(適用号機!D:D, (適用号機!B:B=改定!F98)*(適用号機!C:C=改定!G98), ""))</f>
        <v xml:space="preserve">	F10E</v>
      </c>
      <c r="N98" s="142" t="str">
        <f t="shared" si="3"/>
        <v>03942-00087-07</v>
      </c>
      <c r="O98" s="122" t="s">
        <v>1702</v>
      </c>
    </row>
    <row r="99" spans="1:15">
      <c r="A99" s="142" t="s">
        <v>183</v>
      </c>
      <c r="B99" s="189" t="str">
        <f>_xlfn.XLOOKUP(F99,品番!B:B,品番!G:G)</f>
        <v>F10E</v>
      </c>
      <c r="C99" s="189" t="str">
        <f>_xlfn.XLOOKUP(F99,品番!B:B,品番!C:C)</f>
        <v>コントローラ</v>
      </c>
      <c r="D99" s="189" t="str">
        <f>_xlfn.XLOOKUP(F99,品番!B:B,品番!D:D)</f>
        <v>メイン</v>
      </c>
      <c r="E99" s="179">
        <v>55134</v>
      </c>
      <c r="F99" s="180" t="s">
        <v>184</v>
      </c>
      <c r="G99" s="181">
        <v>8</v>
      </c>
      <c r="H99" s="122" t="s">
        <v>427</v>
      </c>
      <c r="I99" s="122" t="s">
        <v>47</v>
      </c>
      <c r="J99" s="122" t="s">
        <v>47</v>
      </c>
      <c r="M99" s="266" t="str" cm="1">
        <f t="array" ref="M99">_xlfn.TEXTJOIN(",", TRUE, _xlfn._xlws.FILTER(適用号機!D:D, (適用号機!B:B=改定!F99)*(適用号機!C:C=改定!G99), ""))</f>
        <v xml:space="preserve">	F10E</v>
      </c>
      <c r="N99" s="142" t="str">
        <f t="shared" si="3"/>
        <v>03942-00087-08</v>
      </c>
      <c r="O99" s="122" t="s">
        <v>1702</v>
      </c>
    </row>
    <row r="100" spans="1:15">
      <c r="A100" s="122" t="s">
        <v>263</v>
      </c>
      <c r="B100" s="189" t="str">
        <f>_xlfn.XLOOKUP(F100,品番!B:B,品番!G:G)</f>
        <v>A12A</v>
      </c>
      <c r="C100" s="189" t="str">
        <f>_xlfn.XLOOKUP(F100,品番!B:B,品番!C:C)</f>
        <v>コントローラ</v>
      </c>
      <c r="D100" s="189" t="str">
        <f>_xlfn.XLOOKUP(F100,品番!B:B,品番!D:D)</f>
        <v>メイン</v>
      </c>
      <c r="E100" s="179">
        <v>40538</v>
      </c>
      <c r="F100" s="180" t="s">
        <v>28</v>
      </c>
      <c r="G100" s="181">
        <v>0</v>
      </c>
      <c r="K100" s="182"/>
      <c r="M100" s="266" t="str" cm="1">
        <f t="array" ref="M100">_xlfn.TEXTJOIN(",", TRUE, _xlfn._xlws.FILTER(適用号機!D:D, (適用号機!B:B=改定!F100)*(適用号機!C:C=改定!G100), ""))</f>
        <v/>
      </c>
      <c r="N100" s="142" t="str">
        <f t="shared" si="3"/>
        <v>05542-00024-00</v>
      </c>
      <c r="O100" s="122" t="s">
        <v>1702</v>
      </c>
    </row>
    <row r="101" spans="1:15">
      <c r="A101" s="122" t="s">
        <v>263</v>
      </c>
      <c r="B101" s="189" t="str">
        <f>_xlfn.XLOOKUP(F101,品番!B:B,品番!G:G)</f>
        <v>A12A</v>
      </c>
      <c r="C101" s="189" t="str">
        <f>_xlfn.XLOOKUP(F101,品番!B:B,品番!C:C)</f>
        <v>コントローラ</v>
      </c>
      <c r="D101" s="189" t="str">
        <f>_xlfn.XLOOKUP(F101,品番!B:B,品番!D:D)</f>
        <v>メイン</v>
      </c>
      <c r="E101" s="179">
        <v>40677</v>
      </c>
      <c r="F101" s="180" t="s">
        <v>28</v>
      </c>
      <c r="G101" s="181">
        <v>1</v>
      </c>
      <c r="H101" s="125"/>
      <c r="K101" s="182"/>
      <c r="M101" s="266" t="str" cm="1">
        <f t="array" ref="M101">_xlfn.TEXTJOIN(",", TRUE, _xlfn._xlws.FILTER(適用号機!D:D, (適用号機!B:B=改定!F101)*(適用号機!C:C=改定!G101), ""))</f>
        <v>A12A,A12B</v>
      </c>
      <c r="N101" s="142" t="str">
        <f t="shared" si="3"/>
        <v>05542-00024-01</v>
      </c>
      <c r="O101" s="122" t="s">
        <v>1702</v>
      </c>
    </row>
    <row r="102" spans="1:15">
      <c r="A102" s="122" t="s">
        <v>263</v>
      </c>
      <c r="B102" s="189" t="str">
        <f>_xlfn.XLOOKUP(F102,品番!B:B,品番!G:G)</f>
        <v>A12A</v>
      </c>
      <c r="C102" s="189" t="str">
        <f>_xlfn.XLOOKUP(F102,品番!B:B,品番!C:C)</f>
        <v>コントローラ</v>
      </c>
      <c r="D102" s="189" t="str">
        <f>_xlfn.XLOOKUP(F102,品番!B:B,品番!D:D)</f>
        <v>メイン</v>
      </c>
      <c r="E102" s="179">
        <v>41043</v>
      </c>
      <c r="F102" s="180" t="s">
        <v>28</v>
      </c>
      <c r="G102" s="181">
        <v>2</v>
      </c>
      <c r="H102" s="125"/>
      <c r="K102" s="182"/>
      <c r="M102" s="266" t="str" cm="1">
        <f t="array" ref="M102">_xlfn.TEXTJOIN(",", TRUE, _xlfn._xlws.FILTER(適用号機!D:D, (適用号機!B:B=改定!F102)*(適用号機!C:C=改定!G102), ""))</f>
        <v>A12A</v>
      </c>
      <c r="N102" s="142" t="str">
        <f t="shared" si="3"/>
        <v>05542-00024-02</v>
      </c>
      <c r="O102" s="122" t="s">
        <v>1702</v>
      </c>
    </row>
    <row r="103" spans="1:15">
      <c r="A103" s="122" t="s">
        <v>263</v>
      </c>
      <c r="B103" s="189" t="str">
        <f>_xlfn.XLOOKUP(F103,品番!B:B,品番!G:G)</f>
        <v>A12A</v>
      </c>
      <c r="C103" s="189" t="str">
        <f>_xlfn.XLOOKUP(F103,品番!B:B,品番!C:C)</f>
        <v>コントローラ</v>
      </c>
      <c r="D103" s="189" t="str">
        <f>_xlfn.XLOOKUP(F103,品番!B:B,品番!D:D)</f>
        <v>メイン</v>
      </c>
      <c r="E103" s="179">
        <v>41131</v>
      </c>
      <c r="F103" s="180" t="s">
        <v>28</v>
      </c>
      <c r="G103" s="181">
        <v>3</v>
      </c>
      <c r="H103" s="125"/>
      <c r="K103" s="182"/>
      <c r="M103" s="266" t="str" cm="1">
        <f t="array" ref="M103">_xlfn.TEXTJOIN(",", TRUE, _xlfn._xlws.FILTER(適用号機!D:D, (適用号機!B:B=改定!F103)*(適用号機!C:C=改定!G103), ""))</f>
        <v>A12A</v>
      </c>
      <c r="N103" s="142" t="str">
        <f t="shared" si="3"/>
        <v>05542-00024-03</v>
      </c>
      <c r="O103" s="122" t="s">
        <v>1702</v>
      </c>
    </row>
    <row r="104" spans="1:15">
      <c r="A104" s="122" t="s">
        <v>263</v>
      </c>
      <c r="B104" s="189" t="str">
        <f>_xlfn.XLOOKUP(F104,品番!B:B,品番!G:G)</f>
        <v>A12A</v>
      </c>
      <c r="C104" s="189" t="str">
        <f>_xlfn.XLOOKUP(F104,品番!B:B,品番!C:C)</f>
        <v>コントローラ</v>
      </c>
      <c r="D104" s="189" t="str">
        <f>_xlfn.XLOOKUP(F104,品番!B:B,品番!D:D)</f>
        <v>メイン</v>
      </c>
      <c r="E104" s="179">
        <v>41447</v>
      </c>
      <c r="F104" s="180" t="s">
        <v>28</v>
      </c>
      <c r="G104" s="181">
        <v>4</v>
      </c>
      <c r="H104" s="125"/>
      <c r="K104" s="182"/>
      <c r="M104" s="266" t="str" cm="1">
        <f t="array" ref="M104">_xlfn.TEXTJOIN(",", TRUE, _xlfn._xlws.FILTER(適用号機!D:D, (適用号機!B:B=改定!F104)*(適用号機!C:C=改定!G104), ""))</f>
        <v/>
      </c>
      <c r="N104" s="142" t="str">
        <f t="shared" si="3"/>
        <v>05542-00024-04</v>
      </c>
      <c r="O104" s="122" t="s">
        <v>1702</v>
      </c>
    </row>
    <row r="105" spans="1:15">
      <c r="A105" s="122" t="s">
        <v>263</v>
      </c>
      <c r="B105" s="189" t="str">
        <f>_xlfn.XLOOKUP(F105,品番!B:B,品番!G:G)</f>
        <v>A12A</v>
      </c>
      <c r="C105" s="189" t="str">
        <f>_xlfn.XLOOKUP(F105,品番!B:B,品番!C:C)</f>
        <v>コントローラ</v>
      </c>
      <c r="D105" s="189" t="str">
        <f>_xlfn.XLOOKUP(F105,品番!B:B,品番!D:D)</f>
        <v>メイン</v>
      </c>
      <c r="E105" s="179">
        <v>42850</v>
      </c>
      <c r="F105" s="180" t="s">
        <v>28</v>
      </c>
      <c r="G105" s="181">
        <v>5</v>
      </c>
      <c r="H105" s="125"/>
      <c r="K105" s="182"/>
      <c r="M105" s="266" t="str" cm="1">
        <f t="array" ref="M105">_xlfn.TEXTJOIN(",", TRUE, _xlfn._xlws.FILTER(適用号機!D:D, (適用号機!B:B=改定!F105)*(適用号機!C:C=改定!G105), ""))</f>
        <v>A12A,A12B</v>
      </c>
      <c r="N105" s="142" t="str">
        <f t="shared" si="3"/>
        <v>05542-00024-05</v>
      </c>
      <c r="O105" s="122" t="s">
        <v>1702</v>
      </c>
    </row>
    <row r="106" spans="1:15">
      <c r="A106" s="122" t="s">
        <v>263</v>
      </c>
      <c r="B106" s="189" t="str">
        <f>_xlfn.XLOOKUP(F106,品番!B:B,品番!G:G)</f>
        <v>A12A</v>
      </c>
      <c r="C106" s="189" t="str">
        <f>_xlfn.XLOOKUP(F106,品番!B:B,品番!C:C)</f>
        <v>コントローラ</v>
      </c>
      <c r="D106" s="189" t="str">
        <f>_xlfn.XLOOKUP(F106,品番!B:B,品番!D:D)</f>
        <v>メイン</v>
      </c>
      <c r="E106" s="179">
        <v>43589</v>
      </c>
      <c r="F106" s="180" t="s">
        <v>28</v>
      </c>
      <c r="G106" s="181">
        <v>6</v>
      </c>
      <c r="H106" s="125"/>
      <c r="K106" s="182"/>
      <c r="M106" s="266" t="str" cm="1">
        <f t="array" ref="M106">_xlfn.TEXTJOIN(",", TRUE, _xlfn._xlws.FILTER(適用号機!D:D, (適用号機!B:B=改定!F106)*(適用号機!C:C=改定!G106), ""))</f>
        <v>A12A</v>
      </c>
      <c r="N106" s="142" t="str">
        <f t="shared" si="3"/>
        <v>05542-00024-06</v>
      </c>
      <c r="O106" s="122" t="s">
        <v>1702</v>
      </c>
    </row>
    <row r="107" spans="1:15">
      <c r="A107" s="122" t="s">
        <v>263</v>
      </c>
      <c r="B107" s="189" t="str">
        <f>_xlfn.XLOOKUP(F107,品番!B:B,品番!G:G)</f>
        <v>A12A</v>
      </c>
      <c r="C107" s="189" t="str">
        <f>_xlfn.XLOOKUP(F107,品番!B:B,品番!C:C)</f>
        <v>コントローラ</v>
      </c>
      <c r="D107" s="189" t="str">
        <f>_xlfn.XLOOKUP(F107,品番!B:B,品番!D:D)</f>
        <v>メイン</v>
      </c>
      <c r="E107" s="179">
        <v>55511</v>
      </c>
      <c r="F107" s="180" t="s">
        <v>28</v>
      </c>
      <c r="G107" s="181">
        <v>7</v>
      </c>
      <c r="H107" s="122" t="s">
        <v>264</v>
      </c>
      <c r="K107" s="182"/>
      <c r="M107" s="266" t="str" cm="1">
        <f t="array" ref="M107">_xlfn.TEXTJOIN(",", TRUE, _xlfn._xlws.FILTER(適用号機!D:D, (適用号機!B:B=改定!F107)*(適用号機!C:C=改定!G107), ""))</f>
        <v/>
      </c>
      <c r="N107" s="142" t="str">
        <f t="shared" si="3"/>
        <v>05542-00024-07</v>
      </c>
      <c r="O107" s="122" t="s">
        <v>1702</v>
      </c>
    </row>
    <row r="108" spans="1:15">
      <c r="A108" s="122" t="s">
        <v>144</v>
      </c>
      <c r="B108" s="189" t="str">
        <f>_xlfn.XLOOKUP(F108,品番!B:B,品番!G:G)</f>
        <v>A7G,A12B</v>
      </c>
      <c r="C108" s="189" t="str">
        <f>_xlfn.XLOOKUP(F108,品番!B:B,品番!C:C)</f>
        <v>コントローラ</v>
      </c>
      <c r="D108" s="189" t="str">
        <f>_xlfn.XLOOKUP(F108,品番!B:B,品番!D:D)</f>
        <v>メイン</v>
      </c>
      <c r="E108" s="179">
        <v>40652</v>
      </c>
      <c r="F108" s="180" t="s">
        <v>145</v>
      </c>
      <c r="G108" s="183">
        <v>0</v>
      </c>
      <c r="H108" s="135"/>
      <c r="K108" s="182" t="s">
        <v>187</v>
      </c>
      <c r="L108" s="122" t="s">
        <v>146</v>
      </c>
      <c r="M108" s="266" t="str" cm="1">
        <f t="array" ref="M108">_xlfn.TEXTJOIN(",", TRUE, _xlfn._xlws.FILTER(適用号機!D:D, (適用号機!B:B=改定!F108)*(適用号機!C:C=改定!G108), ""))</f>
        <v>A12A,A12B</v>
      </c>
      <c r="N108" s="142" t="str">
        <f t="shared" si="3"/>
        <v>05542-00025-00</v>
      </c>
      <c r="O108" s="122" t="s">
        <v>1702</v>
      </c>
    </row>
    <row r="109" spans="1:15">
      <c r="A109" s="122" t="s">
        <v>144</v>
      </c>
      <c r="B109" s="189" t="str">
        <f>_xlfn.XLOOKUP(F109,品番!B:B,品番!G:G)</f>
        <v>A7G,A12B</v>
      </c>
      <c r="C109" s="189" t="str">
        <f>_xlfn.XLOOKUP(F109,品番!B:B,品番!C:C)</f>
        <v>コントローラ</v>
      </c>
      <c r="D109" s="189" t="str">
        <f>_xlfn.XLOOKUP(F109,品番!B:B,品番!D:D)</f>
        <v>メイン</v>
      </c>
      <c r="E109" s="179">
        <v>41447</v>
      </c>
      <c r="F109" s="180" t="s">
        <v>145</v>
      </c>
      <c r="G109" s="183">
        <v>1</v>
      </c>
      <c r="H109" s="135"/>
      <c r="K109" s="182"/>
      <c r="M109" s="266" t="str" cm="1">
        <f t="array" ref="M109">_xlfn.TEXTJOIN(",", TRUE, _xlfn._xlws.FILTER(適用号機!D:D, (適用号機!B:B=改定!F109)*(適用号機!C:C=改定!G109), ""))</f>
        <v>A12A,A12B</v>
      </c>
      <c r="N109" s="142" t="str">
        <f t="shared" si="3"/>
        <v>05542-00025-01</v>
      </c>
      <c r="O109" s="122" t="s">
        <v>1702</v>
      </c>
    </row>
    <row r="110" spans="1:15">
      <c r="A110" s="122" t="s">
        <v>144</v>
      </c>
      <c r="B110" s="189" t="str">
        <f>_xlfn.XLOOKUP(F110,品番!B:B,品番!G:G)</f>
        <v>A7G,A12B</v>
      </c>
      <c r="C110" s="189" t="str">
        <f>_xlfn.XLOOKUP(F110,品番!B:B,品番!C:C)</f>
        <v>コントローラ</v>
      </c>
      <c r="D110" s="189" t="str">
        <f>_xlfn.XLOOKUP(F110,品番!B:B,品番!D:D)</f>
        <v>メイン</v>
      </c>
      <c r="E110" s="179">
        <v>42065</v>
      </c>
      <c r="F110" s="180" t="s">
        <v>145</v>
      </c>
      <c r="G110" s="183">
        <v>2</v>
      </c>
      <c r="H110" s="135"/>
      <c r="K110" s="182"/>
      <c r="M110" s="266" t="str" cm="1">
        <f t="array" ref="M110">_xlfn.TEXTJOIN(",", TRUE, _xlfn._xlws.FILTER(適用号機!D:D, (適用号機!B:B=改定!F110)*(適用号機!C:C=改定!G110), ""))</f>
        <v>A12A,A12B,A7G</v>
      </c>
      <c r="N110" s="142" t="str">
        <f t="shared" si="3"/>
        <v>05542-00025-02</v>
      </c>
      <c r="O110" s="122" t="s">
        <v>1702</v>
      </c>
    </row>
    <row r="111" spans="1:15">
      <c r="A111" s="122" t="s">
        <v>144</v>
      </c>
      <c r="B111" s="189" t="str">
        <f>_xlfn.XLOOKUP(F111,品番!B:B,品番!G:G)</f>
        <v>A7G,A12B</v>
      </c>
      <c r="C111" s="189" t="str">
        <f>_xlfn.XLOOKUP(F111,品番!B:B,品番!C:C)</f>
        <v>コントローラ</v>
      </c>
      <c r="D111" s="189" t="str">
        <f>_xlfn.XLOOKUP(F111,品番!B:B,品番!D:D)</f>
        <v>メイン</v>
      </c>
      <c r="E111" s="179">
        <v>42659</v>
      </c>
      <c r="F111" s="180" t="s">
        <v>145</v>
      </c>
      <c r="G111" s="183">
        <v>3</v>
      </c>
      <c r="H111" s="135"/>
      <c r="K111" s="182"/>
      <c r="M111" s="266" t="str" cm="1">
        <f t="array" ref="M111">_xlfn.TEXTJOIN(",", TRUE, _xlfn._xlws.FILTER(適用号機!D:D, (適用号機!B:B=改定!F111)*(適用号機!C:C=改定!G111), ""))</f>
        <v>A7G,A12B</v>
      </c>
      <c r="N111" s="142" t="str">
        <f t="shared" si="3"/>
        <v>05542-00025-03</v>
      </c>
      <c r="O111" s="122" t="s">
        <v>1702</v>
      </c>
    </row>
    <row r="112" spans="1:15">
      <c r="A112" s="122" t="s">
        <v>144</v>
      </c>
      <c r="B112" s="189" t="str">
        <f>_xlfn.XLOOKUP(F112,品番!B:B,品番!G:G)</f>
        <v>A7G,A12B</v>
      </c>
      <c r="C112" s="189" t="str">
        <f>_xlfn.XLOOKUP(F112,品番!B:B,品番!C:C)</f>
        <v>コントローラ</v>
      </c>
      <c r="D112" s="189" t="str">
        <f>_xlfn.XLOOKUP(F112,品番!B:B,品番!D:D)</f>
        <v>メイン</v>
      </c>
      <c r="E112" s="179">
        <v>43589</v>
      </c>
      <c r="F112" s="180" t="s">
        <v>145</v>
      </c>
      <c r="G112" s="183">
        <v>4</v>
      </c>
      <c r="H112" s="135"/>
      <c r="K112" s="182"/>
      <c r="M112" s="266" t="str" cm="1">
        <f t="array" ref="M112">_xlfn.TEXTJOIN(",", TRUE, _xlfn._xlws.FILTER(適用号機!D:D, (適用号機!B:B=改定!F112)*(適用号機!C:C=改定!G112), ""))</f>
        <v>A12B,A7G</v>
      </c>
      <c r="N112" s="142" t="str">
        <f t="shared" si="3"/>
        <v>05542-00025-04</v>
      </c>
      <c r="O112" s="122" t="s">
        <v>1702</v>
      </c>
    </row>
    <row r="113" spans="1:15">
      <c r="A113" s="122" t="s">
        <v>144</v>
      </c>
      <c r="B113" s="189" t="str">
        <f>_xlfn.XLOOKUP(F113,品番!B:B,品番!G:G)</f>
        <v>A7G,A12B</v>
      </c>
      <c r="C113" s="189" t="str">
        <f>_xlfn.XLOOKUP(F113,品番!B:B,品番!C:C)</f>
        <v>コントローラ</v>
      </c>
      <c r="D113" s="189" t="str">
        <f>_xlfn.XLOOKUP(F113,品番!B:B,品番!D:D)</f>
        <v>メイン</v>
      </c>
      <c r="E113" s="179">
        <v>43748</v>
      </c>
      <c r="F113" s="180" t="s">
        <v>145</v>
      </c>
      <c r="G113" s="183">
        <v>5</v>
      </c>
      <c r="H113" s="135"/>
      <c r="K113" s="182"/>
      <c r="M113" s="266" t="str" cm="1">
        <f t="array" ref="M113">_xlfn.TEXTJOIN(",", TRUE, _xlfn._xlws.FILTER(適用号機!D:D, (適用号機!B:B=改定!F113)*(適用号機!C:C=改定!G113), ""))</f>
        <v>A12B,A7G</v>
      </c>
      <c r="N113" s="142" t="str">
        <f t="shared" si="3"/>
        <v>05542-00025-05</v>
      </c>
      <c r="O113" s="122" t="s">
        <v>1702</v>
      </c>
    </row>
    <row r="114" spans="1:15">
      <c r="A114" s="122" t="s">
        <v>144</v>
      </c>
      <c r="B114" s="189" t="str">
        <f>_xlfn.XLOOKUP(F114,品番!B:B,品番!G:G)</f>
        <v>A7G,A12B</v>
      </c>
      <c r="C114" s="189" t="str">
        <f>_xlfn.XLOOKUP(F114,品番!B:B,品番!C:C)</f>
        <v>コントローラ</v>
      </c>
      <c r="D114" s="189" t="str">
        <f>_xlfn.XLOOKUP(F114,品番!B:B,品番!D:D)</f>
        <v>メイン</v>
      </c>
      <c r="E114" s="179">
        <v>47467</v>
      </c>
      <c r="F114" s="180" t="s">
        <v>145</v>
      </c>
      <c r="G114" s="183">
        <v>6</v>
      </c>
      <c r="H114" s="135"/>
      <c r="K114" s="182"/>
      <c r="M114" s="266" t="str" cm="1">
        <f t="array" ref="M114">_xlfn.TEXTJOIN(",", TRUE, _xlfn._xlws.FILTER(適用号機!D:D, (適用号機!B:B=改定!F114)*(適用号機!C:C=改定!G114), ""))</f>
        <v/>
      </c>
      <c r="N114" s="142" t="str">
        <f t="shared" si="3"/>
        <v>05542-00025-06</v>
      </c>
      <c r="O114" s="122" t="s">
        <v>1702</v>
      </c>
    </row>
    <row r="115" spans="1:15">
      <c r="A115" s="122" t="s">
        <v>144</v>
      </c>
      <c r="B115" s="189" t="str">
        <f>_xlfn.XLOOKUP(F115,品番!B:B,品番!G:G)</f>
        <v>A7G,A12B</v>
      </c>
      <c r="C115" s="189" t="str">
        <f>_xlfn.XLOOKUP(F115,品番!B:B,品番!C:C)</f>
        <v>コントローラ</v>
      </c>
      <c r="D115" s="189" t="str">
        <f>_xlfn.XLOOKUP(F115,品番!B:B,品番!D:D)</f>
        <v>メイン</v>
      </c>
      <c r="E115" s="179">
        <v>55511</v>
      </c>
      <c r="F115" s="180" t="s">
        <v>145</v>
      </c>
      <c r="G115" s="183">
        <v>7</v>
      </c>
      <c r="H115" s="135" t="s">
        <v>293</v>
      </c>
      <c r="I115" s="122" t="s">
        <v>47</v>
      </c>
      <c r="J115" s="122" t="s">
        <v>47</v>
      </c>
      <c r="M115" s="266" t="str" cm="1">
        <f t="array" ref="M115">_xlfn.TEXTJOIN(",", TRUE, _xlfn._xlws.FILTER(適用号機!D:D, (適用号機!B:B=改定!F115)*(適用号機!C:C=改定!G115), ""))</f>
        <v/>
      </c>
      <c r="N115" s="142" t="str">
        <f t="shared" si="3"/>
        <v>05542-00025-07</v>
      </c>
      <c r="O115" s="122" t="s">
        <v>1702</v>
      </c>
    </row>
    <row r="116" spans="1:15">
      <c r="A116" s="140" t="s">
        <v>147</v>
      </c>
      <c r="B116" s="189" t="str">
        <f>_xlfn.XLOOKUP(F116,品番!B:B,品番!G:G)</f>
        <v>A12B</v>
      </c>
      <c r="C116" s="189" t="str">
        <f>_xlfn.XLOOKUP(F116,品番!B:B,品番!C:C)</f>
        <v>コントローラ</v>
      </c>
      <c r="D116" s="189" t="str">
        <f>_xlfn.XLOOKUP(F116,品番!B:B,品番!D:D)</f>
        <v>メイン</v>
      </c>
      <c r="E116" s="179">
        <v>42481</v>
      </c>
      <c r="F116" s="180" t="s">
        <v>148</v>
      </c>
      <c r="G116" s="183">
        <v>0</v>
      </c>
      <c r="H116" s="135"/>
      <c r="K116" s="182" t="s">
        <v>149</v>
      </c>
      <c r="L116" s="122" t="s">
        <v>149</v>
      </c>
      <c r="M116" s="266" t="str" cm="1">
        <f t="array" ref="M116">_xlfn.TEXTJOIN(",", TRUE, _xlfn._xlws.FILTER(適用号機!D:D, (適用号機!B:B=改定!F116)*(適用号機!C:C=改定!G116), ""))</f>
        <v>A12B</v>
      </c>
      <c r="N116" s="142" t="str">
        <f t="shared" si="3"/>
        <v>05542-00083-00</v>
      </c>
      <c r="O116" s="122" t="s">
        <v>1702</v>
      </c>
    </row>
    <row r="117" spans="1:15">
      <c r="A117" s="140" t="s">
        <v>147</v>
      </c>
      <c r="B117" s="189" t="str">
        <f>_xlfn.XLOOKUP(F117,品番!B:B,品番!G:G)</f>
        <v>A12B</v>
      </c>
      <c r="C117" s="189" t="str">
        <f>_xlfn.XLOOKUP(F117,品番!B:B,品番!C:C)</f>
        <v>コントローラ</v>
      </c>
      <c r="D117" s="189" t="str">
        <f>_xlfn.XLOOKUP(F117,品番!B:B,品番!D:D)</f>
        <v>メイン</v>
      </c>
      <c r="E117" s="179">
        <v>43589</v>
      </c>
      <c r="F117" s="180" t="s">
        <v>148</v>
      </c>
      <c r="G117" s="183">
        <v>1</v>
      </c>
      <c r="H117" s="135"/>
      <c r="K117" s="182"/>
      <c r="M117" s="266" t="str" cm="1">
        <f t="array" ref="M117">_xlfn.TEXTJOIN(",", TRUE, _xlfn._xlws.FILTER(適用号機!D:D, (適用号機!B:B=改定!F117)*(適用号機!C:C=改定!G117), ""))</f>
        <v>A12B</v>
      </c>
      <c r="N117" s="142" t="str">
        <f t="shared" si="3"/>
        <v>05542-00083-01</v>
      </c>
      <c r="O117" s="122" t="s">
        <v>1702</v>
      </c>
    </row>
    <row r="118" spans="1:15">
      <c r="A118" s="140" t="s">
        <v>147</v>
      </c>
      <c r="B118" s="189" t="str">
        <f>_xlfn.XLOOKUP(F118,品番!B:B,品番!G:G)</f>
        <v>A12B</v>
      </c>
      <c r="C118" s="189" t="str">
        <f>_xlfn.XLOOKUP(F118,品番!B:B,品番!C:C)</f>
        <v>コントローラ</v>
      </c>
      <c r="D118" s="189" t="str">
        <f>_xlfn.XLOOKUP(F118,品番!B:B,品番!D:D)</f>
        <v>メイン</v>
      </c>
      <c r="E118" s="179">
        <v>43748</v>
      </c>
      <c r="F118" s="180" t="s">
        <v>148</v>
      </c>
      <c r="G118" s="183">
        <v>2</v>
      </c>
      <c r="H118" s="135"/>
      <c r="K118" s="182"/>
      <c r="M118" s="266" t="str" cm="1">
        <f t="array" ref="M118">_xlfn.TEXTJOIN(",", TRUE, _xlfn._xlws.FILTER(適用号機!D:D, (適用号機!B:B=改定!F118)*(適用号機!C:C=改定!G118), ""))</f>
        <v>A12B</v>
      </c>
      <c r="N118" s="142" t="str">
        <f t="shared" si="3"/>
        <v>05542-00083-02</v>
      </c>
      <c r="O118" s="122" t="s">
        <v>1702</v>
      </c>
    </row>
    <row r="119" spans="1:15">
      <c r="A119" s="140" t="s">
        <v>147</v>
      </c>
      <c r="B119" s="189" t="str">
        <f>_xlfn.XLOOKUP(F119,品番!B:B,品番!G:G)</f>
        <v>A12B</v>
      </c>
      <c r="C119" s="189" t="str">
        <f>_xlfn.XLOOKUP(F119,品番!B:B,品番!C:C)</f>
        <v>コントローラ</v>
      </c>
      <c r="D119" s="189" t="str">
        <f>_xlfn.XLOOKUP(F119,品番!B:B,品番!D:D)</f>
        <v>メイン</v>
      </c>
      <c r="E119" s="179">
        <v>55511</v>
      </c>
      <c r="F119" s="180" t="s">
        <v>148</v>
      </c>
      <c r="G119" s="183">
        <v>3</v>
      </c>
      <c r="H119" s="135" t="s">
        <v>301</v>
      </c>
      <c r="I119" s="122" t="s">
        <v>402</v>
      </c>
      <c r="J119" s="122" t="s">
        <v>403</v>
      </c>
      <c r="M119" s="266" t="str" cm="1">
        <f t="array" ref="M119">_xlfn.TEXTJOIN(",", TRUE, _xlfn._xlws.FILTER(適用号機!D:D, (適用号機!B:B=改定!F119)*(適用号機!C:C=改定!G119), ""))</f>
        <v/>
      </c>
      <c r="N119" s="142" t="str">
        <f t="shared" si="3"/>
        <v>05542-00083-03</v>
      </c>
      <c r="O119" s="122" t="s">
        <v>1702</v>
      </c>
    </row>
    <row r="120" spans="1:15">
      <c r="A120" s="122" t="s">
        <v>263</v>
      </c>
      <c r="B120" s="189" t="str">
        <f>_xlfn.XLOOKUP(F120,品番!B:B,品番!G:G)</f>
        <v>A12A</v>
      </c>
      <c r="C120" s="189" t="str">
        <f>_xlfn.XLOOKUP(F120,品番!B:B,品番!C:C)</f>
        <v>コントローラ</v>
      </c>
      <c r="D120" s="189" t="str">
        <f>_xlfn.XLOOKUP(F120,品番!B:B,品番!D:D)</f>
        <v>メイン</v>
      </c>
      <c r="E120" s="179">
        <v>46235</v>
      </c>
      <c r="F120" s="180" t="s">
        <v>30</v>
      </c>
      <c r="G120" s="181">
        <v>0</v>
      </c>
      <c r="K120" s="182"/>
      <c r="M120" s="266" t="str" cm="1">
        <f t="array" ref="M120">_xlfn.TEXTJOIN(",", TRUE, _xlfn._xlws.FILTER(適用号機!D:D, (適用号機!B:B=改定!F120)*(適用号機!C:C=改定!G120), ""))</f>
        <v xml:space="preserve">	A12A</v>
      </c>
      <c r="N120" s="142" t="str">
        <f t="shared" si="3"/>
        <v>05542-00114-00</v>
      </c>
      <c r="O120" s="122" t="s">
        <v>1702</v>
      </c>
    </row>
    <row r="121" spans="1:15">
      <c r="A121" s="122" t="s">
        <v>263</v>
      </c>
      <c r="B121" s="189" t="str">
        <f>_xlfn.XLOOKUP(F121,品番!B:B,品番!G:G)</f>
        <v>A12A</v>
      </c>
      <c r="C121" s="189" t="str">
        <f>_xlfn.XLOOKUP(F121,品番!B:B,品番!C:C)</f>
        <v>コントローラ</v>
      </c>
      <c r="D121" s="189" t="str">
        <f>_xlfn.XLOOKUP(F121,品番!B:B,品番!D:D)</f>
        <v>メイン</v>
      </c>
      <c r="E121" s="179">
        <v>46554</v>
      </c>
      <c r="F121" s="180" t="s">
        <v>30</v>
      </c>
      <c r="G121" s="181">
        <v>1</v>
      </c>
      <c r="K121" s="182"/>
      <c r="M121" s="266" t="str" cm="1">
        <f t="array" ref="M121">_xlfn.TEXTJOIN(",", TRUE, _xlfn._xlws.FILTER(適用号機!D:D, (適用号機!B:B=改定!F121)*(適用号機!C:C=改定!G121), ""))</f>
        <v>A12A,A12B</v>
      </c>
      <c r="N121" s="142" t="str">
        <f t="shared" si="3"/>
        <v>05542-00114-01</v>
      </c>
      <c r="O121" s="122" t="s">
        <v>1702</v>
      </c>
    </row>
    <row r="122" spans="1:15">
      <c r="A122" s="122" t="s">
        <v>263</v>
      </c>
      <c r="B122" s="189" t="str">
        <f>_xlfn.XLOOKUP(F122,品番!B:B,品番!G:G)</f>
        <v>A12A</v>
      </c>
      <c r="C122" s="189" t="str">
        <f>_xlfn.XLOOKUP(F122,品番!B:B,品番!C:C)</f>
        <v>コントローラ</v>
      </c>
      <c r="D122" s="189" t="str">
        <f>_xlfn.XLOOKUP(F122,品番!B:B,品番!D:D)</f>
        <v>メイン</v>
      </c>
      <c r="E122" s="179">
        <v>47519</v>
      </c>
      <c r="F122" s="180" t="s">
        <v>30</v>
      </c>
      <c r="G122" s="181">
        <v>2</v>
      </c>
      <c r="H122" s="125"/>
      <c r="K122" s="182"/>
      <c r="M122" s="266" t="str" cm="1">
        <f t="array" ref="M122">_xlfn.TEXTJOIN(",", TRUE, _xlfn._xlws.FILTER(適用号機!D:D, (適用号機!B:B=改定!F122)*(適用号機!C:C=改定!G122), ""))</f>
        <v/>
      </c>
      <c r="N122" s="142" t="str">
        <f t="shared" si="3"/>
        <v>05542-00114-02</v>
      </c>
      <c r="O122" s="122" t="s">
        <v>1702</v>
      </c>
    </row>
    <row r="123" spans="1:15">
      <c r="A123" s="122" t="s">
        <v>263</v>
      </c>
      <c r="B123" s="189" t="str">
        <f>_xlfn.XLOOKUP(F123,品番!B:B,品番!G:G)</f>
        <v>A12A</v>
      </c>
      <c r="C123" s="189" t="str">
        <f>_xlfn.XLOOKUP(F123,品番!B:B,品番!C:C)</f>
        <v>コントローラ</v>
      </c>
      <c r="D123" s="189" t="str">
        <f>_xlfn.XLOOKUP(F123,品番!B:B,品番!D:D)</f>
        <v>メイン</v>
      </c>
      <c r="E123" s="179">
        <v>50466</v>
      </c>
      <c r="F123" s="180" t="s">
        <v>30</v>
      </c>
      <c r="G123" s="181">
        <v>3</v>
      </c>
      <c r="H123" s="125"/>
      <c r="K123" s="182"/>
      <c r="M123" s="266" t="str" cm="1">
        <f t="array" ref="M123">_xlfn.TEXTJOIN(",", TRUE, _xlfn._xlws.FILTER(適用号機!D:D, (適用号機!B:B=改定!F123)*(適用号機!C:C=改定!G123), ""))</f>
        <v/>
      </c>
      <c r="N123" s="142" t="str">
        <f t="shared" si="3"/>
        <v>05542-00114-03</v>
      </c>
      <c r="O123" s="122" t="s">
        <v>1702</v>
      </c>
    </row>
    <row r="124" spans="1:15">
      <c r="A124" s="122" t="s">
        <v>263</v>
      </c>
      <c r="B124" s="189" t="str">
        <f>_xlfn.XLOOKUP(F124,品番!B:B,品番!G:G)</f>
        <v>A12A</v>
      </c>
      <c r="C124" s="189" t="str">
        <f>_xlfn.XLOOKUP(F124,品番!B:B,品番!C:C)</f>
        <v>コントローラ</v>
      </c>
      <c r="D124" s="189" t="str">
        <f>_xlfn.XLOOKUP(F124,品番!B:B,品番!D:D)</f>
        <v>メイン</v>
      </c>
      <c r="E124" s="179">
        <v>55511</v>
      </c>
      <c r="F124" s="180" t="s">
        <v>30</v>
      </c>
      <c r="G124" s="181">
        <v>4</v>
      </c>
      <c r="H124" s="135" t="s">
        <v>265</v>
      </c>
      <c r="K124" s="182"/>
      <c r="M124" s="266" t="str" cm="1">
        <f t="array" ref="M124">_xlfn.TEXTJOIN(",", TRUE, _xlfn._xlws.FILTER(適用号機!D:D, (適用号機!B:B=改定!F124)*(適用号機!C:C=改定!G124), ""))</f>
        <v/>
      </c>
      <c r="N124" s="142" t="str">
        <f t="shared" si="3"/>
        <v>05542-00114-04</v>
      </c>
      <c r="O124" s="122" t="s">
        <v>1702</v>
      </c>
    </row>
    <row r="125" spans="1:15">
      <c r="A125" s="140" t="s">
        <v>147</v>
      </c>
      <c r="B125" s="189" t="str">
        <f>_xlfn.XLOOKUP(F125,品番!B:B,品番!G:G)</f>
        <v>A12B</v>
      </c>
      <c r="C125" s="189" t="str">
        <f>_xlfn.XLOOKUP(F125,品番!B:B,品番!C:C)</f>
        <v>コントローラ</v>
      </c>
      <c r="D125" s="189" t="str">
        <f>_xlfn.XLOOKUP(F125,品番!B:B,品番!D:D)</f>
        <v>メイン</v>
      </c>
      <c r="E125" s="179">
        <v>46235</v>
      </c>
      <c r="F125" s="180" t="s">
        <v>150</v>
      </c>
      <c r="G125" s="183">
        <v>0</v>
      </c>
      <c r="H125" s="135"/>
      <c r="K125" s="182" t="s">
        <v>404</v>
      </c>
      <c r="L125" s="122" t="s">
        <v>151</v>
      </c>
      <c r="M125" s="266" t="str" cm="1">
        <f t="array" ref="M125">_xlfn.TEXTJOIN(",", TRUE, _xlfn._xlws.FILTER(適用号機!D:D, (適用号機!B:B=改定!F125)*(適用号機!C:C=改定!G125), ""))</f>
        <v xml:space="preserve">	A12B</v>
      </c>
      <c r="N125" s="142" t="str">
        <f t="shared" si="3"/>
        <v>05542-00143-00</v>
      </c>
      <c r="O125" s="122" t="s">
        <v>1702</v>
      </c>
    </row>
    <row r="126" spans="1:15">
      <c r="A126" s="140" t="s">
        <v>147</v>
      </c>
      <c r="B126" s="189" t="str">
        <f>_xlfn.XLOOKUP(F126,品番!B:B,品番!G:G)</f>
        <v>A12B</v>
      </c>
      <c r="C126" s="189" t="str">
        <f>_xlfn.XLOOKUP(F126,品番!B:B,品番!C:C)</f>
        <v>コントローラ</v>
      </c>
      <c r="D126" s="189" t="str">
        <f>_xlfn.XLOOKUP(F126,品番!B:B,品番!D:D)</f>
        <v>メイン</v>
      </c>
      <c r="E126" s="179">
        <v>46656</v>
      </c>
      <c r="F126" s="180" t="s">
        <v>150</v>
      </c>
      <c r="G126" s="183">
        <v>1</v>
      </c>
      <c r="H126" s="135"/>
      <c r="K126" s="182"/>
      <c r="M126" s="266" t="str" cm="1">
        <f t="array" ref="M126">_xlfn.TEXTJOIN(",", TRUE, _xlfn._xlws.FILTER(適用号機!D:D, (適用号機!B:B=改定!F126)*(適用号機!C:C=改定!G126), ""))</f>
        <v>A12B</v>
      </c>
      <c r="N126" s="142" t="str">
        <f t="shared" si="3"/>
        <v>05542-00143-01</v>
      </c>
      <c r="O126" s="122" t="s">
        <v>1702</v>
      </c>
    </row>
    <row r="127" spans="1:15">
      <c r="A127" s="140" t="s">
        <v>147</v>
      </c>
      <c r="B127" s="189" t="str">
        <f>_xlfn.XLOOKUP(F127,品番!B:B,品番!G:G)</f>
        <v>A12B</v>
      </c>
      <c r="C127" s="189" t="str">
        <f>_xlfn.XLOOKUP(F127,品番!B:B,品番!C:C)</f>
        <v>コントローラ</v>
      </c>
      <c r="D127" s="189" t="str">
        <f>_xlfn.XLOOKUP(F127,品番!B:B,品番!D:D)</f>
        <v>メイン</v>
      </c>
      <c r="E127" s="179">
        <v>46839</v>
      </c>
      <c r="F127" s="180" t="s">
        <v>150</v>
      </c>
      <c r="G127" s="183">
        <v>2</v>
      </c>
      <c r="H127" s="135"/>
      <c r="K127" s="182"/>
      <c r="M127" s="266" t="str" cm="1">
        <f t="array" ref="M127">_xlfn.TEXTJOIN(",", TRUE, _xlfn._xlws.FILTER(適用号機!D:D, (適用号機!B:B=改定!F127)*(適用号機!C:C=改定!G127), ""))</f>
        <v>A12B</v>
      </c>
      <c r="N127" s="142" t="str">
        <f t="shared" si="3"/>
        <v>05542-00143-02</v>
      </c>
      <c r="O127" s="122" t="s">
        <v>1702</v>
      </c>
    </row>
    <row r="128" spans="1:15">
      <c r="A128" s="140" t="s">
        <v>147</v>
      </c>
      <c r="B128" s="189" t="str">
        <f>_xlfn.XLOOKUP(F128,品番!B:B,品番!G:G)</f>
        <v>A12B</v>
      </c>
      <c r="C128" s="189" t="str">
        <f>_xlfn.XLOOKUP(F128,品番!B:B,品番!C:C)</f>
        <v>コントローラ</v>
      </c>
      <c r="D128" s="189" t="str">
        <f>_xlfn.XLOOKUP(F128,品番!B:B,品番!D:D)</f>
        <v>メイン</v>
      </c>
      <c r="E128" s="179">
        <v>47086</v>
      </c>
      <c r="F128" s="180" t="s">
        <v>150</v>
      </c>
      <c r="G128" s="183">
        <v>3</v>
      </c>
      <c r="H128" s="135"/>
      <c r="K128" s="182"/>
      <c r="M128" s="266" t="str" cm="1">
        <f t="array" ref="M128">_xlfn.TEXTJOIN(",", TRUE, _xlfn._xlws.FILTER(適用号機!D:D, (適用号機!B:B=改定!F128)*(適用号機!C:C=改定!G128), ""))</f>
        <v>A12B</v>
      </c>
      <c r="N128" s="142" t="str">
        <f t="shared" si="3"/>
        <v>05542-00143-03</v>
      </c>
      <c r="O128" s="122" t="s">
        <v>1702</v>
      </c>
    </row>
    <row r="129" spans="1:16">
      <c r="A129" s="140" t="s">
        <v>147</v>
      </c>
      <c r="B129" s="189" t="str">
        <f>_xlfn.XLOOKUP(F129,品番!B:B,品番!G:G)</f>
        <v>A12B</v>
      </c>
      <c r="C129" s="189" t="str">
        <f>_xlfn.XLOOKUP(F129,品番!B:B,品番!C:C)</f>
        <v>コントローラ</v>
      </c>
      <c r="D129" s="189" t="str">
        <f>_xlfn.XLOOKUP(F129,品番!B:B,品番!D:D)</f>
        <v>メイン</v>
      </c>
      <c r="E129" s="179">
        <v>47519</v>
      </c>
      <c r="F129" s="180" t="s">
        <v>150</v>
      </c>
      <c r="G129" s="183">
        <v>4</v>
      </c>
      <c r="H129" s="135"/>
      <c r="K129" s="182"/>
      <c r="M129" s="266" t="str" cm="1">
        <f t="array" ref="M129">_xlfn.TEXTJOIN(",", TRUE, _xlfn._xlws.FILTER(適用号機!D:D, (適用号機!B:B=改定!F129)*(適用号機!C:C=改定!G129), ""))</f>
        <v/>
      </c>
      <c r="N129" s="142" t="str">
        <f t="shared" si="3"/>
        <v>05542-00143-04</v>
      </c>
      <c r="O129" s="122" t="s">
        <v>1702</v>
      </c>
    </row>
    <row r="130" spans="1:16">
      <c r="A130" s="140" t="s">
        <v>147</v>
      </c>
      <c r="B130" s="189" t="str">
        <f>_xlfn.XLOOKUP(F130,品番!B:B,品番!G:G)</f>
        <v>A12B</v>
      </c>
      <c r="C130" s="189" t="str">
        <f>_xlfn.XLOOKUP(F130,品番!B:B,品番!C:C)</f>
        <v>コントローラ</v>
      </c>
      <c r="D130" s="189" t="str">
        <f>_xlfn.XLOOKUP(F130,品番!B:B,品番!D:D)</f>
        <v>メイン</v>
      </c>
      <c r="E130" s="179">
        <v>47975</v>
      </c>
      <c r="F130" s="180" t="s">
        <v>150</v>
      </c>
      <c r="G130" s="183">
        <v>5</v>
      </c>
      <c r="H130" s="135"/>
      <c r="K130" s="182"/>
      <c r="M130" s="266" t="str" cm="1">
        <f t="array" ref="M130">_xlfn.TEXTJOIN(",", TRUE, _xlfn._xlws.FILTER(適用号機!D:D, (適用号機!B:B=改定!F130)*(適用号機!C:C=改定!G130), ""))</f>
        <v xml:space="preserve">	A12B</v>
      </c>
      <c r="N130" s="142" t="str">
        <f t="shared" si="3"/>
        <v>05542-00143-05</v>
      </c>
      <c r="O130" s="122" t="s">
        <v>1702</v>
      </c>
    </row>
    <row r="131" spans="1:16">
      <c r="A131" s="140" t="s">
        <v>147</v>
      </c>
      <c r="B131" s="189" t="str">
        <f>_xlfn.XLOOKUP(F131,品番!B:B,品番!G:G)</f>
        <v>A12B</v>
      </c>
      <c r="C131" s="189" t="str">
        <f>_xlfn.XLOOKUP(F131,品番!B:B,品番!C:C)</f>
        <v>コントローラ</v>
      </c>
      <c r="D131" s="189" t="str">
        <f>_xlfn.XLOOKUP(F131,品番!B:B,品番!D:D)</f>
        <v>メイン</v>
      </c>
      <c r="E131" s="179">
        <v>55511</v>
      </c>
      <c r="F131" s="180" t="s">
        <v>150</v>
      </c>
      <c r="G131" s="183">
        <v>6</v>
      </c>
      <c r="H131" s="135" t="s">
        <v>322</v>
      </c>
      <c r="M131" s="266" t="str" cm="1">
        <f t="array" ref="M131">_xlfn.TEXTJOIN(",", TRUE, _xlfn._xlws.FILTER(適用号機!D:D, (適用号機!B:B=改定!F131)*(適用号機!C:C=改定!G131), ""))</f>
        <v/>
      </c>
      <c r="N131" s="142" t="str">
        <f t="shared" si="3"/>
        <v>05542-00143-06</v>
      </c>
      <c r="O131" s="122" t="s">
        <v>1702</v>
      </c>
    </row>
    <row r="132" spans="1:16">
      <c r="A132" s="122" t="s">
        <v>263</v>
      </c>
      <c r="B132" s="189" t="str">
        <f>_xlfn.XLOOKUP(F132,品番!B:B,品番!G:G)</f>
        <v>A12A</v>
      </c>
      <c r="C132" s="189" t="str">
        <f>_xlfn.XLOOKUP(F132,品番!B:B,品番!C:C)</f>
        <v>コントローラ</v>
      </c>
      <c r="D132" s="189" t="str">
        <f>_xlfn.XLOOKUP(F132,品番!B:B,品番!D:D)</f>
        <v>メイン</v>
      </c>
      <c r="E132" s="179">
        <v>46656</v>
      </c>
      <c r="F132" s="180" t="s">
        <v>32</v>
      </c>
      <c r="G132" s="181">
        <v>0</v>
      </c>
      <c r="K132" s="182"/>
      <c r="M132" s="266" t="str" cm="1">
        <f t="array" ref="M132">_xlfn.TEXTJOIN(",", TRUE, _xlfn._xlws.FILTER(適用号機!D:D, (適用号機!B:B=改定!F132)*(適用号機!C:C=改定!G132), ""))</f>
        <v>A12A,A12B</v>
      </c>
      <c r="N132" s="142" t="str">
        <f t="shared" si="3"/>
        <v>05542-00147-00</v>
      </c>
      <c r="O132" s="122" t="s">
        <v>1702</v>
      </c>
    </row>
    <row r="133" spans="1:16">
      <c r="A133" s="122" t="s">
        <v>263</v>
      </c>
      <c r="B133" s="189" t="str">
        <f>_xlfn.XLOOKUP(F133,品番!B:B,品番!G:G)</f>
        <v>A12A</v>
      </c>
      <c r="C133" s="189" t="str">
        <f>_xlfn.XLOOKUP(F133,品番!B:B,品番!C:C)</f>
        <v>コントローラ</v>
      </c>
      <c r="D133" s="189" t="str">
        <f>_xlfn.XLOOKUP(F133,品番!B:B,品番!D:D)</f>
        <v>メイン</v>
      </c>
      <c r="E133" s="179">
        <v>46839</v>
      </c>
      <c r="F133" s="180" t="s">
        <v>32</v>
      </c>
      <c r="G133" s="181">
        <v>1</v>
      </c>
      <c r="H133" s="125"/>
      <c r="K133" s="182"/>
      <c r="M133" s="266" t="str" cm="1">
        <f t="array" ref="M133">_xlfn.TEXTJOIN(",", TRUE, _xlfn._xlws.FILTER(適用号機!D:D, (適用号機!B:B=改定!F133)*(適用号機!C:C=改定!G133), ""))</f>
        <v>A12B,A12A</v>
      </c>
      <c r="N133" s="142" t="str">
        <f t="shared" si="3"/>
        <v>05542-00147-01</v>
      </c>
      <c r="O133" s="122" t="s">
        <v>1702</v>
      </c>
    </row>
    <row r="134" spans="1:16">
      <c r="A134" s="122" t="s">
        <v>263</v>
      </c>
      <c r="B134" s="189" t="str">
        <f>_xlfn.XLOOKUP(F134,品番!B:B,品番!G:G)</f>
        <v>A12A</v>
      </c>
      <c r="C134" s="189" t="str">
        <f>_xlfn.XLOOKUP(F134,品番!B:B,品番!C:C)</f>
        <v>コントローラ</v>
      </c>
      <c r="D134" s="189" t="str">
        <f>_xlfn.XLOOKUP(F134,品番!B:B,品番!D:D)</f>
        <v>メイン</v>
      </c>
      <c r="E134" s="179">
        <v>47519</v>
      </c>
      <c r="F134" s="180" t="s">
        <v>32</v>
      </c>
      <c r="G134" s="181">
        <v>2</v>
      </c>
      <c r="H134" s="125"/>
      <c r="K134" s="182"/>
      <c r="M134" s="266" t="str" cm="1">
        <f t="array" ref="M134">_xlfn.TEXTJOIN(",", TRUE, _xlfn._xlws.FILTER(適用号機!D:D, (適用号機!B:B=改定!F134)*(適用号機!C:C=改定!G134), ""))</f>
        <v/>
      </c>
      <c r="N134" s="142" t="str">
        <f t="shared" si="3"/>
        <v>05542-00147-02</v>
      </c>
      <c r="O134" s="122" t="s">
        <v>1702</v>
      </c>
    </row>
    <row r="135" spans="1:16">
      <c r="A135" s="122" t="s">
        <v>263</v>
      </c>
      <c r="B135" s="189" t="str">
        <f>_xlfn.XLOOKUP(F135,品番!B:B,品番!G:G)</f>
        <v>A12A</v>
      </c>
      <c r="C135" s="189" t="str">
        <f>_xlfn.XLOOKUP(F135,品番!B:B,品番!C:C)</f>
        <v>コントローラ</v>
      </c>
      <c r="D135" s="189" t="str">
        <f>_xlfn.XLOOKUP(F135,品番!B:B,品番!D:D)</f>
        <v>メイン</v>
      </c>
      <c r="E135" s="179">
        <v>48000</v>
      </c>
      <c r="F135" s="180" t="s">
        <v>32</v>
      </c>
      <c r="G135" s="181">
        <v>3</v>
      </c>
      <c r="H135" s="125"/>
      <c r="K135" s="182"/>
      <c r="M135" s="266" t="str" cm="1">
        <f t="array" ref="M135">_xlfn.TEXTJOIN(",", TRUE, _xlfn._xlws.FILTER(適用号機!D:D, (適用号機!B:B=改定!F135)*(適用号機!C:C=改定!G135), ""))</f>
        <v xml:space="preserve">	A12A,A12B</v>
      </c>
      <c r="N135" s="142" t="str">
        <f t="shared" si="3"/>
        <v>05542-00147-03</v>
      </c>
      <c r="O135" s="122" t="s">
        <v>1702</v>
      </c>
    </row>
    <row r="136" spans="1:16">
      <c r="A136" s="122" t="s">
        <v>263</v>
      </c>
      <c r="B136" s="189" t="str">
        <f>_xlfn.XLOOKUP(F136,品番!B:B,品番!G:G)</f>
        <v>A12A</v>
      </c>
      <c r="C136" s="189" t="str">
        <f>_xlfn.XLOOKUP(F136,品番!B:B,品番!C:C)</f>
        <v>コントローラ</v>
      </c>
      <c r="D136" s="189" t="str">
        <f>_xlfn.XLOOKUP(F136,品番!B:B,品番!D:D)</f>
        <v>メイン</v>
      </c>
      <c r="E136" s="179">
        <v>50466</v>
      </c>
      <c r="F136" s="180" t="s">
        <v>32</v>
      </c>
      <c r="G136" s="181">
        <v>4</v>
      </c>
      <c r="H136" s="125"/>
      <c r="K136" s="182"/>
      <c r="M136" s="266" t="str" cm="1">
        <f t="array" ref="M136">_xlfn.TEXTJOIN(",", TRUE, _xlfn._xlws.FILTER(適用号機!D:D, (適用号機!B:B=改定!F136)*(適用号機!C:C=改定!G136), ""))</f>
        <v/>
      </c>
      <c r="N136" s="142" t="str">
        <f t="shared" si="3"/>
        <v>05542-00147-04</v>
      </c>
      <c r="O136" s="122" t="s">
        <v>1702</v>
      </c>
    </row>
    <row r="137" spans="1:16">
      <c r="A137" s="122" t="s">
        <v>263</v>
      </c>
      <c r="B137" s="189" t="str">
        <f>_xlfn.XLOOKUP(F137,品番!B:B,品番!G:G)</f>
        <v>A12A</v>
      </c>
      <c r="C137" s="189" t="str">
        <f>_xlfn.XLOOKUP(F137,品番!B:B,品番!C:C)</f>
        <v>コントローラ</v>
      </c>
      <c r="D137" s="189" t="str">
        <f>_xlfn.XLOOKUP(F137,品番!B:B,品番!D:D)</f>
        <v>メイン</v>
      </c>
      <c r="E137" s="179">
        <v>55511</v>
      </c>
      <c r="F137" s="180" t="s">
        <v>32</v>
      </c>
      <c r="G137" s="181">
        <v>5</v>
      </c>
      <c r="H137" s="135" t="s">
        <v>266</v>
      </c>
      <c r="K137" s="182"/>
      <c r="M137" s="266" t="str" cm="1">
        <f t="array" ref="M137">_xlfn.TEXTJOIN(",", TRUE, _xlfn._xlws.FILTER(適用号機!D:D, (適用号機!B:B=改定!F137)*(適用号機!C:C=改定!G137), ""))</f>
        <v/>
      </c>
      <c r="N137" s="142" t="str">
        <f t="shared" si="3"/>
        <v>05542-00147-05</v>
      </c>
      <c r="O137" s="122" t="s">
        <v>1702</v>
      </c>
    </row>
    <row r="138" spans="1:16">
      <c r="A138" s="122" t="s">
        <v>268</v>
      </c>
      <c r="B138" s="189" t="str">
        <f>_xlfn.XLOOKUP(F138,品番!B:B,品番!G:G)</f>
        <v>A13A</v>
      </c>
      <c r="C138" s="189" t="str">
        <f>_xlfn.XLOOKUP(F138,品番!B:B,品番!C:C)</f>
        <v>コントローラ</v>
      </c>
      <c r="D138" s="189" t="str">
        <f>_xlfn.XLOOKUP(F138,品番!B:B,品番!D:D)</f>
        <v>メイン</v>
      </c>
      <c r="E138" s="179">
        <v>48185</v>
      </c>
      <c r="F138" s="180" t="s">
        <v>37</v>
      </c>
      <c r="G138" s="181">
        <v>0</v>
      </c>
      <c r="K138" s="182"/>
      <c r="M138" s="266" t="str" cm="1">
        <f t="array" ref="M138">_xlfn.TEXTJOIN(",", TRUE, _xlfn._xlws.FILTER(適用号機!D:D, (適用号機!B:B=改定!F138)*(適用号機!C:C=改定!G138), ""))</f>
        <v>A13A</v>
      </c>
      <c r="N138" s="142" t="str">
        <f t="shared" si="3"/>
        <v>05542-00173-00</v>
      </c>
      <c r="O138" s="122" t="s">
        <v>1702</v>
      </c>
    </row>
    <row r="139" spans="1:16">
      <c r="A139" s="122" t="s">
        <v>268</v>
      </c>
      <c r="B139" s="189" t="str">
        <f>_xlfn.XLOOKUP(F139,品番!B:B,品番!G:G)</f>
        <v>A13A</v>
      </c>
      <c r="C139" s="189" t="str">
        <f>_xlfn.XLOOKUP(F139,品番!B:B,品番!C:C)</f>
        <v>コントローラ</v>
      </c>
      <c r="D139" s="189" t="str">
        <f>_xlfn.XLOOKUP(F139,品番!B:B,品番!D:D)</f>
        <v>メイン</v>
      </c>
      <c r="E139" s="179">
        <v>49568</v>
      </c>
      <c r="F139" s="180" t="s">
        <v>37</v>
      </c>
      <c r="G139" s="181">
        <v>1</v>
      </c>
      <c r="H139" s="125"/>
      <c r="K139" s="182"/>
      <c r="M139" s="266" t="str" cm="1">
        <f t="array" ref="M139">_xlfn.TEXTJOIN(",", TRUE, _xlfn._xlws.FILTER(適用号機!D:D, (適用号機!B:B=改定!F139)*(適用号機!C:C=改定!G139), ""))</f>
        <v>A13A</v>
      </c>
      <c r="N139" s="142" t="str">
        <f t="shared" si="3"/>
        <v>05542-00173-01</v>
      </c>
      <c r="O139" s="122" t="s">
        <v>1702</v>
      </c>
    </row>
    <row r="140" spans="1:16">
      <c r="A140" s="122" t="s">
        <v>268</v>
      </c>
      <c r="B140" s="189" t="str">
        <f>_xlfn.XLOOKUP(F140,品番!B:B,品番!G:G)</f>
        <v>A13A</v>
      </c>
      <c r="C140" s="189" t="str">
        <f>_xlfn.XLOOKUP(F140,品番!B:B,品番!C:C)</f>
        <v>コントローラ</v>
      </c>
      <c r="D140" s="189" t="str">
        <f>_xlfn.XLOOKUP(F140,品番!B:B,品番!D:D)</f>
        <v>メイン</v>
      </c>
      <c r="E140" s="179">
        <v>50197</v>
      </c>
      <c r="F140" s="180" t="s">
        <v>37</v>
      </c>
      <c r="G140" s="181">
        <v>2</v>
      </c>
      <c r="H140" s="125"/>
      <c r="K140" s="182"/>
      <c r="M140" s="266" t="str" cm="1">
        <f t="array" ref="M140">_xlfn.TEXTJOIN(",", TRUE, _xlfn._xlws.FILTER(適用号機!D:D, (適用号機!B:B=改定!F140)*(適用号機!C:C=改定!G140), ""))</f>
        <v xml:space="preserve">	A13A</v>
      </c>
      <c r="N140" s="142" t="str">
        <f t="shared" si="3"/>
        <v>05542-00173-02</v>
      </c>
      <c r="O140" s="122" t="s">
        <v>1702</v>
      </c>
    </row>
    <row r="141" spans="1:16">
      <c r="A141" s="122" t="s">
        <v>268</v>
      </c>
      <c r="B141" s="189" t="str">
        <f>_xlfn.XLOOKUP(F141,品番!B:B,品番!G:G)</f>
        <v>A13A</v>
      </c>
      <c r="C141" s="189" t="str">
        <f>_xlfn.XLOOKUP(F141,品番!B:B,品番!C:C)</f>
        <v>コントローラ</v>
      </c>
      <c r="D141" s="189" t="str">
        <f>_xlfn.XLOOKUP(F141,品番!B:B,品番!D:D)</f>
        <v>メイン</v>
      </c>
      <c r="E141" s="179">
        <v>50888</v>
      </c>
      <c r="F141" s="180" t="s">
        <v>37</v>
      </c>
      <c r="G141" s="181">
        <v>3</v>
      </c>
      <c r="H141" s="125"/>
      <c r="K141" s="182"/>
      <c r="M141" s="266" t="str" cm="1">
        <f t="array" ref="M141">_xlfn.TEXTJOIN(",", TRUE, _xlfn._xlws.FILTER(適用号機!D:D, (適用号機!B:B=改定!F141)*(適用号機!C:C=改定!G141), ""))</f>
        <v xml:space="preserve">	A13A</v>
      </c>
      <c r="N141" s="142" t="str">
        <f t="shared" si="3"/>
        <v>05542-00173-03</v>
      </c>
      <c r="O141" s="122" t="s">
        <v>1702</v>
      </c>
      <c r="P141"/>
    </row>
    <row r="142" spans="1:16">
      <c r="A142" s="122" t="s">
        <v>268</v>
      </c>
      <c r="B142" s="189" t="str">
        <f>_xlfn.XLOOKUP(F142,品番!B:B,品番!G:G)</f>
        <v>A13A</v>
      </c>
      <c r="C142" s="189" t="str">
        <f>_xlfn.XLOOKUP(F142,品番!B:B,品番!C:C)</f>
        <v>コントローラ</v>
      </c>
      <c r="D142" s="189" t="str">
        <f>_xlfn.XLOOKUP(F142,品番!B:B,品番!D:D)</f>
        <v>メイン</v>
      </c>
      <c r="E142" s="179">
        <v>51119</v>
      </c>
      <c r="F142" s="180" t="s">
        <v>37</v>
      </c>
      <c r="G142" s="181">
        <v>4</v>
      </c>
      <c r="H142" s="125"/>
      <c r="K142" s="182"/>
      <c r="M142" s="266" t="str" cm="1">
        <f t="array" ref="M142">_xlfn.TEXTJOIN(",", TRUE, _xlfn._xlws.FILTER(適用号機!D:D, (適用号機!B:B=改定!F142)*(適用号機!C:C=改定!G142), ""))</f>
        <v xml:space="preserve">	A13A</v>
      </c>
      <c r="N142" s="142" t="str">
        <f t="shared" si="3"/>
        <v>05542-00173-04</v>
      </c>
      <c r="O142" s="122" t="s">
        <v>1702</v>
      </c>
      <c r="P142"/>
    </row>
    <row r="143" spans="1:16">
      <c r="A143" s="122" t="s">
        <v>268</v>
      </c>
      <c r="B143" s="189" t="str">
        <f>_xlfn.XLOOKUP(F143,品番!B:B,品番!G:G)</f>
        <v>A13A</v>
      </c>
      <c r="C143" s="189" t="str">
        <f>_xlfn.XLOOKUP(F143,品番!B:B,品番!C:C)</f>
        <v>コントローラ</v>
      </c>
      <c r="D143" s="189" t="str">
        <f>_xlfn.XLOOKUP(F143,品番!B:B,品番!D:D)</f>
        <v>メイン</v>
      </c>
      <c r="E143" s="179">
        <v>51427</v>
      </c>
      <c r="F143" s="180" t="s">
        <v>37</v>
      </c>
      <c r="G143" s="181">
        <v>5</v>
      </c>
      <c r="H143" s="125"/>
      <c r="K143" s="182"/>
      <c r="M143" s="266" t="str" cm="1">
        <f t="array" ref="M143">_xlfn.TEXTJOIN(",", TRUE, _xlfn._xlws.FILTER(適用号機!D:D, (適用号機!B:B=改定!F143)*(適用号機!C:C=改定!G143), ""))</f>
        <v>A13A</v>
      </c>
      <c r="N143" s="142" t="str">
        <f t="shared" si="3"/>
        <v>05542-00173-05</v>
      </c>
      <c r="O143" s="122" t="s">
        <v>1702</v>
      </c>
      <c r="P143"/>
    </row>
    <row r="144" spans="1:16">
      <c r="A144" s="122" t="s">
        <v>268</v>
      </c>
      <c r="B144" s="189" t="str">
        <f>_xlfn.XLOOKUP(F144,品番!B:B,品番!G:G)</f>
        <v>A13A</v>
      </c>
      <c r="C144" s="189" t="str">
        <f>_xlfn.XLOOKUP(F144,品番!B:B,品番!C:C)</f>
        <v>コントローラ</v>
      </c>
      <c r="D144" s="189" t="str">
        <f>_xlfn.XLOOKUP(F144,品番!B:B,品番!D:D)</f>
        <v>メイン</v>
      </c>
      <c r="E144" s="179">
        <v>51642</v>
      </c>
      <c r="F144" s="180" t="s">
        <v>37</v>
      </c>
      <c r="G144" s="181">
        <v>6</v>
      </c>
      <c r="H144" s="125"/>
      <c r="K144" s="182"/>
      <c r="M144" s="266" t="str" cm="1">
        <f t="array" ref="M144">_xlfn.TEXTJOIN(",", TRUE, _xlfn._xlws.FILTER(適用号機!D:D, (適用号機!B:B=改定!F144)*(適用号機!C:C=改定!G144), ""))</f>
        <v xml:space="preserve">	A13A</v>
      </c>
      <c r="N144" s="142" t="str">
        <f t="shared" si="3"/>
        <v>05542-00173-06</v>
      </c>
      <c r="O144" s="122" t="s">
        <v>1702</v>
      </c>
    </row>
    <row r="145" spans="1:16">
      <c r="A145" s="122" t="s">
        <v>268</v>
      </c>
      <c r="B145" s="189" t="str">
        <f>_xlfn.XLOOKUP(F145,品番!B:B,品番!G:G)</f>
        <v>A13A</v>
      </c>
      <c r="C145" s="189" t="str">
        <f>_xlfn.XLOOKUP(F145,品番!B:B,品番!C:C)</f>
        <v>コントローラ</v>
      </c>
      <c r="D145" s="189" t="str">
        <f>_xlfn.XLOOKUP(F145,品番!B:B,品番!D:D)</f>
        <v>メイン</v>
      </c>
      <c r="E145" s="179">
        <v>55511</v>
      </c>
      <c r="F145" s="180" t="s">
        <v>37</v>
      </c>
      <c r="G145" s="181">
        <v>7</v>
      </c>
      <c r="H145" s="122" t="s">
        <v>269</v>
      </c>
      <c r="K145" s="182"/>
      <c r="L145" s="122" t="s">
        <v>38</v>
      </c>
      <c r="M145" s="266" t="str" cm="1">
        <f t="array" ref="M145">_xlfn.TEXTJOIN(",", TRUE, _xlfn._xlws.FILTER(適用号機!D:D, (適用号機!B:B=改定!F145)*(適用号機!C:C=改定!G145), ""))</f>
        <v xml:space="preserve">	A13A</v>
      </c>
      <c r="N145" s="142" t="str">
        <f t="shared" si="3"/>
        <v>05542-00173-07</v>
      </c>
      <c r="O145" s="122" t="s">
        <v>1702</v>
      </c>
    </row>
    <row r="146" spans="1:16">
      <c r="A146" s="122" t="s">
        <v>263</v>
      </c>
      <c r="B146" s="189" t="str">
        <f>_xlfn.XLOOKUP(F146,品番!B:B,品番!G:G)</f>
        <v>A12A</v>
      </c>
      <c r="C146" s="189" t="str">
        <f>_xlfn.XLOOKUP(F146,品番!B:B,品番!C:C)</f>
        <v>コントローラ</v>
      </c>
      <c r="D146" s="189" t="str">
        <f>_xlfn.XLOOKUP(F146,品番!B:B,品番!D:D)</f>
        <v>メイン</v>
      </c>
      <c r="E146" s="179">
        <v>49584</v>
      </c>
      <c r="F146" s="180" t="s">
        <v>34</v>
      </c>
      <c r="G146" s="181">
        <v>0</v>
      </c>
      <c r="K146" s="182"/>
      <c r="M146" s="266" t="str" cm="1">
        <f t="array" ref="M146">_xlfn.TEXTJOIN(",", TRUE, _xlfn._xlws.FILTER(適用号機!D:D, (適用号機!B:B=改定!F146)*(適用号機!C:C=改定!G146), ""))</f>
        <v>A12A,	A12B</v>
      </c>
      <c r="N146" s="142" t="str">
        <f t="shared" ref="N146:N209" si="4">F146 &amp;"-" &amp; TEXT(G146,"00")</f>
        <v>05542-00326-00</v>
      </c>
      <c r="O146" s="122" t="s">
        <v>1702</v>
      </c>
    </row>
    <row r="147" spans="1:16">
      <c r="A147" s="122" t="s">
        <v>263</v>
      </c>
      <c r="B147" s="189" t="str">
        <f>_xlfn.XLOOKUP(F147,品番!B:B,品番!G:G)</f>
        <v>A12A</v>
      </c>
      <c r="C147" s="189" t="str">
        <f>_xlfn.XLOOKUP(F147,品番!B:B,品番!C:C)</f>
        <v>コントローラ</v>
      </c>
      <c r="D147" s="189" t="str">
        <f>_xlfn.XLOOKUP(F147,品番!B:B,品番!D:D)</f>
        <v>メイン</v>
      </c>
      <c r="E147" s="179">
        <v>50466</v>
      </c>
      <c r="F147" s="180" t="s">
        <v>34</v>
      </c>
      <c r="G147" s="181">
        <v>1</v>
      </c>
      <c r="H147" s="125"/>
      <c r="K147" s="182"/>
      <c r="M147" s="266" t="str" cm="1">
        <f t="array" ref="M147">_xlfn.TEXTJOIN(",", TRUE, _xlfn._xlws.FILTER(適用号機!D:D, (適用号機!B:B=改定!F147)*(適用号機!C:C=改定!G147), ""))</f>
        <v/>
      </c>
      <c r="N147" s="142" t="str">
        <f t="shared" si="4"/>
        <v>05542-00326-01</v>
      </c>
      <c r="O147" s="122" t="s">
        <v>1702</v>
      </c>
    </row>
    <row r="148" spans="1:16">
      <c r="A148" s="122" t="s">
        <v>263</v>
      </c>
      <c r="B148" s="189" t="str">
        <f>_xlfn.XLOOKUP(F148,品番!B:B,品番!G:G)</f>
        <v>A12A</v>
      </c>
      <c r="C148" s="189" t="str">
        <f>_xlfn.XLOOKUP(F148,品番!B:B,品番!C:C)</f>
        <v>コントローラ</v>
      </c>
      <c r="D148" s="189" t="str">
        <f>_xlfn.XLOOKUP(F148,品番!B:B,品番!D:D)</f>
        <v>メイン</v>
      </c>
      <c r="E148" s="179">
        <v>51486</v>
      </c>
      <c r="F148" s="180" t="s">
        <v>34</v>
      </c>
      <c r="G148" s="181">
        <v>2</v>
      </c>
      <c r="H148" s="125"/>
      <c r="K148" s="182"/>
      <c r="M148" s="266" t="str" cm="1">
        <f t="array" ref="M148">_xlfn.TEXTJOIN(",", TRUE, _xlfn._xlws.FILTER(適用号機!D:D, (適用号機!B:B=改定!F148)*(適用号機!C:C=改定!G148), ""))</f>
        <v>A12A,	A12B</v>
      </c>
      <c r="N148" s="142" t="str">
        <f t="shared" si="4"/>
        <v>05542-00326-02</v>
      </c>
      <c r="O148" s="122" t="s">
        <v>1702</v>
      </c>
    </row>
    <row r="149" spans="1:16">
      <c r="A149" s="122" t="s">
        <v>263</v>
      </c>
      <c r="B149" s="189" t="str">
        <f>_xlfn.XLOOKUP(F149,品番!B:B,品番!G:G)</f>
        <v>A12A</v>
      </c>
      <c r="C149" s="189" t="str">
        <f>_xlfn.XLOOKUP(F149,品番!B:B,品番!C:C)</f>
        <v>コントローラ</v>
      </c>
      <c r="D149" s="189" t="str">
        <f>_xlfn.XLOOKUP(F149,品番!B:B,品番!D:D)</f>
        <v>メイン</v>
      </c>
      <c r="E149" s="179">
        <v>54464</v>
      </c>
      <c r="F149" s="180" t="s">
        <v>34</v>
      </c>
      <c r="G149" s="181">
        <v>3</v>
      </c>
      <c r="H149" s="125" t="s">
        <v>1416</v>
      </c>
      <c r="K149" s="184" t="s">
        <v>1413</v>
      </c>
      <c r="M149" s="266" t="str" cm="1">
        <f t="array" ref="M149">_xlfn.TEXTJOIN(",", TRUE, _xlfn._xlws.FILTER(適用号機!D:D, (適用号機!B:B=改定!F149)*(適用号機!C:C=改定!G149), ""))</f>
        <v>A12A</v>
      </c>
      <c r="N149" s="142" t="str">
        <f t="shared" si="4"/>
        <v>05542-00326-03</v>
      </c>
      <c r="O149" s="122" t="s">
        <v>1702</v>
      </c>
    </row>
    <row r="150" spans="1:16">
      <c r="A150" s="122" t="s">
        <v>263</v>
      </c>
      <c r="B150" s="189" t="str">
        <f>_xlfn.XLOOKUP(F150,品番!B:B,品番!G:G)</f>
        <v>A12A</v>
      </c>
      <c r="C150" s="189" t="str">
        <f>_xlfn.XLOOKUP(F150,品番!B:B,品番!C:C)</f>
        <v>コントローラ</v>
      </c>
      <c r="D150" s="189" t="str">
        <f>_xlfn.XLOOKUP(F150,品番!B:B,品番!D:D)</f>
        <v>メイン</v>
      </c>
      <c r="E150" s="179">
        <v>55511</v>
      </c>
      <c r="F150" s="180" t="s">
        <v>34</v>
      </c>
      <c r="G150" s="181">
        <v>4</v>
      </c>
      <c r="H150" s="135" t="s">
        <v>267</v>
      </c>
      <c r="K150" s="182"/>
      <c r="M150" s="266" t="str" cm="1">
        <f t="array" ref="M150">_xlfn.TEXTJOIN(",", TRUE, _xlfn._xlws.FILTER(適用号機!D:D, (適用号機!B:B=改定!F150)*(適用号機!C:C=改定!G150), ""))</f>
        <v xml:space="preserve">	A12A,	A12B</v>
      </c>
      <c r="N150" s="142" t="str">
        <f t="shared" si="4"/>
        <v>05542-00326-04</v>
      </c>
      <c r="O150" s="122" t="s">
        <v>1702</v>
      </c>
    </row>
    <row r="151" spans="1:16">
      <c r="A151" s="122" t="s">
        <v>268</v>
      </c>
      <c r="B151" s="189" t="str">
        <f>_xlfn.XLOOKUP(F151,品番!B:B,品番!G:G)</f>
        <v>A13A</v>
      </c>
      <c r="C151" s="189" t="str">
        <f>_xlfn.XLOOKUP(F151,品番!B:B,品番!C:C)</f>
        <v>コントローラ</v>
      </c>
      <c r="D151" s="189" t="str">
        <f>_xlfn.XLOOKUP(F151,品番!B:B,品番!D:D)</f>
        <v>メイン</v>
      </c>
      <c r="E151" s="179">
        <v>52642</v>
      </c>
      <c r="F151" s="180" t="s">
        <v>39</v>
      </c>
      <c r="G151" s="181">
        <v>0</v>
      </c>
      <c r="K151" s="182"/>
      <c r="M151" s="266" t="str" cm="1">
        <f t="array" ref="M151">_xlfn.TEXTJOIN(",", TRUE, _xlfn._xlws.FILTER(適用号機!D:D, (適用号機!B:B=改定!F151)*(適用号機!C:C=改定!G151), ""))</f>
        <v/>
      </c>
      <c r="N151" s="142" t="str">
        <f t="shared" si="4"/>
        <v>05542-00411-00</v>
      </c>
      <c r="O151" s="122" t="s">
        <v>1702</v>
      </c>
    </row>
    <row r="152" spans="1:16">
      <c r="A152" s="122" t="s">
        <v>268</v>
      </c>
      <c r="B152" s="189" t="str">
        <f>_xlfn.XLOOKUP(F152,品番!B:B,品番!G:G)</f>
        <v>A13A</v>
      </c>
      <c r="C152" s="189" t="str">
        <f>_xlfn.XLOOKUP(F152,品番!B:B,品番!C:C)</f>
        <v>コントローラ</v>
      </c>
      <c r="D152" s="189" t="str">
        <f>_xlfn.XLOOKUP(F152,品番!B:B,品番!D:D)</f>
        <v>メイン</v>
      </c>
      <c r="E152" s="179">
        <v>53256</v>
      </c>
      <c r="F152" s="180" t="s">
        <v>39</v>
      </c>
      <c r="G152" s="181">
        <v>1</v>
      </c>
      <c r="H152" s="125"/>
      <c r="K152" s="182"/>
      <c r="M152" s="266" t="str" cm="1">
        <f t="array" ref="M152">_xlfn.TEXTJOIN(",", TRUE, _xlfn._xlws.FILTER(適用号機!D:D, (適用号機!B:B=改定!F152)*(適用号機!C:C=改定!G152), ""))</f>
        <v>A13A</v>
      </c>
      <c r="N152" s="142" t="str">
        <f t="shared" si="4"/>
        <v>05542-00411-01</v>
      </c>
      <c r="O152" s="122" t="s">
        <v>1702</v>
      </c>
    </row>
    <row r="153" spans="1:16">
      <c r="A153" s="122" t="s">
        <v>268</v>
      </c>
      <c r="B153" s="189" t="str">
        <f>_xlfn.XLOOKUP(F153,品番!B:B,品番!G:G)</f>
        <v>A13A</v>
      </c>
      <c r="C153" s="189" t="str">
        <f>_xlfn.XLOOKUP(F153,品番!B:B,品番!C:C)</f>
        <v>コントローラ</v>
      </c>
      <c r="D153" s="189" t="str">
        <f>_xlfn.XLOOKUP(F153,品番!B:B,品番!D:D)</f>
        <v>メイン</v>
      </c>
      <c r="E153" s="179">
        <v>53346</v>
      </c>
      <c r="F153" s="180" t="s">
        <v>39</v>
      </c>
      <c r="G153" s="181">
        <v>2</v>
      </c>
      <c r="H153" s="125"/>
      <c r="K153" s="182"/>
      <c r="M153" s="266" t="str" cm="1">
        <f t="array" ref="M153">_xlfn.TEXTJOIN(",", TRUE, _xlfn._xlws.FILTER(適用号機!D:D, (適用号機!B:B=改定!F153)*(適用号機!C:C=改定!G153), ""))</f>
        <v>A13A,	A13A</v>
      </c>
      <c r="N153" s="142" t="str">
        <f t="shared" si="4"/>
        <v>05542-00411-02</v>
      </c>
      <c r="O153" s="122" t="s">
        <v>1702</v>
      </c>
    </row>
    <row r="154" spans="1:16">
      <c r="A154" s="122" t="s">
        <v>268</v>
      </c>
      <c r="B154" s="189" t="str">
        <f>_xlfn.XLOOKUP(F154,品番!B:B,品番!G:G)</f>
        <v>A13A</v>
      </c>
      <c r="C154" s="189" t="str">
        <f>_xlfn.XLOOKUP(F154,品番!B:B,品番!C:C)</f>
        <v>コントローラ</v>
      </c>
      <c r="D154" s="189" t="str">
        <f>_xlfn.XLOOKUP(F154,品番!B:B,品番!D:D)</f>
        <v>メイン</v>
      </c>
      <c r="E154" s="179">
        <v>53838</v>
      </c>
      <c r="F154" s="180" t="s">
        <v>39</v>
      </c>
      <c r="G154" s="181">
        <v>3</v>
      </c>
      <c r="H154" s="125"/>
      <c r="K154" s="182"/>
      <c r="M154" s="266" t="str" cm="1">
        <f t="array" ref="M154">_xlfn.TEXTJOIN(",", TRUE, _xlfn._xlws.FILTER(適用号機!D:D, (適用号機!B:B=改定!F154)*(適用号機!C:C=改定!G154), ""))</f>
        <v>A13A</v>
      </c>
      <c r="N154" s="142" t="str">
        <f t="shared" si="4"/>
        <v>05542-00411-03</v>
      </c>
      <c r="O154" s="122" t="s">
        <v>1702</v>
      </c>
    </row>
    <row r="155" spans="1:16">
      <c r="A155" s="122" t="s">
        <v>268</v>
      </c>
      <c r="B155" s="189" t="str">
        <f>_xlfn.XLOOKUP(F155,品番!B:B,品番!G:G)</f>
        <v>A13A</v>
      </c>
      <c r="C155" s="189" t="str">
        <f>_xlfn.XLOOKUP(F155,品番!B:B,品番!C:C)</f>
        <v>コントローラ</v>
      </c>
      <c r="D155" s="189" t="str">
        <f>_xlfn.XLOOKUP(F155,品番!B:B,品番!D:D)</f>
        <v>メイン</v>
      </c>
      <c r="E155" s="179">
        <v>54536</v>
      </c>
      <c r="F155" s="180" t="s">
        <v>39</v>
      </c>
      <c r="G155" s="181">
        <v>4</v>
      </c>
      <c r="H155" s="125" t="s">
        <v>1421</v>
      </c>
      <c r="K155" s="182" t="s">
        <v>1422</v>
      </c>
      <c r="M155" s="266" t="str" cm="1">
        <f t="array" ref="M155">_xlfn.TEXTJOIN(",", TRUE, _xlfn._xlws.FILTER(適用号機!D:D, (適用号機!B:B=改定!F155)*(適用号機!C:C=改定!G155), ""))</f>
        <v xml:space="preserve">	A13A</v>
      </c>
      <c r="N155" s="142" t="str">
        <f t="shared" si="4"/>
        <v>05542-00411-04</v>
      </c>
      <c r="O155" s="122" t="s">
        <v>1702</v>
      </c>
    </row>
    <row r="156" spans="1:16">
      <c r="A156" s="122" t="s">
        <v>268</v>
      </c>
      <c r="B156" s="189" t="str">
        <f>_xlfn.XLOOKUP(F156,品番!B:B,品番!G:G)</f>
        <v>A13A</v>
      </c>
      <c r="C156" s="189" t="str">
        <f>_xlfn.XLOOKUP(F156,品番!B:B,品番!C:C)</f>
        <v>コントローラ</v>
      </c>
      <c r="D156" s="189" t="str">
        <f>_xlfn.XLOOKUP(F156,品番!B:B,品番!D:D)</f>
        <v>メイン</v>
      </c>
      <c r="E156" s="179">
        <v>54790</v>
      </c>
      <c r="F156" s="180" t="s">
        <v>39</v>
      </c>
      <c r="G156" s="181">
        <v>5</v>
      </c>
      <c r="H156" s="125"/>
      <c r="K156" s="182"/>
      <c r="M156" s="266" t="str" cm="1">
        <f t="array" ref="M156">_xlfn.TEXTJOIN(",", TRUE, _xlfn._xlws.FILTER(適用号機!D:D, (適用号機!B:B=改定!F156)*(適用号機!C:C=改定!G156), ""))</f>
        <v xml:space="preserve">	A13A</v>
      </c>
      <c r="N156" s="142" t="str">
        <f t="shared" si="4"/>
        <v>05542-00411-05</v>
      </c>
      <c r="O156" s="122" t="s">
        <v>1702</v>
      </c>
      <c r="P156"/>
    </row>
    <row r="157" spans="1:16">
      <c r="A157" s="122" t="s">
        <v>268</v>
      </c>
      <c r="B157" s="189" t="str">
        <f>_xlfn.XLOOKUP(F157,品番!B:B,品番!G:G)</f>
        <v>A13A</v>
      </c>
      <c r="C157" s="189" t="str">
        <f>_xlfn.XLOOKUP(F157,品番!B:B,品番!C:C)</f>
        <v>コントローラ</v>
      </c>
      <c r="D157" s="189" t="str">
        <f>_xlfn.XLOOKUP(F157,品番!B:B,品番!D:D)</f>
        <v>メイン</v>
      </c>
      <c r="E157" s="179">
        <v>55857</v>
      </c>
      <c r="F157" s="180" t="s">
        <v>39</v>
      </c>
      <c r="G157" s="181">
        <v>6</v>
      </c>
      <c r="H157" s="125"/>
      <c r="K157" s="182"/>
      <c r="M157" s="266" t="str" cm="1">
        <f t="array" ref="M157">_xlfn.TEXTJOIN(",", TRUE, _xlfn._xlws.FILTER(適用号機!D:D, (適用号機!B:B=改定!F157)*(適用号機!C:C=改定!G157), ""))</f>
        <v xml:space="preserve">	A13A</v>
      </c>
      <c r="N157" s="142" t="str">
        <f t="shared" si="4"/>
        <v>05542-00411-06</v>
      </c>
      <c r="O157" s="122" t="s">
        <v>1702</v>
      </c>
    </row>
    <row r="158" spans="1:16">
      <c r="A158" s="122" t="s">
        <v>268</v>
      </c>
      <c r="B158" s="189" t="str">
        <f>_xlfn.XLOOKUP(F158,品番!B:B,品番!G:G)</f>
        <v>A13A</v>
      </c>
      <c r="C158" s="189" t="str">
        <f>_xlfn.XLOOKUP(F158,品番!B:B,品番!C:C)</f>
        <v>コントローラ</v>
      </c>
      <c r="D158" s="189" t="str">
        <f>_xlfn.XLOOKUP(F158,品番!B:B,品番!D:D)</f>
        <v>メイン</v>
      </c>
      <c r="E158" s="179">
        <v>60239</v>
      </c>
      <c r="F158" s="180" t="s">
        <v>39</v>
      </c>
      <c r="G158" s="181">
        <v>7</v>
      </c>
      <c r="H158" s="125"/>
      <c r="K158" s="182"/>
      <c r="M158" s="266" t="str" cm="1">
        <f t="array" ref="M158">_xlfn.TEXTJOIN(",", TRUE, _xlfn._xlws.FILTER(適用号機!D:D, (適用号機!B:B=改定!F158)*(適用号機!C:C=改定!G158), ""))</f>
        <v xml:space="preserve">	A13A</v>
      </c>
      <c r="N158" s="142" t="str">
        <f t="shared" si="4"/>
        <v>05542-00411-07</v>
      </c>
      <c r="O158" s="122" t="s">
        <v>1702</v>
      </c>
    </row>
    <row r="159" spans="1:16">
      <c r="A159" s="122" t="s">
        <v>268</v>
      </c>
      <c r="B159" s="189" t="str">
        <f>_xlfn.XLOOKUP(F159,品番!B:B,品番!G:G)</f>
        <v>A13A</v>
      </c>
      <c r="C159" s="189" t="str">
        <f>_xlfn.XLOOKUP(F159,品番!B:B,品番!C:C)</f>
        <v>コントローラ</v>
      </c>
      <c r="D159" s="189" t="str">
        <f>_xlfn.XLOOKUP(F159,品番!B:B,品番!D:D)</f>
        <v>メイン</v>
      </c>
      <c r="E159" s="179" t="s">
        <v>1660</v>
      </c>
      <c r="F159" s="180" t="s">
        <v>39</v>
      </c>
      <c r="G159" s="181">
        <v>8</v>
      </c>
      <c r="H159" s="122" t="s">
        <v>265</v>
      </c>
      <c r="K159" s="182"/>
      <c r="L159" s="122" t="s">
        <v>40</v>
      </c>
      <c r="M159" s="266" t="str" cm="1">
        <f t="array" ref="M159">_xlfn.TEXTJOIN(",", TRUE, _xlfn._xlws.FILTER(適用号機!D:D, (適用号機!B:B=改定!F159)*(適用号機!C:C=改定!G159), ""))</f>
        <v xml:space="preserve">	A13A</v>
      </c>
      <c r="N159" s="142" t="str">
        <f t="shared" si="4"/>
        <v>05542-00411-08</v>
      </c>
      <c r="O159" s="122" t="s">
        <v>1702</v>
      </c>
    </row>
    <row r="160" spans="1:16">
      <c r="A160" s="122" t="s">
        <v>268</v>
      </c>
      <c r="B160" s="189" t="str">
        <f>_xlfn.XLOOKUP(F160,品番!B:B,品番!G:G)</f>
        <v>A13A</v>
      </c>
      <c r="C160" s="189" t="str">
        <f>_xlfn.XLOOKUP(F160,品番!B:B,品番!C:C)</f>
        <v>コントローラ</v>
      </c>
      <c r="D160" s="189" t="str">
        <f>_xlfn.XLOOKUP(F160,品番!B:B,品番!D:D)</f>
        <v>メイン</v>
      </c>
      <c r="E160" s="179">
        <v>61312</v>
      </c>
      <c r="F160" s="180" t="s">
        <v>41</v>
      </c>
      <c r="G160" s="181">
        <v>0</v>
      </c>
      <c r="K160" s="182"/>
      <c r="M160" s="266" t="str" cm="1">
        <f t="array" ref="M160">_xlfn.TEXTJOIN(",", TRUE, _xlfn._xlws.FILTER(適用号機!D:D, (適用号機!B:B=改定!F160)*(適用号機!C:C=改定!G160), ""))</f>
        <v>A13A</v>
      </c>
      <c r="N160" s="142" t="str">
        <f t="shared" si="4"/>
        <v>05542-00412-00</v>
      </c>
      <c r="O160" s="122" t="s">
        <v>1702</v>
      </c>
    </row>
    <row r="161" spans="1:15">
      <c r="A161" s="122" t="s">
        <v>268</v>
      </c>
      <c r="B161" s="189" t="str">
        <f>_xlfn.XLOOKUP(F161,品番!B:B,品番!G:G)</f>
        <v>A13A</v>
      </c>
      <c r="C161" s="189" t="str">
        <f>_xlfn.XLOOKUP(F161,品番!B:B,品番!C:C)</f>
        <v>コントローラ</v>
      </c>
      <c r="D161" s="189" t="str">
        <f>_xlfn.XLOOKUP(F161,品番!B:B,品番!D:D)</f>
        <v>メイン</v>
      </c>
      <c r="E161" s="179">
        <v>61591</v>
      </c>
      <c r="F161" s="180" t="s">
        <v>41</v>
      </c>
      <c r="G161" s="181">
        <v>1</v>
      </c>
      <c r="H161" s="125"/>
      <c r="K161" s="182"/>
      <c r="M161" s="266" t="str" cm="1">
        <f t="array" ref="M161">_xlfn.TEXTJOIN(",", TRUE, _xlfn._xlws.FILTER(適用号機!D:D, (適用号機!B:B=改定!F161)*(適用号機!C:C=改定!G161), ""))</f>
        <v>A13A</v>
      </c>
      <c r="N161" s="142" t="str">
        <f t="shared" si="4"/>
        <v>05542-00412-01</v>
      </c>
      <c r="O161" s="122" t="s">
        <v>1702</v>
      </c>
    </row>
    <row r="162" spans="1:15">
      <c r="A162" s="122" t="s">
        <v>268</v>
      </c>
      <c r="B162" s="189" t="str">
        <f>_xlfn.XLOOKUP(F162,品番!B:B,品番!G:G)</f>
        <v>A13A</v>
      </c>
      <c r="C162" s="189" t="str">
        <f>_xlfn.XLOOKUP(F162,品番!B:B,品番!C:C)</f>
        <v>コントローラ</v>
      </c>
      <c r="D162" s="189" t="str">
        <f>_xlfn.XLOOKUP(F162,品番!B:B,品番!D:D)</f>
        <v>メイン</v>
      </c>
      <c r="E162" s="179">
        <v>62717</v>
      </c>
      <c r="F162" s="180" t="s">
        <v>41</v>
      </c>
      <c r="G162" s="181">
        <v>2</v>
      </c>
      <c r="H162" s="125" t="s">
        <v>270</v>
      </c>
      <c r="K162" s="182"/>
      <c r="M162" s="266" t="str" cm="1">
        <f t="array" ref="M162">_xlfn.TEXTJOIN(",", TRUE, _xlfn._xlws.FILTER(適用号機!D:D, (適用号機!B:B=改定!F162)*(適用号機!C:C=改定!G162), ""))</f>
        <v>A13A</v>
      </c>
      <c r="N162" s="142" t="str">
        <f t="shared" si="4"/>
        <v>05542-00412-02</v>
      </c>
      <c r="O162" s="122" t="s">
        <v>1702</v>
      </c>
    </row>
    <row r="163" spans="1:15">
      <c r="A163" s="140" t="s">
        <v>147</v>
      </c>
      <c r="B163" s="189" t="str">
        <f>_xlfn.XLOOKUP(F163,品番!B:B,品番!G:G)</f>
        <v>A12B</v>
      </c>
      <c r="C163" s="189" t="str">
        <f>_xlfn.XLOOKUP(F163,品番!B:B,品番!C:C)</f>
        <v>コントローラ</v>
      </c>
      <c r="D163" s="189" t="str">
        <f>_xlfn.XLOOKUP(F163,品番!B:B,品番!D:D)</f>
        <v>メイン</v>
      </c>
      <c r="E163" s="179">
        <v>53811</v>
      </c>
      <c r="F163" s="180" t="s">
        <v>152</v>
      </c>
      <c r="G163" s="183">
        <v>0</v>
      </c>
      <c r="H163" s="135"/>
      <c r="K163" s="182" t="s">
        <v>405</v>
      </c>
      <c r="L163" s="122" t="s">
        <v>153</v>
      </c>
      <c r="M163" s="266" t="str" cm="1">
        <f t="array" ref="M163">_xlfn.TEXTJOIN(",", TRUE, _xlfn._xlws.FILTER(適用号機!D:D, (適用号機!B:B=改定!F163)*(適用号機!C:C=改定!G163), ""))</f>
        <v xml:space="preserve">	A12B</v>
      </c>
      <c r="N163" s="142" t="str">
        <f t="shared" si="4"/>
        <v>05542-00425-00</v>
      </c>
      <c r="O163" s="122" t="s">
        <v>1702</v>
      </c>
    </row>
    <row r="164" spans="1:15">
      <c r="A164" s="140" t="s">
        <v>147</v>
      </c>
      <c r="B164" s="189" t="str">
        <f>_xlfn.XLOOKUP(F164,品番!B:B,品番!G:G)</f>
        <v>A12B</v>
      </c>
      <c r="C164" s="189" t="str">
        <f>_xlfn.XLOOKUP(F164,品番!B:B,品番!C:C)</f>
        <v>コントローラ</v>
      </c>
      <c r="D164" s="189" t="str">
        <f>_xlfn.XLOOKUP(F164,品番!B:B,品番!D:D)</f>
        <v>メイン</v>
      </c>
      <c r="E164" s="179">
        <v>54464</v>
      </c>
      <c r="F164" s="180" t="s">
        <v>152</v>
      </c>
      <c r="G164" s="183">
        <v>1</v>
      </c>
      <c r="H164" s="135" t="s">
        <v>1417</v>
      </c>
      <c r="K164" s="184" t="s">
        <v>1413</v>
      </c>
      <c r="M164" s="266" t="str" cm="1">
        <f t="array" ref="M164">_xlfn.TEXTJOIN(",", TRUE, _xlfn._xlws.FILTER(適用号機!D:D, (適用号機!B:B=改定!F164)*(適用号機!C:C=改定!G164), ""))</f>
        <v xml:space="preserve">	A12B</v>
      </c>
      <c r="N164" s="142" t="str">
        <f t="shared" si="4"/>
        <v>05542-00425-01</v>
      </c>
      <c r="O164" s="122" t="s">
        <v>1702</v>
      </c>
    </row>
    <row r="165" spans="1:15">
      <c r="A165" s="140" t="s">
        <v>147</v>
      </c>
      <c r="B165" s="189" t="str">
        <f>_xlfn.XLOOKUP(F165,品番!B:B,品番!G:G)</f>
        <v>A12B</v>
      </c>
      <c r="C165" s="189" t="str">
        <f>_xlfn.XLOOKUP(F165,品番!B:B,品番!C:C)</f>
        <v>コントローラ</v>
      </c>
      <c r="D165" s="189" t="str">
        <f>_xlfn.XLOOKUP(F165,品番!B:B,品番!D:D)</f>
        <v>メイン</v>
      </c>
      <c r="E165" s="179">
        <v>55511</v>
      </c>
      <c r="F165" s="180" t="s">
        <v>152</v>
      </c>
      <c r="G165" s="183">
        <v>2</v>
      </c>
      <c r="H165" s="135" t="s">
        <v>406</v>
      </c>
      <c r="M165" s="266" t="str" cm="1">
        <f t="array" ref="M165">_xlfn.TEXTJOIN(",", TRUE, _xlfn._xlws.FILTER(適用号機!D:D, (適用号機!B:B=改定!F165)*(適用号機!C:C=改定!G165), ""))</f>
        <v xml:space="preserve">	A12B</v>
      </c>
      <c r="N165" s="142" t="str">
        <f t="shared" si="4"/>
        <v>05542-00425-02</v>
      </c>
      <c r="O165" s="122" t="s">
        <v>1702</v>
      </c>
    </row>
    <row r="166" spans="1:15">
      <c r="A166" s="122" t="s">
        <v>245</v>
      </c>
      <c r="B166" s="189" t="str">
        <f>_xlfn.XLOOKUP(F166,品番!B:B,品番!G:G)</f>
        <v>A13AW</v>
      </c>
      <c r="C166" s="189" t="str">
        <f>_xlfn.XLOOKUP(F166,品番!B:B,品番!C:C)</f>
        <v>コントローラ</v>
      </c>
      <c r="D166" s="189" t="str">
        <f>_xlfn.XLOOKUP(F166,品番!B:B,品番!D:D)</f>
        <v>メイン</v>
      </c>
      <c r="E166" s="179">
        <v>55438</v>
      </c>
      <c r="F166" s="180" t="s">
        <v>246</v>
      </c>
      <c r="G166" s="181">
        <v>0</v>
      </c>
      <c r="H166" s="142"/>
      <c r="I166" s="142"/>
      <c r="J166" s="142"/>
      <c r="K166" s="142" t="s">
        <v>187</v>
      </c>
      <c r="L166" s="142" t="s">
        <v>219</v>
      </c>
      <c r="M166" s="266" t="str" cm="1">
        <f t="array" ref="M166">_xlfn.TEXTJOIN(",", TRUE, _xlfn._xlws.FILTER(適用号機!D:D, (適用号機!B:B=改定!F166)*(適用号機!C:C=改定!G166), ""))</f>
        <v xml:space="preserve">	A13AW</v>
      </c>
      <c r="N166" s="142" t="str">
        <f t="shared" si="4"/>
        <v>05542-00549-00</v>
      </c>
      <c r="O166" s="122" t="s">
        <v>1702</v>
      </c>
    </row>
    <row r="167" spans="1:15">
      <c r="A167" s="122" t="s">
        <v>245</v>
      </c>
      <c r="B167" s="189" t="str">
        <f>_xlfn.XLOOKUP(F167,品番!B:B,品番!G:G)</f>
        <v>A13AW</v>
      </c>
      <c r="C167" s="189" t="str">
        <f>_xlfn.XLOOKUP(F167,品番!B:B,品番!C:C)</f>
        <v>コントローラ</v>
      </c>
      <c r="D167" s="189" t="str">
        <f>_xlfn.XLOOKUP(F167,品番!B:B,品番!D:D)</f>
        <v>メイン</v>
      </c>
      <c r="E167" s="179">
        <v>60282</v>
      </c>
      <c r="F167" s="180" t="s">
        <v>246</v>
      </c>
      <c r="G167" s="181">
        <v>1</v>
      </c>
      <c r="H167" s="142" t="s">
        <v>364</v>
      </c>
      <c r="I167" s="143" t="s">
        <v>47</v>
      </c>
      <c r="J167" s="143" t="s">
        <v>47</v>
      </c>
      <c r="M167" s="266" t="str" cm="1">
        <f t="array" ref="M167">_xlfn.TEXTJOIN(",", TRUE, _xlfn._xlws.FILTER(適用号機!D:D, (適用号機!B:B=改定!F167)*(適用号機!C:C=改定!G167), ""))</f>
        <v>A13AW</v>
      </c>
      <c r="N167" s="142" t="str">
        <f t="shared" si="4"/>
        <v>05542-00549-01</v>
      </c>
      <c r="O167" s="122" t="s">
        <v>1702</v>
      </c>
    </row>
    <row r="168" spans="1:15">
      <c r="A168" s="122" t="s">
        <v>245</v>
      </c>
      <c r="B168" s="189" t="str">
        <f>_xlfn.XLOOKUP(F168,品番!B:B,品番!G:G)</f>
        <v>A13AW</v>
      </c>
      <c r="C168" s="189" t="str">
        <f>_xlfn.XLOOKUP(F168,品番!B:B,品番!C:C)</f>
        <v>コントローラ</v>
      </c>
      <c r="D168" s="189" t="str">
        <f>_xlfn.XLOOKUP(F168,品番!B:B,品番!D:D)</f>
        <v>メイン</v>
      </c>
      <c r="E168" s="179">
        <v>62540</v>
      </c>
      <c r="F168" s="180" t="s">
        <v>246</v>
      </c>
      <c r="G168" s="181">
        <v>2</v>
      </c>
      <c r="M168" s="266" t="str" cm="1">
        <f t="array" ref="M168">_xlfn.TEXTJOIN(",", TRUE, _xlfn._xlws.FILTER(適用号機!D:D, (適用号機!B:B=改定!F168)*(適用号機!C:C=改定!G168), ""))</f>
        <v/>
      </c>
      <c r="N168" s="142" t="str">
        <f t="shared" si="4"/>
        <v>05542-00549-02</v>
      </c>
      <c r="O168" s="122" t="s">
        <v>1702</v>
      </c>
    </row>
    <row r="169" spans="1:15">
      <c r="A169" s="122" t="s">
        <v>245</v>
      </c>
      <c r="B169" s="189" t="str">
        <f>_xlfn.XLOOKUP(F169,品番!B:B,品番!G:G)</f>
        <v>A13AW</v>
      </c>
      <c r="C169" s="189" t="str">
        <f>_xlfn.XLOOKUP(F169,品番!B:B,品番!C:C)</f>
        <v>コントローラ</v>
      </c>
      <c r="D169" s="189" t="str">
        <f>_xlfn.XLOOKUP(F169,品番!B:B,品番!D:D)</f>
        <v>メイン</v>
      </c>
      <c r="E169" s="179">
        <v>62765</v>
      </c>
      <c r="F169" s="180" t="s">
        <v>246</v>
      </c>
      <c r="G169" s="181">
        <v>3</v>
      </c>
      <c r="M169" s="266" t="str" cm="1">
        <f t="array" ref="M169">_xlfn.TEXTJOIN(",", TRUE, _xlfn._xlws.FILTER(適用号機!D:D, (適用号機!B:B=改定!F169)*(適用号機!C:C=改定!G169), ""))</f>
        <v/>
      </c>
      <c r="N169" s="142" t="str">
        <f t="shared" si="4"/>
        <v>05542-00549-03</v>
      </c>
      <c r="O169" s="122" t="s">
        <v>1702</v>
      </c>
    </row>
    <row r="170" spans="1:15">
      <c r="A170" s="122" t="s">
        <v>245</v>
      </c>
      <c r="B170" s="189" t="str">
        <f>_xlfn.XLOOKUP(F170,品番!B:B,品番!G:G)</f>
        <v>A13AW</v>
      </c>
      <c r="C170" s="189" t="str">
        <f>_xlfn.XLOOKUP(F170,品番!B:B,品番!C:C)</f>
        <v>コントローラ</v>
      </c>
      <c r="D170" s="189" t="str">
        <f>_xlfn.XLOOKUP(F170,品番!B:B,品番!D:D)</f>
        <v>メイン</v>
      </c>
      <c r="E170" s="179">
        <v>61312</v>
      </c>
      <c r="F170" s="180" t="s">
        <v>480</v>
      </c>
      <c r="G170" s="181">
        <v>0</v>
      </c>
      <c r="H170" s="142"/>
      <c r="I170" s="143"/>
      <c r="J170" s="143"/>
      <c r="L170" s="142" t="s">
        <v>42</v>
      </c>
      <c r="M170" s="266" t="str" cm="1">
        <f t="array" ref="M170">_xlfn.TEXTJOIN(",", TRUE, _xlfn._xlws.FILTER(適用号機!D:D, (適用号機!B:B=改定!F170)*(適用号機!C:C=改定!G170), ""))</f>
        <v>A13AW</v>
      </c>
      <c r="N170" s="142" t="str">
        <f t="shared" si="4"/>
        <v>05542-00559-00</v>
      </c>
      <c r="O170" s="122" t="s">
        <v>1702</v>
      </c>
    </row>
    <row r="171" spans="1:15">
      <c r="A171" s="122" t="s">
        <v>245</v>
      </c>
      <c r="B171" s="189" t="str">
        <f>_xlfn.XLOOKUP(F171,品番!B:B,品番!G:G)</f>
        <v>A13AW</v>
      </c>
      <c r="C171" s="189" t="str">
        <f>_xlfn.XLOOKUP(F171,品番!B:B,品番!C:C)</f>
        <v>コントローラ</v>
      </c>
      <c r="D171" s="189" t="str">
        <f>_xlfn.XLOOKUP(F171,品番!B:B,品番!D:D)</f>
        <v>メイン</v>
      </c>
      <c r="E171" s="179">
        <v>61591</v>
      </c>
      <c r="F171" s="180" t="s">
        <v>480</v>
      </c>
      <c r="G171" s="181">
        <v>1</v>
      </c>
      <c r="H171" s="142"/>
      <c r="I171" s="143"/>
      <c r="J171" s="143"/>
      <c r="L171" s="142"/>
      <c r="M171" s="266" t="str" cm="1">
        <f t="array" ref="M171">_xlfn.TEXTJOIN(",", TRUE, _xlfn._xlws.FILTER(適用号機!D:D, (適用号機!B:B=改定!F171)*(適用号機!C:C=改定!G171), ""))</f>
        <v>A13AW</v>
      </c>
      <c r="N171" s="142" t="str">
        <f t="shared" si="4"/>
        <v>05542-00559-01</v>
      </c>
      <c r="O171" s="122" t="s">
        <v>1702</v>
      </c>
    </row>
    <row r="172" spans="1:15">
      <c r="A172" s="122" t="s">
        <v>245</v>
      </c>
      <c r="B172" s="189" t="str">
        <f>_xlfn.XLOOKUP(F172,品番!B:B,品番!G:G)</f>
        <v>A13AW</v>
      </c>
      <c r="C172" s="189" t="str">
        <f>_xlfn.XLOOKUP(F172,品番!B:B,品番!C:C)</f>
        <v>コントローラ</v>
      </c>
      <c r="D172" s="189" t="str">
        <f>_xlfn.XLOOKUP(F172,品番!B:B,品番!D:D)</f>
        <v>メイン</v>
      </c>
      <c r="E172" s="179">
        <v>62444</v>
      </c>
      <c r="F172" s="180" t="s">
        <v>480</v>
      </c>
      <c r="G172" s="181">
        <v>2</v>
      </c>
      <c r="H172" s="142"/>
      <c r="I172" s="143"/>
      <c r="J172" s="143"/>
      <c r="L172" s="142"/>
      <c r="M172" s="266" t="str" cm="1">
        <f t="array" ref="M172">_xlfn.TEXTJOIN(",", TRUE, _xlfn._xlws.FILTER(適用号機!D:D, (適用号機!B:B=改定!F172)*(適用号機!C:C=改定!G172), ""))</f>
        <v xml:space="preserve">	A13AW</v>
      </c>
      <c r="N172" s="142" t="str">
        <f t="shared" si="4"/>
        <v>05542-00559-02</v>
      </c>
      <c r="O172" s="122" t="s">
        <v>1702</v>
      </c>
    </row>
    <row r="173" spans="1:15">
      <c r="A173" s="122" t="s">
        <v>245</v>
      </c>
      <c r="B173" s="189" t="str">
        <f>_xlfn.XLOOKUP(F173,品番!B:B,品番!G:G)</f>
        <v>A13AW</v>
      </c>
      <c r="C173" s="189" t="str">
        <f>_xlfn.XLOOKUP(F173,品番!B:B,品番!C:C)</f>
        <v>コントローラ</v>
      </c>
      <c r="D173" s="189" t="str">
        <f>_xlfn.XLOOKUP(F173,品番!B:B,品番!D:D)</f>
        <v>メイン</v>
      </c>
      <c r="E173" s="179">
        <v>62540</v>
      </c>
      <c r="F173" s="180" t="s">
        <v>480</v>
      </c>
      <c r="G173" s="181">
        <v>3</v>
      </c>
      <c r="H173" s="142"/>
      <c r="I173" s="143"/>
      <c r="J173" s="143"/>
      <c r="L173" s="142"/>
      <c r="M173" s="266" t="str" cm="1">
        <f t="array" ref="M173">_xlfn.TEXTJOIN(",", TRUE, _xlfn._xlws.FILTER(適用号機!D:D, (適用号機!B:B=改定!F173)*(適用号機!C:C=改定!G173), ""))</f>
        <v>A13AW</v>
      </c>
      <c r="N173" s="142" t="str">
        <f t="shared" si="4"/>
        <v>05542-00559-03</v>
      </c>
      <c r="O173" s="122" t="s">
        <v>1702</v>
      </c>
    </row>
    <row r="174" spans="1:15">
      <c r="A174" s="122" t="s">
        <v>245</v>
      </c>
      <c r="B174" s="189" t="str">
        <f>_xlfn.XLOOKUP(F174,品番!B:B,品番!G:G)</f>
        <v>A13AW</v>
      </c>
      <c r="C174" s="189" t="str">
        <f>_xlfn.XLOOKUP(F174,品番!B:B,品番!C:C)</f>
        <v>コントローラ</v>
      </c>
      <c r="D174" s="189" t="str">
        <f>_xlfn.XLOOKUP(F174,品番!B:B,品番!D:D)</f>
        <v>メイン</v>
      </c>
      <c r="E174" s="179">
        <v>62765</v>
      </c>
      <c r="F174" s="180" t="s">
        <v>480</v>
      </c>
      <c r="G174" s="181">
        <v>4</v>
      </c>
      <c r="H174" s="142" t="s">
        <v>437</v>
      </c>
      <c r="I174" s="143" t="s">
        <v>47</v>
      </c>
      <c r="J174" s="143" t="s">
        <v>47</v>
      </c>
      <c r="M174" s="266" t="str" cm="1">
        <f t="array" ref="M174">_xlfn.TEXTJOIN(",", TRUE, _xlfn._xlws.FILTER(適用号機!D:D, (適用号機!B:B=改定!F174)*(適用号機!C:C=改定!G174), ""))</f>
        <v>A13AW</v>
      </c>
      <c r="N174" s="142" t="str">
        <f t="shared" si="4"/>
        <v>05542-00559-04</v>
      </c>
      <c r="O174" s="122" t="s">
        <v>1702</v>
      </c>
    </row>
    <row r="175" spans="1:15">
      <c r="A175" s="122" t="s">
        <v>245</v>
      </c>
      <c r="B175" s="189" t="str">
        <f>_xlfn.XLOOKUP(F175,品番!B:B,品番!G:G)</f>
        <v>A13AW</v>
      </c>
      <c r="C175" s="189" t="str">
        <f>_xlfn.XLOOKUP(F175,品番!B:B,品番!C:C)</f>
        <v>コントローラ</v>
      </c>
      <c r="D175" s="189" t="str">
        <f>_xlfn.XLOOKUP(F175,品番!B:B,品番!D:D)</f>
        <v>メイン</v>
      </c>
      <c r="E175" s="179">
        <v>60286</v>
      </c>
      <c r="F175" s="180" t="s">
        <v>247</v>
      </c>
      <c r="G175" s="181">
        <v>0</v>
      </c>
      <c r="H175" s="142" t="s">
        <v>364</v>
      </c>
      <c r="I175" s="143" t="s">
        <v>47</v>
      </c>
      <c r="J175" s="143" t="s">
        <v>47</v>
      </c>
      <c r="L175" s="142" t="s">
        <v>237</v>
      </c>
      <c r="M175" s="266" t="str" cm="1">
        <f t="array" ref="M175">_xlfn.TEXTJOIN(",", TRUE, _xlfn._xlws.FILTER(適用号機!D:D, (適用号機!B:B=改定!F175)*(適用号機!C:C=改定!G175), ""))</f>
        <v xml:space="preserve">	A13AW</v>
      </c>
      <c r="N175" s="142" t="str">
        <f t="shared" si="4"/>
        <v>05542-00639-00</v>
      </c>
      <c r="O175" s="122" t="s">
        <v>1702</v>
      </c>
    </row>
    <row r="176" spans="1:15">
      <c r="A176" s="122" t="s">
        <v>245</v>
      </c>
      <c r="B176" s="189" t="str">
        <f>_xlfn.XLOOKUP(F176,品番!B:B,品番!G:G)</f>
        <v>A13AW</v>
      </c>
      <c r="C176" s="189" t="str">
        <f>_xlfn.XLOOKUP(F176,品番!B:B,品番!C:C)</f>
        <v>コントローラ</v>
      </c>
      <c r="D176" s="189" t="str">
        <f>_xlfn.XLOOKUP(F176,品番!B:B,品番!D:D)</f>
        <v>メイン</v>
      </c>
      <c r="E176" s="179">
        <v>60282</v>
      </c>
      <c r="F176" s="180" t="s">
        <v>247</v>
      </c>
      <c r="G176" s="181">
        <v>1</v>
      </c>
      <c r="H176" s="142"/>
      <c r="I176" s="143"/>
      <c r="J176" s="143"/>
      <c r="L176" s="142"/>
      <c r="M176" s="266" t="str" cm="1">
        <f t="array" ref="M176">_xlfn.TEXTJOIN(",", TRUE, _xlfn._xlws.FILTER(適用号機!D:D, (適用号機!B:B=改定!F176)*(適用号機!C:C=改定!G176), ""))</f>
        <v>A13AW</v>
      </c>
      <c r="N176" s="142" t="str">
        <f t="shared" si="4"/>
        <v>05542-00639-01</v>
      </c>
      <c r="O176" s="122" t="s">
        <v>1702</v>
      </c>
    </row>
    <row r="177" spans="1:16">
      <c r="A177" s="122" t="s">
        <v>245</v>
      </c>
      <c r="B177" s="189" t="str">
        <f>_xlfn.XLOOKUP(F177,品番!B:B,品番!G:G)</f>
        <v>A13AW</v>
      </c>
      <c r="C177" s="189" t="str">
        <f>_xlfn.XLOOKUP(F177,品番!B:B,品番!C:C)</f>
        <v>コントローラ</v>
      </c>
      <c r="D177" s="189" t="str">
        <f>_xlfn.XLOOKUP(F177,品番!B:B,品番!D:D)</f>
        <v>メイン</v>
      </c>
      <c r="E177" s="179">
        <v>62540</v>
      </c>
      <c r="F177" s="180" t="s">
        <v>247</v>
      </c>
      <c r="G177" s="181">
        <v>2</v>
      </c>
      <c r="H177" s="142"/>
      <c r="I177" s="143"/>
      <c r="J177" s="143"/>
      <c r="L177" s="142"/>
      <c r="M177" s="266" t="str" cm="1">
        <f t="array" ref="M177">_xlfn.TEXTJOIN(",", TRUE, _xlfn._xlws.FILTER(適用号機!D:D, (適用号機!B:B=改定!F177)*(適用号機!C:C=改定!G177), ""))</f>
        <v/>
      </c>
      <c r="N177" s="142" t="str">
        <f t="shared" si="4"/>
        <v>05542-00639-02</v>
      </c>
      <c r="O177" s="122" t="s">
        <v>1702</v>
      </c>
    </row>
    <row r="178" spans="1:16">
      <c r="A178" s="122" t="s">
        <v>245</v>
      </c>
      <c r="B178" s="189" t="str">
        <f>_xlfn.XLOOKUP(F178,品番!B:B,品番!G:G)</f>
        <v>A13AW</v>
      </c>
      <c r="C178" s="189" t="str">
        <f>_xlfn.XLOOKUP(F178,品番!B:B,品番!C:C)</f>
        <v>コントローラ</v>
      </c>
      <c r="D178" s="189" t="str">
        <f>_xlfn.XLOOKUP(F178,品番!B:B,品番!D:D)</f>
        <v>メイン</v>
      </c>
      <c r="E178" s="179">
        <v>62765</v>
      </c>
      <c r="F178" s="180" t="s">
        <v>247</v>
      </c>
      <c r="G178" s="181">
        <v>3</v>
      </c>
      <c r="H178" s="142"/>
      <c r="I178" s="143"/>
      <c r="J178" s="143"/>
      <c r="M178" s="266" t="str" cm="1">
        <f t="array" ref="M178">_xlfn.TEXTJOIN(",", TRUE, _xlfn._xlws.FILTER(適用号機!D:D, (適用号機!B:B=改定!F178)*(適用号機!C:C=改定!G178), ""))</f>
        <v/>
      </c>
      <c r="N178" s="142" t="str">
        <f t="shared" si="4"/>
        <v>05542-00639-03</v>
      </c>
      <c r="O178" s="122" t="s">
        <v>1702</v>
      </c>
    </row>
    <row r="179" spans="1:16">
      <c r="A179" s="122" t="s">
        <v>245</v>
      </c>
      <c r="B179" s="189" t="str">
        <f>_xlfn.XLOOKUP(F179,品番!B:B,品番!G:G)</f>
        <v>A13AW</v>
      </c>
      <c r="C179" s="189" t="str">
        <f>_xlfn.XLOOKUP(F179,品番!B:B,品番!C:C)</f>
        <v>コントローラ</v>
      </c>
      <c r="D179" s="189" t="str">
        <f>_xlfn.XLOOKUP(F179,品番!B:B,品番!D:D)</f>
        <v>メイン</v>
      </c>
      <c r="E179" s="179">
        <v>61312</v>
      </c>
      <c r="F179" s="180" t="s">
        <v>481</v>
      </c>
      <c r="G179" s="181">
        <v>0</v>
      </c>
      <c r="H179" s="142" t="s">
        <v>437</v>
      </c>
      <c r="I179" s="143" t="s">
        <v>47</v>
      </c>
      <c r="J179" s="143" t="s">
        <v>47</v>
      </c>
      <c r="L179" s="142" t="s">
        <v>250</v>
      </c>
      <c r="M179" s="266" t="str" cm="1">
        <f t="array" ref="M179">_xlfn.TEXTJOIN(",", TRUE, _xlfn._xlws.FILTER(適用号機!D:D, (適用号機!B:B=改定!F179)*(適用号機!C:C=改定!G179), ""))</f>
        <v>A13AW</v>
      </c>
      <c r="N179" s="142" t="str">
        <f t="shared" si="4"/>
        <v>05542-00651-00</v>
      </c>
      <c r="O179" s="122" t="s">
        <v>1702</v>
      </c>
    </row>
    <row r="180" spans="1:16">
      <c r="A180" s="122" t="s">
        <v>245</v>
      </c>
      <c r="B180" s="189" t="str">
        <f>_xlfn.XLOOKUP(F180,品番!B:B,品番!G:G)</f>
        <v>A13AW</v>
      </c>
      <c r="C180" s="189" t="str">
        <f>_xlfn.XLOOKUP(F180,品番!B:B,品番!C:C)</f>
        <v>コントローラ</v>
      </c>
      <c r="D180" s="189" t="str">
        <f>_xlfn.XLOOKUP(F180,品番!B:B,品番!D:D)</f>
        <v>メイン</v>
      </c>
      <c r="E180" s="179">
        <v>61591</v>
      </c>
      <c r="F180" s="180" t="s">
        <v>481</v>
      </c>
      <c r="G180" s="181">
        <v>1</v>
      </c>
      <c r="M180" s="266" t="str" cm="1">
        <f t="array" ref="M180">_xlfn.TEXTJOIN(",", TRUE, _xlfn._xlws.FILTER(適用号機!D:D, (適用号機!B:B=改定!F180)*(適用号機!C:C=改定!G180), ""))</f>
        <v xml:space="preserve">	A13AW</v>
      </c>
      <c r="N180" s="142" t="str">
        <f t="shared" si="4"/>
        <v>05542-00651-01</v>
      </c>
      <c r="O180" s="122" t="s">
        <v>1702</v>
      </c>
    </row>
    <row r="181" spans="1:16">
      <c r="A181" s="122" t="s">
        <v>245</v>
      </c>
      <c r="B181" s="189" t="str">
        <f>_xlfn.XLOOKUP(F181,品番!B:B,品番!G:G)</f>
        <v>A13AW</v>
      </c>
      <c r="C181" s="189" t="str">
        <f>_xlfn.XLOOKUP(F181,品番!B:B,品番!C:C)</f>
        <v>コントローラ</v>
      </c>
      <c r="D181" s="189" t="str">
        <f>_xlfn.XLOOKUP(F181,品番!B:B,品番!D:D)</f>
        <v>メイン</v>
      </c>
      <c r="E181" s="179">
        <v>62444</v>
      </c>
      <c r="F181" s="180" t="s">
        <v>481</v>
      </c>
      <c r="G181" s="181">
        <v>2</v>
      </c>
      <c r="M181" s="266" t="str" cm="1">
        <f t="array" ref="M181">_xlfn.TEXTJOIN(",", TRUE, _xlfn._xlws.FILTER(適用号機!D:D, (適用号機!B:B=改定!F181)*(適用号機!C:C=改定!G181), ""))</f>
        <v>A13AW</v>
      </c>
      <c r="N181" s="142" t="str">
        <f t="shared" si="4"/>
        <v>05542-00651-02</v>
      </c>
      <c r="O181" s="122" t="s">
        <v>1702</v>
      </c>
    </row>
    <row r="182" spans="1:16">
      <c r="A182" s="122" t="s">
        <v>245</v>
      </c>
      <c r="B182" s="189" t="str">
        <f>_xlfn.XLOOKUP(F182,品番!B:B,品番!G:G)</f>
        <v>A13AW</v>
      </c>
      <c r="C182" s="189" t="str">
        <f>_xlfn.XLOOKUP(F182,品番!B:B,品番!C:C)</f>
        <v>コントローラ</v>
      </c>
      <c r="D182" s="189" t="str">
        <f>_xlfn.XLOOKUP(F182,品番!B:B,品番!D:D)</f>
        <v>メイン</v>
      </c>
      <c r="E182" s="179">
        <v>62540</v>
      </c>
      <c r="F182" s="180" t="s">
        <v>481</v>
      </c>
      <c r="G182" s="181">
        <v>3</v>
      </c>
      <c r="M182" s="266" t="str" cm="1">
        <f t="array" ref="M182">_xlfn.TEXTJOIN(",", TRUE, _xlfn._xlws.FILTER(適用号機!D:D, (適用号機!B:B=改定!F182)*(適用号機!C:C=改定!G182), ""))</f>
        <v xml:space="preserve">	A13AW</v>
      </c>
      <c r="N182" s="142" t="str">
        <f t="shared" si="4"/>
        <v>05542-00651-03</v>
      </c>
      <c r="O182" s="122" t="s">
        <v>1702</v>
      </c>
    </row>
    <row r="183" spans="1:16">
      <c r="A183" s="122" t="s">
        <v>245</v>
      </c>
      <c r="B183" s="189" t="str">
        <f>_xlfn.XLOOKUP(F183,品番!B:B,品番!G:G)</f>
        <v>A13AW</v>
      </c>
      <c r="C183" s="189" t="str">
        <f>_xlfn.XLOOKUP(F183,品番!B:B,品番!C:C)</f>
        <v>コントローラ</v>
      </c>
      <c r="D183" s="189" t="str">
        <f>_xlfn.XLOOKUP(F183,品番!B:B,品番!D:D)</f>
        <v>メイン</v>
      </c>
      <c r="E183" s="179">
        <v>62765</v>
      </c>
      <c r="F183" s="180" t="s">
        <v>481</v>
      </c>
      <c r="G183" s="181">
        <v>4</v>
      </c>
      <c r="M183" s="266" t="str" cm="1">
        <f t="array" ref="M183">_xlfn.TEXTJOIN(",", TRUE, _xlfn._xlws.FILTER(適用号機!D:D, (適用号機!B:B=改定!F183)*(適用号機!C:C=改定!G183), ""))</f>
        <v>A13AW</v>
      </c>
      <c r="N183" s="142" t="str">
        <f t="shared" si="4"/>
        <v>05542-00651-04</v>
      </c>
      <c r="O183" s="122" t="s">
        <v>1702</v>
      </c>
    </row>
    <row r="184" spans="1:16">
      <c r="A184" s="122" t="s">
        <v>79</v>
      </c>
      <c r="B184" s="189" t="str">
        <f>_xlfn.XLOOKUP(F184,品番!B:B,品番!G:G)</f>
        <v>A14H/I</v>
      </c>
      <c r="C184" s="189" t="str">
        <f>_xlfn.XLOOKUP(F184,品番!B:B,品番!C:C)</f>
        <v>コントローラ</v>
      </c>
      <c r="D184" s="189" t="str">
        <f>_xlfn.XLOOKUP(F184,品番!B:B,品番!D:D)</f>
        <v>メイン</v>
      </c>
      <c r="E184" s="179">
        <v>41229</v>
      </c>
      <c r="F184" s="180" t="s">
        <v>80</v>
      </c>
      <c r="G184" s="181">
        <v>0</v>
      </c>
      <c r="K184" s="182" t="s">
        <v>187</v>
      </c>
      <c r="L184" s="122" t="s">
        <v>29</v>
      </c>
      <c r="M184" s="266" t="str" cm="1">
        <f t="array" ref="M184">_xlfn.TEXTJOIN(",", TRUE, _xlfn._xlws.FILTER(適用号機!D:D, (適用号機!B:B=改定!F184)*(適用号機!C:C=改定!G184), ""))</f>
        <v>A14H,A14I</v>
      </c>
      <c r="N184" s="142" t="str">
        <f t="shared" si="4"/>
        <v>05642-00015-00</v>
      </c>
      <c r="O184" s="122" t="s">
        <v>1702</v>
      </c>
    </row>
    <row r="185" spans="1:16">
      <c r="A185" s="122" t="s">
        <v>79</v>
      </c>
      <c r="B185" s="189" t="str">
        <f>_xlfn.XLOOKUP(F185,品番!B:B,品番!G:G)</f>
        <v>A14H/I</v>
      </c>
      <c r="C185" s="189" t="str">
        <f>_xlfn.XLOOKUP(F185,品番!B:B,品番!C:C)</f>
        <v>コントローラ</v>
      </c>
      <c r="D185" s="189" t="str">
        <f>_xlfn.XLOOKUP(F185,品番!B:B,品番!D:D)</f>
        <v>メイン</v>
      </c>
      <c r="E185" s="179">
        <v>42011</v>
      </c>
      <c r="F185" s="180" t="s">
        <v>80</v>
      </c>
      <c r="G185" s="183">
        <v>1</v>
      </c>
      <c r="L185" s="122" t="s">
        <v>1856</v>
      </c>
      <c r="M185" s="266" t="str" cm="1">
        <f t="array" ref="M185">_xlfn.TEXTJOIN(",", TRUE, _xlfn._xlws.FILTER(適用号機!D:D, (適用号機!B:B=改定!F185)*(適用号機!C:C=改定!G185), ""))</f>
        <v>A14H,	A14I</v>
      </c>
      <c r="N185" s="142" t="str">
        <f t="shared" si="4"/>
        <v>05642-00015-01</v>
      </c>
      <c r="O185" s="122" t="s">
        <v>1702</v>
      </c>
      <c r="P185"/>
    </row>
    <row r="186" spans="1:16">
      <c r="A186" s="122" t="s">
        <v>79</v>
      </c>
      <c r="B186" s="189" t="str">
        <f>_xlfn.XLOOKUP(F186,品番!B:B,品番!G:G)</f>
        <v>A14H/I</v>
      </c>
      <c r="C186" s="189" t="str">
        <f>_xlfn.XLOOKUP(F186,品番!B:B,品番!C:C)</f>
        <v>コントローラ</v>
      </c>
      <c r="D186" s="189" t="str">
        <f>_xlfn.XLOOKUP(F186,品番!B:B,品番!D:D)</f>
        <v>メイン</v>
      </c>
      <c r="E186" s="179">
        <v>42850</v>
      </c>
      <c r="F186" s="180" t="s">
        <v>80</v>
      </c>
      <c r="G186" s="181">
        <v>2</v>
      </c>
      <c r="M186" s="266" t="str" cm="1">
        <f t="array" ref="M186">_xlfn.TEXTJOIN(",", TRUE, _xlfn._xlws.FILTER(適用号機!D:D, (適用号機!B:B=改定!F186)*(適用号機!C:C=改定!G186), ""))</f>
        <v>A14H,A14I</v>
      </c>
      <c r="N186" s="142" t="str">
        <f t="shared" si="4"/>
        <v>05642-00015-02</v>
      </c>
      <c r="O186" s="122" t="s">
        <v>1702</v>
      </c>
    </row>
    <row r="187" spans="1:16">
      <c r="A187" s="122" t="s">
        <v>79</v>
      </c>
      <c r="B187" s="189" t="str">
        <f>_xlfn.XLOOKUP(F187,品番!B:B,品番!G:G)</f>
        <v>A14H/I</v>
      </c>
      <c r="C187" s="189" t="str">
        <f>_xlfn.XLOOKUP(F187,品番!B:B,品番!C:C)</f>
        <v>コントローラ</v>
      </c>
      <c r="D187" s="189" t="str">
        <f>_xlfn.XLOOKUP(F187,品番!B:B,品番!D:D)</f>
        <v>メイン</v>
      </c>
      <c r="E187" s="179">
        <v>43589</v>
      </c>
      <c r="F187" s="180" t="s">
        <v>80</v>
      </c>
      <c r="G187" s="183">
        <v>3</v>
      </c>
      <c r="M187" s="266" t="str" cm="1">
        <f t="array" ref="M187">_xlfn.TEXTJOIN(",", TRUE, _xlfn._xlws.FILTER(適用号機!D:D, (適用号機!B:B=改定!F187)*(適用号機!C:C=改定!G187), ""))</f>
        <v>A14I,A14H</v>
      </c>
      <c r="N187" s="142" t="str">
        <f t="shared" si="4"/>
        <v>05642-00015-03</v>
      </c>
      <c r="O187" s="122" t="s">
        <v>1702</v>
      </c>
    </row>
    <row r="188" spans="1:16">
      <c r="A188" s="122" t="s">
        <v>79</v>
      </c>
      <c r="B188" s="189" t="str">
        <f>_xlfn.XLOOKUP(F188,品番!B:B,品番!G:G)</f>
        <v>A14H/I</v>
      </c>
      <c r="C188" s="189" t="str">
        <f>_xlfn.XLOOKUP(F188,品番!B:B,品番!C:C)</f>
        <v>コントローラ</v>
      </c>
      <c r="D188" s="189" t="str">
        <f>_xlfn.XLOOKUP(F188,品番!B:B,品番!D:D)</f>
        <v>メイン</v>
      </c>
      <c r="E188" s="179">
        <v>43748</v>
      </c>
      <c r="F188" s="180" t="s">
        <v>80</v>
      </c>
      <c r="G188" s="183">
        <v>4</v>
      </c>
      <c r="H188" s="135" t="s">
        <v>316</v>
      </c>
      <c r="I188" s="122" t="s">
        <v>317</v>
      </c>
      <c r="J188" s="122" t="s">
        <v>318</v>
      </c>
      <c r="M188" s="266" t="str" cm="1">
        <f t="array" ref="M188">_xlfn.TEXTJOIN(",", TRUE, _xlfn._xlws.FILTER(適用号機!D:D, (適用号機!B:B=改定!F188)*(適用号機!C:C=改定!G188), ""))</f>
        <v>A14I,A14H</v>
      </c>
      <c r="N188" s="142" t="str">
        <f t="shared" si="4"/>
        <v>05642-00015-04</v>
      </c>
      <c r="O188" s="122" t="s">
        <v>1702</v>
      </c>
    </row>
    <row r="189" spans="1:16">
      <c r="A189" s="122" t="s">
        <v>1293</v>
      </c>
      <c r="B189" s="189" t="str">
        <f>_xlfn.XLOOKUP(F189,品番!B:B,品番!G:G)</f>
        <v>A14I</v>
      </c>
      <c r="C189" s="189" t="str">
        <f>_xlfn.XLOOKUP(F189,品番!B:B,品番!C:C)</f>
        <v>コントローラ</v>
      </c>
      <c r="D189" s="189" t="str">
        <f>_xlfn.XLOOKUP(F189,品番!B:B,品番!D:D)</f>
        <v>メイン</v>
      </c>
      <c r="E189" s="179">
        <v>62636</v>
      </c>
      <c r="F189" s="180" t="s">
        <v>1294</v>
      </c>
      <c r="G189" s="122">
        <v>0</v>
      </c>
      <c r="H189" s="122" t="s">
        <v>1295</v>
      </c>
      <c r="K189" s="182"/>
      <c r="M189" s="266" t="str" cm="1">
        <f t="array" ref="M189">_xlfn.TEXTJOIN(",", TRUE, _xlfn._xlws.FILTER(適用号機!D:D, (適用号機!B:B=改定!F189)*(適用号機!C:C=改定!G189), ""))</f>
        <v>A14I</v>
      </c>
      <c r="N189" s="142" t="str">
        <f t="shared" si="4"/>
        <v>05642-00075-00</v>
      </c>
      <c r="O189" s="122" t="s">
        <v>1702</v>
      </c>
    </row>
    <row r="190" spans="1:16">
      <c r="A190" s="122" t="s">
        <v>185</v>
      </c>
      <c r="B190" s="189" t="str">
        <f>_xlfn.XLOOKUP(F190,品番!B:B,品番!G:G)</f>
        <v>F14F</v>
      </c>
      <c r="C190" s="189" t="str">
        <f>_xlfn.XLOOKUP(F190,品番!B:B,品番!C:C)</f>
        <v>コントローラ</v>
      </c>
      <c r="D190" s="189" t="str">
        <f>_xlfn.XLOOKUP(F190,品番!B:B,品番!D:D)</f>
        <v>メイン</v>
      </c>
      <c r="E190" s="179">
        <v>40454</v>
      </c>
      <c r="F190" s="180" t="s">
        <v>186</v>
      </c>
      <c r="G190" s="181">
        <v>0</v>
      </c>
      <c r="K190" s="182" t="s">
        <v>187</v>
      </c>
      <c r="L190" s="122" t="s">
        <v>187</v>
      </c>
      <c r="M190" s="266" t="str" cm="1">
        <f t="array" ref="M190">_xlfn.TEXTJOIN(",", TRUE, _xlfn._xlws.FILTER(適用号機!D:D, (適用号機!B:B=改定!F190)*(適用号機!C:C=改定!G190), ""))</f>
        <v/>
      </c>
      <c r="N190" s="142" t="str">
        <f t="shared" si="4"/>
        <v>05642-00108-00</v>
      </c>
      <c r="O190" s="122" t="s">
        <v>1702</v>
      </c>
    </row>
    <row r="191" spans="1:16">
      <c r="A191" s="122" t="s">
        <v>185</v>
      </c>
      <c r="B191" s="189" t="str">
        <f>_xlfn.XLOOKUP(F191,品番!B:B,品番!G:G)</f>
        <v>F14F</v>
      </c>
      <c r="C191" s="189" t="str">
        <f>_xlfn.XLOOKUP(F191,品番!B:B,品番!C:C)</f>
        <v>コントローラ</v>
      </c>
      <c r="D191" s="189" t="str">
        <f>_xlfn.XLOOKUP(F191,品番!B:B,品番!D:D)</f>
        <v>メイン</v>
      </c>
      <c r="E191" s="179">
        <v>42851</v>
      </c>
      <c r="F191" s="180" t="s">
        <v>186</v>
      </c>
      <c r="G191" s="181">
        <v>1</v>
      </c>
      <c r="K191" s="182"/>
      <c r="M191" s="266" t="str" cm="1">
        <f t="array" ref="M191">_xlfn.TEXTJOIN(",", TRUE, _xlfn._xlws.FILTER(適用号機!D:D, (適用号機!B:B=改定!F191)*(適用号機!C:C=改定!G191), ""))</f>
        <v>F14F</v>
      </c>
      <c r="N191" s="142" t="str">
        <f t="shared" si="4"/>
        <v>05642-00108-01</v>
      </c>
      <c r="O191" s="122" t="s">
        <v>1702</v>
      </c>
    </row>
    <row r="192" spans="1:16">
      <c r="A192" s="122" t="s">
        <v>185</v>
      </c>
      <c r="B192" s="189" t="str">
        <f>_xlfn.XLOOKUP(F192,品番!B:B,品番!G:G)</f>
        <v>F14F</v>
      </c>
      <c r="C192" s="189" t="str">
        <f>_xlfn.XLOOKUP(F192,品番!B:B,品番!C:C)</f>
        <v>コントローラ</v>
      </c>
      <c r="D192" s="189" t="str">
        <f>_xlfn.XLOOKUP(F192,品番!B:B,品番!D:D)</f>
        <v>メイン</v>
      </c>
      <c r="E192" s="179">
        <v>43322</v>
      </c>
      <c r="F192" s="180" t="s">
        <v>186</v>
      </c>
      <c r="G192" s="181">
        <v>2</v>
      </c>
      <c r="K192" s="182"/>
      <c r="M192" s="266" t="str" cm="1">
        <f t="array" ref="M192">_xlfn.TEXTJOIN(",", TRUE, _xlfn._xlws.FILTER(適用号機!D:D, (適用号機!B:B=改定!F192)*(適用号機!C:C=改定!G192), ""))</f>
        <v>F14F</v>
      </c>
      <c r="N192" s="142" t="str">
        <f t="shared" si="4"/>
        <v>05642-00108-02</v>
      </c>
      <c r="O192" s="122" t="s">
        <v>1702</v>
      </c>
    </row>
    <row r="193" spans="1:15">
      <c r="A193" s="122" t="s">
        <v>185</v>
      </c>
      <c r="B193" s="189" t="str">
        <f>_xlfn.XLOOKUP(F193,品番!B:B,品番!G:G)</f>
        <v>F14F</v>
      </c>
      <c r="C193" s="189" t="str">
        <f>_xlfn.XLOOKUP(F193,品番!B:B,品番!C:C)</f>
        <v>コントローラ</v>
      </c>
      <c r="D193" s="189" t="str">
        <f>_xlfn.XLOOKUP(F193,品番!B:B,品番!D:D)</f>
        <v>メイン</v>
      </c>
      <c r="E193" s="179">
        <v>43497</v>
      </c>
      <c r="F193" s="180" t="s">
        <v>186</v>
      </c>
      <c r="G193" s="181">
        <v>3</v>
      </c>
      <c r="K193" s="182"/>
      <c r="M193" s="266" t="str" cm="1">
        <f t="array" ref="M193">_xlfn.TEXTJOIN(",", TRUE, _xlfn._xlws.FILTER(適用号機!D:D, (適用号機!B:B=改定!F193)*(適用号機!C:C=改定!G193), ""))</f>
        <v>F14F</v>
      </c>
      <c r="N193" s="142" t="str">
        <f t="shared" si="4"/>
        <v>05642-00108-03</v>
      </c>
      <c r="O193" s="122" t="s">
        <v>1702</v>
      </c>
    </row>
    <row r="194" spans="1:15">
      <c r="A194" s="122" t="s">
        <v>185</v>
      </c>
      <c r="B194" s="189" t="str">
        <f>_xlfn.XLOOKUP(F194,品番!B:B,品番!G:G)</f>
        <v>F14F</v>
      </c>
      <c r="C194" s="189" t="str">
        <f>_xlfn.XLOOKUP(F194,品番!B:B,品番!C:C)</f>
        <v>コントローラ</v>
      </c>
      <c r="D194" s="189" t="str">
        <f>_xlfn.XLOOKUP(F194,品番!B:B,品番!D:D)</f>
        <v>メイン</v>
      </c>
      <c r="E194" s="179">
        <v>43589</v>
      </c>
      <c r="F194" s="180" t="s">
        <v>186</v>
      </c>
      <c r="G194" s="181">
        <v>4</v>
      </c>
      <c r="K194" s="182"/>
      <c r="M194" s="266" t="str" cm="1">
        <f t="array" ref="M194">_xlfn.TEXTJOIN(",", TRUE, _xlfn._xlws.FILTER(適用号機!D:D, (適用号機!B:B=改定!F194)*(適用号機!C:C=改定!G194), ""))</f>
        <v>F14F</v>
      </c>
      <c r="N194" s="142" t="str">
        <f t="shared" si="4"/>
        <v>05642-00108-04</v>
      </c>
      <c r="O194" s="122" t="s">
        <v>1702</v>
      </c>
    </row>
    <row r="195" spans="1:15">
      <c r="A195" s="122" t="s">
        <v>185</v>
      </c>
      <c r="B195" s="189" t="str">
        <f>_xlfn.XLOOKUP(F195,品番!B:B,品番!G:G)</f>
        <v>F14F</v>
      </c>
      <c r="C195" s="189" t="str">
        <f>_xlfn.XLOOKUP(F195,品番!B:B,品番!C:C)</f>
        <v>コントローラ</v>
      </c>
      <c r="D195" s="189" t="str">
        <f>_xlfn.XLOOKUP(F195,品番!B:B,品番!D:D)</f>
        <v>メイン</v>
      </c>
      <c r="E195" s="179">
        <v>43748</v>
      </c>
      <c r="F195" s="180" t="s">
        <v>186</v>
      </c>
      <c r="G195" s="181">
        <v>5</v>
      </c>
      <c r="K195" s="182"/>
      <c r="M195" s="266" t="str" cm="1">
        <f t="array" ref="M195">_xlfn.TEXTJOIN(",", TRUE, _xlfn._xlws.FILTER(適用号機!D:D, (適用号機!B:B=改定!F195)*(適用号機!C:C=改定!G195), ""))</f>
        <v>F14F</v>
      </c>
      <c r="N195" s="142" t="str">
        <f t="shared" si="4"/>
        <v>05642-00108-05</v>
      </c>
      <c r="O195" s="122" t="s">
        <v>1702</v>
      </c>
    </row>
    <row r="196" spans="1:15">
      <c r="A196" s="122" t="s">
        <v>185</v>
      </c>
      <c r="B196" s="189" t="str">
        <f>_xlfn.XLOOKUP(F196,品番!B:B,品番!G:G)</f>
        <v>F14F</v>
      </c>
      <c r="C196" s="189" t="str">
        <f>_xlfn.XLOOKUP(F196,品番!B:B,品番!C:C)</f>
        <v>コントローラ</v>
      </c>
      <c r="D196" s="189" t="str">
        <f>_xlfn.XLOOKUP(F196,品番!B:B,品番!D:D)</f>
        <v>メイン</v>
      </c>
      <c r="E196" s="179">
        <v>44193</v>
      </c>
      <c r="F196" s="180" t="s">
        <v>186</v>
      </c>
      <c r="G196" s="181">
        <v>6</v>
      </c>
      <c r="K196" s="182"/>
      <c r="M196" s="266" t="str" cm="1">
        <f t="array" ref="M196">_xlfn.TEXTJOIN(",", TRUE, _xlfn._xlws.FILTER(適用号機!D:D, (適用号機!B:B=改定!F196)*(適用号機!C:C=改定!G196), ""))</f>
        <v>F14F</v>
      </c>
      <c r="N196" s="142" t="str">
        <f t="shared" si="4"/>
        <v>05642-00108-06</v>
      </c>
      <c r="O196" s="122" t="s">
        <v>1702</v>
      </c>
    </row>
    <row r="197" spans="1:15">
      <c r="A197" s="122" t="s">
        <v>185</v>
      </c>
      <c r="B197" s="189" t="str">
        <f>_xlfn.XLOOKUP(F197,品番!B:B,品番!G:G)</f>
        <v>F14F</v>
      </c>
      <c r="C197" s="189" t="str">
        <f>_xlfn.XLOOKUP(F197,品番!B:B,品番!C:C)</f>
        <v>コントローラ</v>
      </c>
      <c r="D197" s="189" t="str">
        <f>_xlfn.XLOOKUP(F197,品番!B:B,品番!D:D)</f>
        <v>メイン</v>
      </c>
      <c r="E197" s="179">
        <v>55511</v>
      </c>
      <c r="F197" s="180" t="s">
        <v>186</v>
      </c>
      <c r="G197" s="181">
        <v>7</v>
      </c>
      <c r="H197" s="122" t="s">
        <v>427</v>
      </c>
      <c r="I197" s="122" t="s">
        <v>429</v>
      </c>
      <c r="J197" t="s">
        <v>47</v>
      </c>
      <c r="M197" s="266" t="str" cm="1">
        <f t="array" ref="M197">_xlfn.TEXTJOIN(",", TRUE, _xlfn._xlws.FILTER(適用号機!D:D, (適用号機!B:B=改定!F197)*(適用号機!C:C=改定!G197), ""))</f>
        <v xml:space="preserve">	F14F</v>
      </c>
      <c r="N197" s="142" t="str">
        <f t="shared" si="4"/>
        <v>05642-00108-07</v>
      </c>
      <c r="O197" s="122" t="s">
        <v>1702</v>
      </c>
    </row>
    <row r="198" spans="1:15">
      <c r="A198" s="122" t="s">
        <v>52</v>
      </c>
      <c r="B198" s="189" t="str">
        <f>_xlfn.XLOOKUP(F198,品番!B:B,品番!G:G)</f>
        <v>A14FW</v>
      </c>
      <c r="C198" s="189" t="str">
        <f>_xlfn.XLOOKUP(F198,品番!B:B,品番!C:C)</f>
        <v>コントローラ</v>
      </c>
      <c r="D198" s="189" t="str">
        <f>_xlfn.XLOOKUP(F198,品番!B:B,品番!D:D)</f>
        <v>メイン</v>
      </c>
      <c r="E198" s="179">
        <v>41330</v>
      </c>
      <c r="F198" s="180" t="s">
        <v>58</v>
      </c>
      <c r="G198" s="181">
        <v>0</v>
      </c>
      <c r="I198" s="122" t="s">
        <v>297</v>
      </c>
      <c r="J198" s="122" t="s">
        <v>298</v>
      </c>
      <c r="K198" s="182" t="s">
        <v>299</v>
      </c>
      <c r="L198" s="122" t="s">
        <v>59</v>
      </c>
      <c r="M198" s="266" t="str" cm="1">
        <f t="array" ref="M198">_xlfn.TEXTJOIN(",", TRUE, _xlfn._xlws.FILTER(適用号機!D:D, (適用号機!B:B=改定!F198)*(適用号機!C:C=改定!G198), ""))</f>
        <v>A14FW</v>
      </c>
      <c r="N198" s="142" t="str">
        <f t="shared" si="4"/>
        <v>05642-00207-00</v>
      </c>
      <c r="O198" s="122" t="s">
        <v>1702</v>
      </c>
    </row>
    <row r="199" spans="1:15">
      <c r="A199" s="122" t="s">
        <v>52</v>
      </c>
      <c r="B199" s="189" t="str">
        <f>_xlfn.XLOOKUP(F199,品番!B:B,品番!G:G)</f>
        <v>A14FW</v>
      </c>
      <c r="C199" s="189" t="str">
        <f>_xlfn.XLOOKUP(F199,品番!B:B,品番!C:C)</f>
        <v>コントローラ</v>
      </c>
      <c r="D199" s="189" t="str">
        <f>_xlfn.XLOOKUP(F199,品番!B:B,品番!D:D)</f>
        <v>メイン</v>
      </c>
      <c r="E199" s="179">
        <v>43796</v>
      </c>
      <c r="F199" s="180" t="s">
        <v>58</v>
      </c>
      <c r="G199" s="181">
        <v>1</v>
      </c>
      <c r="H199" s="125"/>
      <c r="I199" s="122" t="s">
        <v>297</v>
      </c>
      <c r="J199" s="122" t="s">
        <v>298</v>
      </c>
      <c r="K199" s="182"/>
      <c r="M199" s="266" t="str" cm="1">
        <f t="array" ref="M199">_xlfn.TEXTJOIN(",", TRUE, _xlfn._xlws.FILTER(適用号機!D:D, (適用号機!B:B=改定!F199)*(適用号機!C:C=改定!G199), ""))</f>
        <v>A14FW</v>
      </c>
      <c r="N199" s="142" t="str">
        <f t="shared" si="4"/>
        <v>05642-00207-01</v>
      </c>
      <c r="O199" s="122" t="s">
        <v>1702</v>
      </c>
    </row>
    <row r="200" spans="1:15">
      <c r="A200" s="122" t="s">
        <v>52</v>
      </c>
      <c r="B200" s="189" t="str">
        <f>_xlfn.XLOOKUP(F200,品番!B:B,品番!G:G)</f>
        <v>A14FW</v>
      </c>
      <c r="C200" s="189" t="str">
        <f>_xlfn.XLOOKUP(F200,品番!B:B,品番!C:C)</f>
        <v>コントローラ</v>
      </c>
      <c r="D200" s="189" t="str">
        <f>_xlfn.XLOOKUP(F200,品番!B:B,品番!D:D)</f>
        <v>メイン</v>
      </c>
      <c r="E200" s="179">
        <v>44946</v>
      </c>
      <c r="F200" s="180" t="s">
        <v>58</v>
      </c>
      <c r="G200" s="183">
        <v>2</v>
      </c>
      <c r="H200" s="122" t="s">
        <v>301</v>
      </c>
      <c r="I200" s="122" t="s">
        <v>297</v>
      </c>
      <c r="J200" s="122" t="s">
        <v>298</v>
      </c>
      <c r="M200" s="266" t="str" cm="1">
        <f t="array" ref="M200">_xlfn.TEXTJOIN(",", TRUE, _xlfn._xlws.FILTER(適用号機!D:D, (適用号機!B:B=改定!F200)*(適用号機!C:C=改定!G200), ""))</f>
        <v>A14FW</v>
      </c>
      <c r="N200" s="142" t="str">
        <f t="shared" si="4"/>
        <v>05642-00207-02</v>
      </c>
      <c r="O200" s="122" t="s">
        <v>1702</v>
      </c>
    </row>
    <row r="201" spans="1:15">
      <c r="A201" s="122" t="s">
        <v>43</v>
      </c>
      <c r="B201" s="189" t="str">
        <f>_xlfn.XLOOKUP(F201,品番!B:B,品番!G:G)</f>
        <v>A14D-2</v>
      </c>
      <c r="C201" s="189" t="str">
        <f>_xlfn.XLOOKUP(F201,品番!B:B,品番!C:C)</f>
        <v>コントローラ</v>
      </c>
      <c r="D201" s="189" t="str">
        <f>_xlfn.XLOOKUP(F201,品番!B:B,品番!D:D)</f>
        <v>メイン</v>
      </c>
      <c r="E201" s="179">
        <v>42160</v>
      </c>
      <c r="F201" s="180" t="s">
        <v>44</v>
      </c>
      <c r="G201" s="181">
        <v>0</v>
      </c>
      <c r="K201" s="182"/>
      <c r="M201" s="266" t="str" cm="1">
        <f t="array" ref="M201">_xlfn.TEXTJOIN(",", TRUE, _xlfn._xlws.FILTER(適用号機!D:D, (適用号機!B:B=改定!F201)*(適用号機!C:C=改定!G201), ""))</f>
        <v>A14D-2</v>
      </c>
      <c r="N201" s="142" t="str">
        <f t="shared" si="4"/>
        <v>05642-00231-00</v>
      </c>
      <c r="O201" s="122" t="s">
        <v>1702</v>
      </c>
    </row>
    <row r="202" spans="1:15">
      <c r="A202" s="122" t="s">
        <v>43</v>
      </c>
      <c r="B202" s="189" t="str">
        <f>_xlfn.XLOOKUP(F202,品番!B:B,品番!G:G)</f>
        <v>A14D-2</v>
      </c>
      <c r="C202" s="189" t="str">
        <f>_xlfn.XLOOKUP(F202,品番!B:B,品番!C:C)</f>
        <v>コントローラ</v>
      </c>
      <c r="D202" s="189" t="str">
        <f>_xlfn.XLOOKUP(F202,品番!B:B,品番!D:D)</f>
        <v>メイン</v>
      </c>
      <c r="E202" s="179">
        <v>42065</v>
      </c>
      <c r="F202" s="180" t="s">
        <v>44</v>
      </c>
      <c r="G202" s="181">
        <v>1</v>
      </c>
      <c r="H202" s="125"/>
      <c r="K202" s="182"/>
      <c r="M202" s="266" t="str" cm="1">
        <f t="array" ref="M202">_xlfn.TEXTJOIN(",", TRUE, _xlfn._xlws.FILTER(適用号機!D:D, (適用号機!B:B=改定!F202)*(適用号機!C:C=改定!G202), ""))</f>
        <v>A14D-2</v>
      </c>
      <c r="N202" s="142" t="str">
        <f t="shared" si="4"/>
        <v>05642-00231-01</v>
      </c>
      <c r="O202" s="122" t="s">
        <v>1702</v>
      </c>
    </row>
    <row r="203" spans="1:15">
      <c r="A203" s="122" t="s">
        <v>43</v>
      </c>
      <c r="B203" s="189" t="str">
        <f>_xlfn.XLOOKUP(F203,品番!B:B,品番!G:G)</f>
        <v>A14D-2</v>
      </c>
      <c r="C203" s="189" t="str">
        <f>_xlfn.XLOOKUP(F203,品番!B:B,品番!C:C)</f>
        <v>コントローラ</v>
      </c>
      <c r="D203" s="189" t="str">
        <f>_xlfn.XLOOKUP(F203,品番!B:B,品番!D:D)</f>
        <v>メイン</v>
      </c>
      <c r="E203" s="179">
        <v>42491</v>
      </c>
      <c r="F203" s="180" t="s">
        <v>44</v>
      </c>
      <c r="G203" s="181">
        <v>2</v>
      </c>
      <c r="H203" s="125"/>
      <c r="K203" s="182"/>
      <c r="L203" s="122" t="s">
        <v>42</v>
      </c>
      <c r="M203" s="266" t="str" cm="1">
        <f t="array" ref="M203">_xlfn.TEXTJOIN(",", TRUE, _xlfn._xlws.FILTER(適用号機!D:D, (適用号機!B:B=改定!F203)*(適用号機!C:C=改定!G203), ""))</f>
        <v>A14D-2</v>
      </c>
      <c r="N203" s="142" t="str">
        <f t="shared" si="4"/>
        <v>05642-00231-02</v>
      </c>
      <c r="O203" s="122" t="s">
        <v>1702</v>
      </c>
    </row>
    <row r="204" spans="1:15">
      <c r="A204" s="122" t="s">
        <v>43</v>
      </c>
      <c r="B204" s="189" t="str">
        <f>_xlfn.XLOOKUP(F204,品番!B:B,品番!G:G)</f>
        <v>A14D-2</v>
      </c>
      <c r="C204" s="189" t="str">
        <f>_xlfn.XLOOKUP(F204,品番!B:B,品番!C:C)</f>
        <v>コントローラ</v>
      </c>
      <c r="D204" s="189" t="str">
        <f>_xlfn.XLOOKUP(F204,品番!B:B,品番!D:D)</f>
        <v>メイン</v>
      </c>
      <c r="E204" s="179">
        <v>42850</v>
      </c>
      <c r="F204" s="180" t="s">
        <v>44</v>
      </c>
      <c r="G204" s="181">
        <v>3</v>
      </c>
      <c r="H204" s="125"/>
      <c r="K204" s="182"/>
      <c r="M204" s="266" t="str" cm="1">
        <f t="array" ref="M204">_xlfn.TEXTJOIN(",", TRUE, _xlfn._xlws.FILTER(適用号機!D:D, (適用号機!B:B=改定!F204)*(適用号機!C:C=改定!G204), ""))</f>
        <v>A14D-2</v>
      </c>
      <c r="N204" s="142" t="str">
        <f t="shared" si="4"/>
        <v>05642-00231-03</v>
      </c>
      <c r="O204" s="122" t="s">
        <v>1702</v>
      </c>
    </row>
    <row r="205" spans="1:15">
      <c r="A205" s="122" t="s">
        <v>43</v>
      </c>
      <c r="B205" s="189" t="str">
        <f>_xlfn.XLOOKUP(F205,品番!B:B,品番!G:G)</f>
        <v>A14D-2</v>
      </c>
      <c r="C205" s="189" t="str">
        <f>_xlfn.XLOOKUP(F205,品番!B:B,品番!C:C)</f>
        <v>コントローラ</v>
      </c>
      <c r="D205" s="189" t="str">
        <f>_xlfn.XLOOKUP(F205,品番!B:B,品番!D:D)</f>
        <v>メイン</v>
      </c>
      <c r="E205" s="179">
        <v>43183</v>
      </c>
      <c r="F205" s="180" t="s">
        <v>44</v>
      </c>
      <c r="G205" s="181">
        <v>4</v>
      </c>
      <c r="H205" s="125"/>
      <c r="K205" s="182"/>
      <c r="M205" s="266" t="str" cm="1">
        <f t="array" ref="M205">_xlfn.TEXTJOIN(",", TRUE, _xlfn._xlws.FILTER(適用号機!D:D, (適用号機!B:B=改定!F205)*(適用号機!C:C=改定!G205), ""))</f>
        <v>A14D-2</v>
      </c>
      <c r="N205" s="142" t="str">
        <f t="shared" si="4"/>
        <v>05642-00231-04</v>
      </c>
      <c r="O205" s="122" t="s">
        <v>1702</v>
      </c>
    </row>
    <row r="206" spans="1:15">
      <c r="A206" s="122" t="s">
        <v>43</v>
      </c>
      <c r="B206" s="189" t="str">
        <f>_xlfn.XLOOKUP(F206,品番!B:B,品番!G:G)</f>
        <v>A14D-2</v>
      </c>
      <c r="C206" s="189" t="str">
        <f>_xlfn.XLOOKUP(F206,品番!B:B,品番!C:C)</f>
        <v>コントローラ</v>
      </c>
      <c r="D206" s="189" t="str">
        <f>_xlfn.XLOOKUP(F206,品番!B:B,品番!D:D)</f>
        <v>メイン</v>
      </c>
      <c r="E206" s="179">
        <v>43589</v>
      </c>
      <c r="F206" s="180" t="s">
        <v>44</v>
      </c>
      <c r="G206" s="181">
        <v>5</v>
      </c>
      <c r="H206" s="122" t="s">
        <v>271</v>
      </c>
      <c r="I206" s="122" t="s">
        <v>273</v>
      </c>
      <c r="J206" t="s">
        <v>274</v>
      </c>
      <c r="K206" s="182"/>
      <c r="M206" s="266" t="str" cm="1">
        <f t="array" ref="M206">_xlfn.TEXTJOIN(",", TRUE, _xlfn._xlws.FILTER(適用号機!D:D, (適用号機!B:B=改定!F206)*(適用号機!C:C=改定!G206), ""))</f>
        <v>A14D-2</v>
      </c>
      <c r="N206" s="142" t="str">
        <f t="shared" si="4"/>
        <v>05642-00231-05</v>
      </c>
      <c r="O206" s="122" t="s">
        <v>1702</v>
      </c>
    </row>
    <row r="207" spans="1:15">
      <c r="A207" s="122" t="s">
        <v>52</v>
      </c>
      <c r="B207" s="189" t="str">
        <f>_xlfn.XLOOKUP(F207,品番!B:B,品番!G:G)</f>
        <v>A14FW</v>
      </c>
      <c r="C207" s="189" t="str">
        <f>_xlfn.XLOOKUP(F207,品番!B:B,品番!C:C)</f>
        <v>コントローラ</v>
      </c>
      <c r="D207" s="189" t="str">
        <f>_xlfn.XLOOKUP(F207,品番!B:B,品番!D:D)</f>
        <v>メイン</v>
      </c>
      <c r="E207" s="179">
        <v>42834</v>
      </c>
      <c r="F207" s="180" t="s">
        <v>55</v>
      </c>
      <c r="G207" s="181">
        <v>0</v>
      </c>
      <c r="I207" s="122" t="s">
        <v>290</v>
      </c>
      <c r="J207" s="122" t="s">
        <v>291</v>
      </c>
      <c r="L207" s="122" t="s">
        <v>292</v>
      </c>
      <c r="M207" s="266" t="str" cm="1">
        <f t="array" ref="M207">_xlfn.TEXTJOIN(",", TRUE, _xlfn._xlws.FILTER(適用号機!D:D, (適用号機!B:B=改定!F207)*(適用号機!C:C=改定!G207), ""))</f>
        <v>A14FW</v>
      </c>
      <c r="N207" s="142" t="str">
        <f t="shared" si="4"/>
        <v>05642-00250-00</v>
      </c>
      <c r="O207" s="122" t="s">
        <v>1702</v>
      </c>
    </row>
    <row r="208" spans="1:15">
      <c r="A208" s="122" t="s">
        <v>52</v>
      </c>
      <c r="B208" s="189" t="str">
        <f>_xlfn.XLOOKUP(F208,品番!B:B,品番!G:G)</f>
        <v>A14FW</v>
      </c>
      <c r="C208" s="189" t="str">
        <f>_xlfn.XLOOKUP(F208,品番!B:B,品番!C:C)</f>
        <v>コントローラ</v>
      </c>
      <c r="D208" s="189" t="str">
        <f>_xlfn.XLOOKUP(F208,品番!B:B,品番!D:D)</f>
        <v>メイン</v>
      </c>
      <c r="E208" s="179">
        <v>43461</v>
      </c>
      <c r="F208" s="180" t="s">
        <v>55</v>
      </c>
      <c r="G208" s="183">
        <v>1</v>
      </c>
      <c r="H208" s="125"/>
      <c r="I208" s="122" t="s">
        <v>290</v>
      </c>
      <c r="J208" s="122" t="s">
        <v>291</v>
      </c>
      <c r="K208" s="182"/>
      <c r="M208" s="266" t="str" cm="1">
        <f t="array" ref="M208">_xlfn.TEXTJOIN(",", TRUE, _xlfn._xlws.FILTER(適用号機!D:D, (適用号機!B:B=改定!F208)*(適用号機!C:C=改定!G208), ""))</f>
        <v>A14HW</v>
      </c>
      <c r="N208" s="142" t="str">
        <f t="shared" si="4"/>
        <v>05642-00250-01</v>
      </c>
      <c r="O208" s="122" t="s">
        <v>1702</v>
      </c>
    </row>
    <row r="209" spans="1:16">
      <c r="A209" s="122" t="s">
        <v>52</v>
      </c>
      <c r="B209" s="189" t="str">
        <f>_xlfn.XLOOKUP(F209,品番!B:B,品番!G:G)</f>
        <v>A14FW</v>
      </c>
      <c r="C209" s="189" t="str">
        <f>_xlfn.XLOOKUP(F209,品番!B:B,品番!C:C)</f>
        <v>コントローラ</v>
      </c>
      <c r="D209" s="189" t="str">
        <f>_xlfn.XLOOKUP(F209,品番!B:B,品番!D:D)</f>
        <v>メイン</v>
      </c>
      <c r="E209" s="179">
        <v>43796</v>
      </c>
      <c r="F209" s="180" t="s">
        <v>55</v>
      </c>
      <c r="G209" s="183">
        <v>2</v>
      </c>
      <c r="H209" s="125"/>
      <c r="I209" s="122" t="s">
        <v>290</v>
      </c>
      <c r="J209" s="122" t="s">
        <v>291</v>
      </c>
      <c r="K209" s="182"/>
      <c r="M209" s="266" t="str" cm="1">
        <f t="array" ref="M209">_xlfn.TEXTJOIN(",", TRUE, _xlfn._xlws.FILTER(適用号機!D:D, (適用号機!B:B=改定!F209)*(適用号機!C:C=改定!G209), ""))</f>
        <v>A14FW</v>
      </c>
      <c r="N209" s="142" t="str">
        <f t="shared" si="4"/>
        <v>05642-00250-02</v>
      </c>
      <c r="O209" s="122" t="s">
        <v>1702</v>
      </c>
    </row>
    <row r="210" spans="1:16">
      <c r="A210" s="122" t="s">
        <v>52</v>
      </c>
      <c r="B210" s="189" t="str">
        <f>_xlfn.XLOOKUP(F210,品番!B:B,品番!G:G)</f>
        <v>A14FW</v>
      </c>
      <c r="C210" s="189" t="str">
        <f>_xlfn.XLOOKUP(F210,品番!B:B,品番!C:C)</f>
        <v>コントローラ</v>
      </c>
      <c r="D210" s="189" t="str">
        <f>_xlfn.XLOOKUP(F210,品番!B:B,品番!D:D)</f>
        <v>メイン</v>
      </c>
      <c r="E210" s="179">
        <v>43815</v>
      </c>
      <c r="F210" s="180" t="s">
        <v>55</v>
      </c>
      <c r="G210" s="181">
        <v>3</v>
      </c>
      <c r="H210" s="125"/>
      <c r="I210" s="122" t="s">
        <v>290</v>
      </c>
      <c r="J210" s="122" t="s">
        <v>291</v>
      </c>
      <c r="K210" s="182"/>
      <c r="M210" s="266" t="str" cm="1">
        <f t="array" ref="M210">_xlfn.TEXTJOIN(",", TRUE, _xlfn._xlws.FILTER(適用号機!D:D, (適用号機!B:B=改定!F210)*(適用号機!C:C=改定!G210), ""))</f>
        <v>A14FW</v>
      </c>
      <c r="N210" s="142" t="str">
        <f t="shared" ref="N210:N273" si="5">F210 &amp;"-" &amp; TEXT(G210,"00")</f>
        <v>05642-00250-03</v>
      </c>
      <c r="O210" s="122" t="s">
        <v>1702</v>
      </c>
    </row>
    <row r="211" spans="1:16">
      <c r="A211" s="122" t="s">
        <v>52</v>
      </c>
      <c r="B211" s="189" t="str">
        <f>_xlfn.XLOOKUP(F211,品番!B:B,品番!G:G)</f>
        <v>A14FW</v>
      </c>
      <c r="C211" s="189" t="str">
        <f>_xlfn.XLOOKUP(F211,品番!B:B,品番!C:C)</f>
        <v>コントローラ</v>
      </c>
      <c r="D211" s="189" t="str">
        <f>_xlfn.XLOOKUP(F211,品番!B:B,品番!D:D)</f>
        <v>メイン</v>
      </c>
      <c r="E211" s="179">
        <v>44946</v>
      </c>
      <c r="F211" s="180" t="s">
        <v>55</v>
      </c>
      <c r="G211" s="183">
        <v>4</v>
      </c>
      <c r="H211" s="125"/>
      <c r="I211" s="122" t="s">
        <v>290</v>
      </c>
      <c r="J211" s="122" t="s">
        <v>291</v>
      </c>
      <c r="K211" s="182"/>
      <c r="M211" s="266" t="str" cm="1">
        <f t="array" ref="M211">_xlfn.TEXTJOIN(",", TRUE, _xlfn._xlws.FILTER(適用号機!D:D, (適用号機!B:B=改定!F211)*(適用号機!C:C=改定!G211), ""))</f>
        <v>A14FW</v>
      </c>
      <c r="N211" s="142" t="str">
        <f t="shared" si="5"/>
        <v>05642-00250-04</v>
      </c>
      <c r="O211" s="122" t="s">
        <v>1702</v>
      </c>
    </row>
    <row r="212" spans="1:16">
      <c r="A212" s="122" t="s">
        <v>52</v>
      </c>
      <c r="B212" s="189" t="str">
        <f>_xlfn.XLOOKUP(F212,品番!B:B,品番!G:G)</f>
        <v>A14FW</v>
      </c>
      <c r="C212" s="189" t="str">
        <f>_xlfn.XLOOKUP(F212,品番!B:B,品番!C:C)</f>
        <v>コントローラ</v>
      </c>
      <c r="D212" s="189" t="str">
        <f>_xlfn.XLOOKUP(F212,品番!B:B,品番!D:D)</f>
        <v>メイン</v>
      </c>
      <c r="E212" s="179">
        <v>55511</v>
      </c>
      <c r="F212" s="180" t="s">
        <v>55</v>
      </c>
      <c r="G212" s="183">
        <v>5</v>
      </c>
      <c r="H212" s="122" t="s">
        <v>293</v>
      </c>
      <c r="I212" s="122" t="s">
        <v>294</v>
      </c>
      <c r="J212" s="122" t="s">
        <v>295</v>
      </c>
      <c r="K212" s="182"/>
      <c r="L212" s="122" t="s">
        <v>31</v>
      </c>
      <c r="M212" s="266" t="str" cm="1">
        <f t="array" ref="M212">_xlfn.TEXTJOIN(",", TRUE, _xlfn._xlws.FILTER(適用号機!D:D, (適用号機!B:B=改定!F212)*(適用号機!C:C=改定!G212), ""))</f>
        <v>A14FW</v>
      </c>
      <c r="N212" s="142" t="str">
        <f t="shared" si="5"/>
        <v>05642-00250-05</v>
      </c>
      <c r="O212" s="122" t="s">
        <v>1702</v>
      </c>
    </row>
    <row r="213" spans="1:16">
      <c r="A213" s="122" t="s">
        <v>68</v>
      </c>
      <c r="B213" s="189" t="str">
        <f>_xlfn.XLOOKUP(F213,品番!B:B,品番!G:G)</f>
        <v>A14GW</v>
      </c>
      <c r="C213" s="189" t="str">
        <f>_xlfn.XLOOKUP(F213,品番!B:B,品番!C:C)</f>
        <v>コントローラ</v>
      </c>
      <c r="D213" s="189" t="str">
        <f>_xlfn.XLOOKUP(F213,品番!B:B,品番!D:D)</f>
        <v>メイン</v>
      </c>
      <c r="E213" s="179">
        <v>43315</v>
      </c>
      <c r="F213" s="180" t="s">
        <v>69</v>
      </c>
      <c r="G213" s="181">
        <v>0</v>
      </c>
      <c r="I213" s="122" t="s">
        <v>304</v>
      </c>
      <c r="K213" s="182" t="s">
        <v>187</v>
      </c>
      <c r="L213" s="122" t="s">
        <v>29</v>
      </c>
      <c r="M213" s="266" t="str" cm="1">
        <f t="array" ref="M213">_xlfn.TEXTJOIN(",", TRUE, _xlfn._xlws.FILTER(適用号機!D:D, (適用号機!B:B=改定!F213)*(適用号機!C:C=改定!G213), ""))</f>
        <v/>
      </c>
      <c r="N213" s="142" t="str">
        <f t="shared" si="5"/>
        <v>05642-00273-00</v>
      </c>
      <c r="O213" s="122" t="s">
        <v>1702</v>
      </c>
    </row>
    <row r="214" spans="1:16">
      <c r="A214" s="122" t="s">
        <v>68</v>
      </c>
      <c r="B214" s="189" t="str">
        <f>_xlfn.XLOOKUP(F214,品番!B:B,品番!G:G)</f>
        <v>A14GW</v>
      </c>
      <c r="C214" s="189" t="str">
        <f>_xlfn.XLOOKUP(F214,品番!B:B,品番!C:C)</f>
        <v>コントローラ</v>
      </c>
      <c r="D214" s="189" t="str">
        <f>_xlfn.XLOOKUP(F214,品番!B:B,品番!D:D)</f>
        <v>メイン</v>
      </c>
      <c r="E214" s="179">
        <v>45980</v>
      </c>
      <c r="F214" s="180" t="s">
        <v>69</v>
      </c>
      <c r="G214" s="183">
        <v>1</v>
      </c>
      <c r="K214" s="182"/>
      <c r="M214" s="266" t="str" cm="1">
        <f t="array" ref="M214">_xlfn.TEXTJOIN(",", TRUE, _xlfn._xlws.FILTER(適用号機!D:D, (適用号機!B:B=改定!F214)*(適用号機!C:C=改定!G214), ""))</f>
        <v xml:space="preserve">	A14GW,	A14HW</v>
      </c>
      <c r="N214" s="142" t="str">
        <f t="shared" si="5"/>
        <v>05642-00273-01</v>
      </c>
      <c r="O214" s="122" t="s">
        <v>1702</v>
      </c>
    </row>
    <row r="215" spans="1:16">
      <c r="A215" s="122" t="s">
        <v>68</v>
      </c>
      <c r="B215" s="189" t="str">
        <f>_xlfn.XLOOKUP(F215,品番!B:B,品番!G:G)</f>
        <v>A14GW</v>
      </c>
      <c r="C215" s="189" t="str">
        <f>_xlfn.XLOOKUP(F215,品番!B:B,品番!C:C)</f>
        <v>コントローラ</v>
      </c>
      <c r="D215" s="189" t="str">
        <f>_xlfn.XLOOKUP(F215,品番!B:B,品番!D:D)</f>
        <v>メイン</v>
      </c>
      <c r="E215" s="179">
        <v>46047</v>
      </c>
      <c r="F215" s="180" t="s">
        <v>69</v>
      </c>
      <c r="G215" s="183">
        <v>2</v>
      </c>
      <c r="K215" s="182"/>
      <c r="M215" s="266" t="str" cm="1">
        <f t="array" ref="M215">_xlfn.TEXTJOIN(",", TRUE, _xlfn._xlws.FILTER(適用号機!D:D, (適用号機!B:B=改定!F215)*(適用号機!C:C=改定!G215), ""))</f>
        <v>A14GW,	A14HW</v>
      </c>
      <c r="N215" s="142" t="str">
        <f t="shared" si="5"/>
        <v>05642-00273-02</v>
      </c>
      <c r="O215" s="122" t="s">
        <v>1702</v>
      </c>
    </row>
    <row r="216" spans="1:16">
      <c r="A216" s="122" t="s">
        <v>68</v>
      </c>
      <c r="B216" s="189" t="str">
        <f>_xlfn.XLOOKUP(F216,品番!B:B,品番!G:G)</f>
        <v>A14GW</v>
      </c>
      <c r="C216" s="189" t="str">
        <f>_xlfn.XLOOKUP(F216,品番!B:B,品番!C:C)</f>
        <v>コントローラ</v>
      </c>
      <c r="D216" s="189" t="str">
        <f>_xlfn.XLOOKUP(F216,品番!B:B,品番!D:D)</f>
        <v>メイン</v>
      </c>
      <c r="E216" s="179">
        <v>46081</v>
      </c>
      <c r="F216" s="180" t="s">
        <v>69</v>
      </c>
      <c r="G216" s="183">
        <v>3</v>
      </c>
      <c r="K216" s="182"/>
      <c r="M216" s="266" t="str" cm="1">
        <f t="array" ref="M216">_xlfn.TEXTJOIN(",", TRUE, _xlfn._xlws.FILTER(適用号機!D:D, (適用号機!B:B=改定!F216)*(適用号機!C:C=改定!G216), ""))</f>
        <v xml:space="preserve">	A14GW,	A14HW</v>
      </c>
      <c r="N216" s="142" t="str">
        <f t="shared" si="5"/>
        <v>05642-00273-03</v>
      </c>
      <c r="O216" s="122" t="s">
        <v>1702</v>
      </c>
    </row>
    <row r="217" spans="1:16">
      <c r="A217" s="122" t="s">
        <v>68</v>
      </c>
      <c r="B217" s="189" t="str">
        <f>_xlfn.XLOOKUP(F217,品番!B:B,品番!G:G)</f>
        <v>A14GW</v>
      </c>
      <c r="C217" s="189" t="str">
        <f>_xlfn.XLOOKUP(F217,品番!B:B,品番!C:C)</f>
        <v>コントローラ</v>
      </c>
      <c r="D217" s="189" t="str">
        <f>_xlfn.XLOOKUP(F217,品番!B:B,品番!D:D)</f>
        <v>メイン</v>
      </c>
      <c r="E217" s="179">
        <v>50466</v>
      </c>
      <c r="F217" s="180" t="s">
        <v>69</v>
      </c>
      <c r="G217" s="183">
        <v>4</v>
      </c>
      <c r="H217" s="122" t="s">
        <v>305</v>
      </c>
      <c r="K217" s="182"/>
      <c r="M217" s="266" t="str" cm="1">
        <f t="array" ref="M217">_xlfn.TEXTJOIN(",", TRUE, _xlfn._xlws.FILTER(適用号機!D:D, (適用号機!B:B=改定!F217)*(適用号機!C:C=改定!G217), ""))</f>
        <v/>
      </c>
      <c r="N217" s="142" t="str">
        <f t="shared" si="5"/>
        <v>05642-00273-04</v>
      </c>
      <c r="O217" s="122" t="s">
        <v>1702</v>
      </c>
    </row>
    <row r="218" spans="1:16">
      <c r="A218" s="122" t="s">
        <v>68</v>
      </c>
      <c r="B218" s="189" t="str">
        <f>_xlfn.XLOOKUP(F218,品番!B:B,品番!G:G)</f>
        <v>A14GW</v>
      </c>
      <c r="C218" s="189" t="str">
        <f>_xlfn.XLOOKUP(F218,品番!B:B,品番!C:C)</f>
        <v>コントローラ</v>
      </c>
      <c r="D218" s="189" t="str">
        <f>_xlfn.XLOOKUP(F218,品番!B:B,品番!D:D)</f>
        <v>メイン</v>
      </c>
      <c r="E218" s="179">
        <v>55511</v>
      </c>
      <c r="F218" s="180" t="s">
        <v>69</v>
      </c>
      <c r="G218" s="183">
        <v>5</v>
      </c>
      <c r="H218" s="122" t="s">
        <v>306</v>
      </c>
      <c r="J218"/>
      <c r="M218" s="266" t="str" cm="1">
        <f t="array" ref="M218">_xlfn.TEXTJOIN(",", TRUE, _xlfn._xlws.FILTER(適用号機!D:D, (適用号機!B:B=改定!F218)*(適用号機!C:C=改定!G218), ""))</f>
        <v xml:space="preserve">	A14GW</v>
      </c>
      <c r="N218" s="142" t="str">
        <f t="shared" si="5"/>
        <v>05642-00273-05</v>
      </c>
      <c r="O218" s="122" t="s">
        <v>1702</v>
      </c>
    </row>
    <row r="219" spans="1:16">
      <c r="A219" s="122" t="s">
        <v>307</v>
      </c>
      <c r="B219" s="189" t="str">
        <f>_xlfn.XLOOKUP(F219,品番!B:B,品番!G:G)</f>
        <v>A14GWHW</v>
      </c>
      <c r="C219" s="189" t="str">
        <f>_xlfn.XLOOKUP(F219,品番!B:B,品番!C:C)</f>
        <v>コントローラ</v>
      </c>
      <c r="D219" s="189" t="str">
        <f>_xlfn.XLOOKUP(F219,品番!B:B,品番!D:D)</f>
        <v>メイン</v>
      </c>
      <c r="E219" s="179">
        <v>43315</v>
      </c>
      <c r="F219" s="180" t="s">
        <v>77</v>
      </c>
      <c r="G219" s="181">
        <v>0</v>
      </c>
      <c r="K219" s="185" t="s">
        <v>312</v>
      </c>
      <c r="L219" s="122" t="s">
        <v>78</v>
      </c>
      <c r="M219" s="266" t="str" cm="1">
        <f t="array" ref="M219">_xlfn.TEXTJOIN(",", TRUE, _xlfn._xlws.FILTER(適用号機!D:D, (適用号機!B:B=改定!F219)*(適用号機!C:C=改定!G219), ""))</f>
        <v/>
      </c>
      <c r="N219" s="142" t="str">
        <f t="shared" si="5"/>
        <v>05642-00275-00</v>
      </c>
      <c r="O219" s="122" t="s">
        <v>1702</v>
      </c>
    </row>
    <row r="220" spans="1:16">
      <c r="A220" s="122" t="s">
        <v>307</v>
      </c>
      <c r="B220" s="189" t="str">
        <f>_xlfn.XLOOKUP(F220,品番!B:B,品番!G:G)</f>
        <v>A14GWHW</v>
      </c>
      <c r="C220" s="189" t="str">
        <f>_xlfn.XLOOKUP(F220,品番!B:B,品番!C:C)</f>
        <v>コントローラ</v>
      </c>
      <c r="D220" s="189" t="str">
        <f>_xlfn.XLOOKUP(F220,品番!B:B,品番!D:D)</f>
        <v>メイン</v>
      </c>
      <c r="E220" s="179">
        <v>45980</v>
      </c>
      <c r="F220" s="180" t="s">
        <v>77</v>
      </c>
      <c r="G220" s="183">
        <v>1</v>
      </c>
      <c r="M220" s="266" t="str" cm="1">
        <f t="array" ref="M220">_xlfn.TEXTJOIN(",", TRUE, _xlfn._xlws.FILTER(適用号機!D:D, (適用号機!B:B=改定!F220)*(適用号機!C:C=改定!G220), ""))</f>
        <v>A14GW,	A14HW</v>
      </c>
      <c r="N220" s="142" t="str">
        <f t="shared" si="5"/>
        <v>05642-00275-01</v>
      </c>
      <c r="O220" s="122" t="s">
        <v>1702</v>
      </c>
    </row>
    <row r="221" spans="1:16">
      <c r="A221" s="122" t="s">
        <v>307</v>
      </c>
      <c r="B221" s="189" t="str">
        <f>_xlfn.XLOOKUP(F221,品番!B:B,品番!G:G)</f>
        <v>A14GWHW</v>
      </c>
      <c r="C221" s="189" t="str">
        <f>_xlfn.XLOOKUP(F221,品番!B:B,品番!C:C)</f>
        <v>コントローラ</v>
      </c>
      <c r="D221" s="189" t="str">
        <f>_xlfn.XLOOKUP(F221,品番!B:B,品番!D:D)</f>
        <v>メイン</v>
      </c>
      <c r="E221" s="179">
        <v>47449</v>
      </c>
      <c r="F221" s="180" t="s">
        <v>77</v>
      </c>
      <c r="G221" s="181">
        <v>2</v>
      </c>
      <c r="M221" s="266" t="str" cm="1">
        <f t="array" ref="M221">_xlfn.TEXTJOIN(",", TRUE, _xlfn._xlws.FILTER(適用号機!D:D, (適用号機!B:B=改定!F221)*(適用号機!C:C=改定!G221), ""))</f>
        <v>A14HW,A14GW</v>
      </c>
      <c r="N221" s="142" t="str">
        <f t="shared" si="5"/>
        <v>05642-00275-02</v>
      </c>
      <c r="O221" s="122" t="s">
        <v>1702</v>
      </c>
    </row>
    <row r="222" spans="1:16">
      <c r="A222" s="122" t="s">
        <v>307</v>
      </c>
      <c r="B222" s="189" t="str">
        <f>_xlfn.XLOOKUP(F222,品番!B:B,品番!G:G)</f>
        <v>A14GWHW</v>
      </c>
      <c r="C222" s="189" t="str">
        <f>_xlfn.XLOOKUP(F222,品番!B:B,品番!C:C)</f>
        <v>コントローラ</v>
      </c>
      <c r="D222" s="189" t="str">
        <f>_xlfn.XLOOKUP(F222,品番!B:B,品番!D:D)</f>
        <v>メイン</v>
      </c>
      <c r="E222" s="179">
        <v>49659</v>
      </c>
      <c r="F222" s="180" t="s">
        <v>77</v>
      </c>
      <c r="G222" s="183">
        <v>3</v>
      </c>
      <c r="M222" s="266" t="str" cm="1">
        <f t="array" ref="M222">_xlfn.TEXTJOIN(",", TRUE, _xlfn._xlws.FILTER(適用号機!D:D, (適用号機!B:B=改定!F222)*(適用号機!C:C=改定!G222), ""))</f>
        <v>A14GW,A14HW</v>
      </c>
      <c r="N222" s="142" t="str">
        <f t="shared" si="5"/>
        <v>05642-00275-03</v>
      </c>
      <c r="O222" s="122" t="s">
        <v>1702</v>
      </c>
    </row>
    <row r="223" spans="1:16">
      <c r="A223" s="122" t="s">
        <v>307</v>
      </c>
      <c r="B223" s="189" t="str">
        <f>_xlfn.XLOOKUP(F223,品番!B:B,品番!G:G)</f>
        <v>A14GWHW</v>
      </c>
      <c r="C223" s="189" t="str">
        <f>_xlfn.XLOOKUP(F223,品番!B:B,品番!C:C)</f>
        <v>コントローラ</v>
      </c>
      <c r="D223" s="189" t="str">
        <f>_xlfn.XLOOKUP(F223,品番!B:B,品番!D:D)</f>
        <v>メイン</v>
      </c>
      <c r="E223" s="179">
        <v>51803</v>
      </c>
      <c r="F223" s="180" t="s">
        <v>77</v>
      </c>
      <c r="G223" s="183">
        <v>4</v>
      </c>
      <c r="H223" s="122" t="s">
        <v>313</v>
      </c>
      <c r="J223"/>
      <c r="M223" s="266" t="str" cm="1">
        <f t="array" ref="M223">_xlfn.TEXTJOIN(",", TRUE, _xlfn._xlws.FILTER(適用号機!D:D, (適用号機!B:B=改定!F223)*(適用号機!C:C=改定!G223), ""))</f>
        <v xml:space="preserve">	A14GW,A14HW</v>
      </c>
      <c r="N223" s="142" t="str">
        <f t="shared" si="5"/>
        <v>05642-00275-04</v>
      </c>
      <c r="O223" s="122" t="s">
        <v>1702</v>
      </c>
      <c r="P223"/>
    </row>
    <row r="224" spans="1:16">
      <c r="A224" s="122" t="s">
        <v>275</v>
      </c>
      <c r="B224" s="189" t="str">
        <f>_xlfn.XLOOKUP(F224,品番!B:B,品番!G:G)</f>
        <v>A14D-2/A14D-3</v>
      </c>
      <c r="C224" s="189" t="str">
        <f>_xlfn.XLOOKUP(F224,品番!B:B,品番!C:C)</f>
        <v>コントローラ</v>
      </c>
      <c r="D224" s="189" t="str">
        <f>_xlfn.XLOOKUP(F224,品番!B:B,品番!D:D)</f>
        <v>メイン</v>
      </c>
      <c r="E224" s="179">
        <v>45524</v>
      </c>
      <c r="F224" s="180" t="s">
        <v>276</v>
      </c>
      <c r="G224" s="181">
        <v>0</v>
      </c>
      <c r="H224" s="122" t="s">
        <v>277</v>
      </c>
      <c r="I224" s="122" t="s">
        <v>279</v>
      </c>
      <c r="J224" t="s">
        <v>280</v>
      </c>
      <c r="K224" s="182"/>
      <c r="L224" s="122" t="s">
        <v>29</v>
      </c>
      <c r="M224" s="266" t="str" cm="1">
        <f t="array" ref="M224">_xlfn.TEXTJOIN(",", TRUE, _xlfn._xlws.FILTER(適用号機!D:D, (適用号機!B:B=改定!F224)*(適用号機!C:C=改定!G224), ""))</f>
        <v>A14D-3</v>
      </c>
      <c r="N224" s="142" t="str">
        <f t="shared" si="5"/>
        <v>05642-00371-00</v>
      </c>
      <c r="O224" s="122" t="s">
        <v>1702</v>
      </c>
    </row>
    <row r="225" spans="1:16">
      <c r="A225" s="122" t="s">
        <v>275</v>
      </c>
      <c r="B225" s="189" t="str">
        <f>_xlfn.XLOOKUP(F225,品番!B:B,品番!G:G)</f>
        <v>A14D-2/A14D-3</v>
      </c>
      <c r="C225" s="189" t="str">
        <f>_xlfn.XLOOKUP(F225,品番!B:B,品番!C:C)</f>
        <v>コントローラ</v>
      </c>
      <c r="D225" s="189" t="str">
        <f>_xlfn.XLOOKUP(F225,品番!B:B,品番!D:D)</f>
        <v>メイン</v>
      </c>
      <c r="E225" s="179">
        <v>46655</v>
      </c>
      <c r="F225" s="180" t="s">
        <v>276</v>
      </c>
      <c r="G225" s="183">
        <v>1</v>
      </c>
      <c r="H225" s="122" t="s">
        <v>281</v>
      </c>
      <c r="I225" s="122" t="s">
        <v>282</v>
      </c>
      <c r="J225" s="132" t="s">
        <v>283</v>
      </c>
      <c r="K225" s="182"/>
      <c r="L225" s="122" t="s">
        <v>48</v>
      </c>
      <c r="M225" s="266" t="str" cm="1">
        <f t="array" ref="M225">_xlfn.TEXTJOIN(",", TRUE, _xlfn._xlws.FILTER(適用号機!D:D, (適用号機!B:B=改定!F225)*(適用号機!C:C=改定!G225), ""))</f>
        <v>A14D-2,	A14D-3</v>
      </c>
      <c r="N225" s="142" t="str">
        <f t="shared" si="5"/>
        <v>05642-00371-01</v>
      </c>
      <c r="O225" s="122" t="s">
        <v>1702</v>
      </c>
    </row>
    <row r="226" spans="1:16">
      <c r="A226" s="122" t="s">
        <v>79</v>
      </c>
      <c r="B226" s="189" t="str">
        <f>_xlfn.XLOOKUP(F226,品番!B:B,品番!G:G)</f>
        <v>A14H/I</v>
      </c>
      <c r="C226" s="189" t="str">
        <f>_xlfn.XLOOKUP(F226,品番!B:B,品番!C:C)</f>
        <v>コントローラ</v>
      </c>
      <c r="D226" s="189" t="str">
        <f>_xlfn.XLOOKUP(F226,品番!B:B,品番!D:D)</f>
        <v>メイン</v>
      </c>
      <c r="E226" s="179">
        <v>46010</v>
      </c>
      <c r="F226" s="180" t="s">
        <v>81</v>
      </c>
      <c r="G226" s="122">
        <v>0</v>
      </c>
      <c r="K226" s="182" t="s">
        <v>319</v>
      </c>
      <c r="L226" s="122" t="s">
        <v>82</v>
      </c>
      <c r="M226" s="266" t="str" cm="1">
        <f t="array" ref="M226">_xlfn.TEXTJOIN(",", TRUE, _xlfn._xlws.FILTER(適用号機!D:D, (適用号機!B:B=改定!F226)*(適用号機!C:C=改定!G226), ""))</f>
        <v>A14I</v>
      </c>
      <c r="N226" s="142" t="str">
        <f t="shared" si="5"/>
        <v>05642-00372-00</v>
      </c>
      <c r="O226" s="122" t="s">
        <v>1702</v>
      </c>
    </row>
    <row r="227" spans="1:16">
      <c r="A227" s="122" t="s">
        <v>79</v>
      </c>
      <c r="B227" s="189" t="str">
        <f>_xlfn.XLOOKUP(F227,品番!B:B,品番!G:G)</f>
        <v>A14H/I</v>
      </c>
      <c r="C227" s="189" t="str">
        <f>_xlfn.XLOOKUP(F227,品番!B:B,品番!C:C)</f>
        <v>コントローラ</v>
      </c>
      <c r="D227" s="189" t="str">
        <f>_xlfn.XLOOKUP(F227,品番!B:B,品番!D:D)</f>
        <v>メイン</v>
      </c>
      <c r="E227" s="179">
        <v>46756</v>
      </c>
      <c r="F227" s="180" t="s">
        <v>81</v>
      </c>
      <c r="G227" s="181">
        <v>1</v>
      </c>
      <c r="M227" s="266" t="str" cm="1">
        <f t="array" ref="M227">_xlfn.TEXTJOIN(",", TRUE, _xlfn._xlws.FILTER(適用号機!D:D, (適用号機!B:B=改定!F227)*(適用号機!C:C=改定!G227), ""))</f>
        <v>A14I</v>
      </c>
      <c r="N227" s="142" t="str">
        <f t="shared" si="5"/>
        <v>05642-00372-01</v>
      </c>
      <c r="O227" s="122" t="s">
        <v>1702</v>
      </c>
    </row>
    <row r="228" spans="1:16">
      <c r="A228" s="122" t="s">
        <v>79</v>
      </c>
      <c r="B228" s="189" t="str">
        <f>_xlfn.XLOOKUP(F228,品番!B:B,品番!G:G)</f>
        <v>A14H/I</v>
      </c>
      <c r="C228" s="189" t="str">
        <f>_xlfn.XLOOKUP(F228,品番!B:B,品番!C:C)</f>
        <v>コントローラ</v>
      </c>
      <c r="D228" s="189" t="str">
        <f>_xlfn.XLOOKUP(F228,品番!B:B,品番!D:D)</f>
        <v>メイン</v>
      </c>
      <c r="E228" s="179">
        <v>47519</v>
      </c>
      <c r="F228" s="180" t="s">
        <v>81</v>
      </c>
      <c r="G228" s="181">
        <v>2</v>
      </c>
      <c r="M228" s="266" t="str" cm="1">
        <f t="array" ref="M228">_xlfn.TEXTJOIN(",", TRUE, _xlfn._xlws.FILTER(適用号機!D:D, (適用号機!B:B=改定!F228)*(適用号機!C:C=改定!G228), ""))</f>
        <v/>
      </c>
      <c r="N228" s="142" t="str">
        <f t="shared" si="5"/>
        <v>05642-00372-02</v>
      </c>
      <c r="O228" s="122" t="s">
        <v>1702</v>
      </c>
    </row>
    <row r="229" spans="1:16">
      <c r="A229" s="122" t="s">
        <v>79</v>
      </c>
      <c r="B229" s="189" t="str">
        <f>_xlfn.XLOOKUP(F229,品番!B:B,品番!G:G)</f>
        <v>A14H/I</v>
      </c>
      <c r="C229" s="189" t="str">
        <f>_xlfn.XLOOKUP(F229,品番!B:B,品番!C:C)</f>
        <v>コントローラ</v>
      </c>
      <c r="D229" s="189" t="str">
        <f>_xlfn.XLOOKUP(F229,品番!B:B,品番!D:D)</f>
        <v>メイン</v>
      </c>
      <c r="E229" s="179">
        <v>47634</v>
      </c>
      <c r="F229" s="180" t="s">
        <v>81</v>
      </c>
      <c r="G229" s="181">
        <v>3</v>
      </c>
      <c r="M229" s="266" t="str" cm="1">
        <f t="array" ref="M229">_xlfn.TEXTJOIN(",", TRUE, _xlfn._xlws.FILTER(適用号機!D:D, (適用号機!B:B=改定!F229)*(適用号機!C:C=改定!G229), ""))</f>
        <v xml:space="preserve">	A14I</v>
      </c>
      <c r="N229" s="142" t="str">
        <f t="shared" si="5"/>
        <v>05642-00372-03</v>
      </c>
      <c r="O229" s="122" t="s">
        <v>1702</v>
      </c>
    </row>
    <row r="230" spans="1:16">
      <c r="A230" s="122" t="s">
        <v>79</v>
      </c>
      <c r="B230" s="189" t="str">
        <f>_xlfn.XLOOKUP(F230,品番!B:B,品番!G:G)</f>
        <v>A14H/I</v>
      </c>
      <c r="C230" s="189" t="str">
        <f>_xlfn.XLOOKUP(F230,品番!B:B,品番!C:C)</f>
        <v>コントローラ</v>
      </c>
      <c r="D230" s="189" t="str">
        <f>_xlfn.XLOOKUP(F230,品番!B:B,品番!D:D)</f>
        <v>メイン</v>
      </c>
      <c r="E230" s="179">
        <v>47974</v>
      </c>
      <c r="F230" s="180" t="s">
        <v>81</v>
      </c>
      <c r="G230" s="181">
        <v>4</v>
      </c>
      <c r="M230" s="266" t="str" cm="1">
        <f t="array" ref="M230">_xlfn.TEXTJOIN(",", TRUE, _xlfn._xlws.FILTER(適用号機!D:D, (適用号機!B:B=改定!F230)*(適用号機!C:C=改定!G230), ""))</f>
        <v>A14I</v>
      </c>
      <c r="N230" s="142" t="str">
        <f t="shared" si="5"/>
        <v>05642-00372-04</v>
      </c>
      <c r="O230" s="122" t="s">
        <v>1702</v>
      </c>
      <c r="P230"/>
    </row>
    <row r="231" spans="1:16">
      <c r="A231" s="122" t="s">
        <v>79</v>
      </c>
      <c r="B231" s="189" t="str">
        <f>_xlfn.XLOOKUP(F231,品番!B:B,品番!G:G)</f>
        <v>A14H/I</v>
      </c>
      <c r="C231" s="189" t="str">
        <f>_xlfn.XLOOKUP(F231,品番!B:B,品番!C:C)</f>
        <v>コントローラ</v>
      </c>
      <c r="D231" s="189" t="str">
        <f>_xlfn.XLOOKUP(F231,品番!B:B,品番!D:D)</f>
        <v>メイン</v>
      </c>
      <c r="E231" s="179">
        <v>48741</v>
      </c>
      <c r="F231" s="180" t="s">
        <v>81</v>
      </c>
      <c r="G231" s="181">
        <v>5</v>
      </c>
      <c r="M231" s="266" t="str" cm="1">
        <f t="array" ref="M231">_xlfn.TEXTJOIN(",", TRUE, _xlfn._xlws.FILTER(適用号機!D:D, (適用号機!B:B=改定!F231)*(適用号機!C:C=改定!G231), ""))</f>
        <v xml:space="preserve">	A14I</v>
      </c>
      <c r="N231" s="142" t="str">
        <f t="shared" si="5"/>
        <v>05642-00372-05</v>
      </c>
      <c r="O231" s="122" t="s">
        <v>1702</v>
      </c>
    </row>
    <row r="232" spans="1:16">
      <c r="A232" s="122" t="s">
        <v>79</v>
      </c>
      <c r="B232" s="189" t="str">
        <f>_xlfn.XLOOKUP(F232,品番!B:B,品番!G:G)</f>
        <v>A14H/I</v>
      </c>
      <c r="C232" s="189" t="str">
        <f>_xlfn.XLOOKUP(F232,品番!B:B,品番!C:C)</f>
        <v>コントローラ</v>
      </c>
      <c r="D232" s="189" t="str">
        <f>_xlfn.XLOOKUP(F232,品番!B:B,品番!D:D)</f>
        <v>メイン</v>
      </c>
      <c r="E232" s="179">
        <v>49695</v>
      </c>
      <c r="F232" s="180" t="s">
        <v>81</v>
      </c>
      <c r="G232" s="181">
        <v>6</v>
      </c>
      <c r="M232" s="266" t="str" cm="1">
        <f t="array" ref="M232">_xlfn.TEXTJOIN(",", TRUE, _xlfn._xlws.FILTER(適用号機!D:D, (適用号機!B:B=改定!F232)*(適用号機!C:C=改定!G232), ""))</f>
        <v xml:space="preserve">	A14I</v>
      </c>
      <c r="N232" s="142" t="str">
        <f t="shared" si="5"/>
        <v>05642-00372-06</v>
      </c>
      <c r="O232" s="122" t="s">
        <v>1702</v>
      </c>
    </row>
    <row r="233" spans="1:16">
      <c r="A233" s="122" t="s">
        <v>79</v>
      </c>
      <c r="B233" s="189" t="str">
        <f>_xlfn.XLOOKUP(F233,品番!B:B,品番!G:G)</f>
        <v>A14H/I</v>
      </c>
      <c r="C233" s="189" t="str">
        <f>_xlfn.XLOOKUP(F233,品番!B:B,品番!C:C)</f>
        <v>コントローラ</v>
      </c>
      <c r="D233" s="189" t="str">
        <f>_xlfn.XLOOKUP(F233,品番!B:B,品番!D:D)</f>
        <v>メイン</v>
      </c>
      <c r="E233" s="179">
        <v>50466</v>
      </c>
      <c r="F233" s="180" t="s">
        <v>81</v>
      </c>
      <c r="G233" s="181">
        <v>7</v>
      </c>
      <c r="M233" s="266" t="str" cm="1">
        <f t="array" ref="M233">_xlfn.TEXTJOIN(",", TRUE, _xlfn._xlws.FILTER(適用号機!D:D, (適用号機!B:B=改定!F233)*(適用号機!C:C=改定!G233), ""))</f>
        <v/>
      </c>
      <c r="N233" s="142" t="str">
        <f t="shared" si="5"/>
        <v>05642-00372-07</v>
      </c>
      <c r="O233" s="122" t="s">
        <v>1702</v>
      </c>
    </row>
    <row r="234" spans="1:16">
      <c r="A234" s="122" t="s">
        <v>79</v>
      </c>
      <c r="B234" s="189" t="str">
        <f>_xlfn.XLOOKUP(F234,品番!B:B,品番!G:G)</f>
        <v>A14H/I</v>
      </c>
      <c r="C234" s="189" t="str">
        <f>_xlfn.XLOOKUP(F234,品番!B:B,品番!C:C)</f>
        <v>コントローラ</v>
      </c>
      <c r="D234" s="189" t="str">
        <f>_xlfn.XLOOKUP(F234,品番!B:B,品番!D:D)</f>
        <v>メイン</v>
      </c>
      <c r="E234" s="179">
        <v>52576</v>
      </c>
      <c r="F234" s="180" t="s">
        <v>81</v>
      </c>
      <c r="G234" s="183">
        <v>8</v>
      </c>
      <c r="H234" s="122" t="s">
        <v>322</v>
      </c>
      <c r="I234" s="122" t="s">
        <v>323</v>
      </c>
      <c r="J234" s="132" t="s">
        <v>324</v>
      </c>
      <c r="M234" s="266" t="str" cm="1">
        <f t="array" ref="M234">_xlfn.TEXTJOIN(",", TRUE, _xlfn._xlws.FILTER(適用号機!D:D, (適用号機!B:B=改定!F234)*(適用号機!C:C=改定!G234), ""))</f>
        <v xml:space="preserve">	A14I</v>
      </c>
      <c r="N234" s="142" t="str">
        <f t="shared" si="5"/>
        <v>05642-00372-08</v>
      </c>
      <c r="O234" s="122" t="s">
        <v>1702</v>
      </c>
    </row>
    <row r="235" spans="1:16">
      <c r="A235" s="122" t="s">
        <v>185</v>
      </c>
      <c r="B235" s="189" t="str">
        <f>_xlfn.XLOOKUP(F235,品番!B:B,品番!G:G)</f>
        <v>F14F</v>
      </c>
      <c r="C235" s="189" t="str">
        <f>_xlfn.XLOOKUP(F235,品番!B:B,品番!C:C)</f>
        <v>コントローラ</v>
      </c>
      <c r="D235" s="189" t="str">
        <f>_xlfn.XLOOKUP(F235,品番!B:B,品番!D:D)</f>
        <v>メイン</v>
      </c>
      <c r="E235" s="179">
        <v>46280</v>
      </c>
      <c r="F235" s="180" t="s">
        <v>188</v>
      </c>
      <c r="G235" s="181">
        <v>0</v>
      </c>
      <c r="J235"/>
      <c r="K235" s="182" t="s">
        <v>189</v>
      </c>
      <c r="L235" s="122" t="s">
        <v>189</v>
      </c>
      <c r="M235" s="266" t="str" cm="1">
        <f t="array" ref="M235">_xlfn.TEXTJOIN(",", TRUE, _xlfn._xlws.FILTER(適用号機!D:D, (適用号機!B:B=改定!F235)*(適用号機!C:C=改定!G235), ""))</f>
        <v>F14F</v>
      </c>
      <c r="N235" s="142" t="str">
        <f t="shared" si="5"/>
        <v>05642-00373-00</v>
      </c>
      <c r="O235" s="122" t="s">
        <v>1702</v>
      </c>
    </row>
    <row r="236" spans="1:16">
      <c r="A236" s="122" t="s">
        <v>185</v>
      </c>
      <c r="B236" s="189" t="str">
        <f>_xlfn.XLOOKUP(F236,品番!B:B,品番!G:G)</f>
        <v>F14F</v>
      </c>
      <c r="C236" s="189" t="str">
        <f>_xlfn.XLOOKUP(F236,品番!B:B,品番!C:C)</f>
        <v>コントローラ</v>
      </c>
      <c r="D236" s="189" t="str">
        <f>_xlfn.XLOOKUP(F236,品番!B:B,品番!D:D)</f>
        <v>メイン</v>
      </c>
      <c r="E236" s="179">
        <v>46738</v>
      </c>
      <c r="F236" s="180" t="s">
        <v>188</v>
      </c>
      <c r="G236" s="181">
        <v>1</v>
      </c>
      <c r="J236"/>
      <c r="K236" s="182"/>
      <c r="M236" s="266" t="str" cm="1">
        <f t="array" ref="M236">_xlfn.TEXTJOIN(",", TRUE, _xlfn._xlws.FILTER(適用号機!D:D, (適用号機!B:B=改定!F236)*(適用号機!C:C=改定!G236), ""))</f>
        <v>F14F</v>
      </c>
      <c r="N236" s="142" t="str">
        <f t="shared" si="5"/>
        <v>05642-00373-01</v>
      </c>
      <c r="O236" s="122" t="s">
        <v>1702</v>
      </c>
    </row>
    <row r="237" spans="1:16">
      <c r="A237" s="122" t="s">
        <v>185</v>
      </c>
      <c r="B237" s="189" t="str">
        <f>_xlfn.XLOOKUP(F237,品番!B:B,品番!G:G)</f>
        <v>F14F</v>
      </c>
      <c r="C237" s="189" t="str">
        <f>_xlfn.XLOOKUP(F237,品番!B:B,品番!C:C)</f>
        <v>コントローラ</v>
      </c>
      <c r="D237" s="189" t="str">
        <f>_xlfn.XLOOKUP(F237,品番!B:B,品番!D:D)</f>
        <v>メイン</v>
      </c>
      <c r="E237" s="179">
        <v>47050</v>
      </c>
      <c r="F237" s="180" t="s">
        <v>188</v>
      </c>
      <c r="G237" s="181">
        <v>2</v>
      </c>
      <c r="J237"/>
      <c r="K237" s="182"/>
      <c r="M237" s="266" t="str" cm="1">
        <f t="array" ref="M237">_xlfn.TEXTJOIN(",", TRUE, _xlfn._xlws.FILTER(適用号機!D:D, (適用号機!B:B=改定!F237)*(適用号機!C:C=改定!G237), ""))</f>
        <v xml:space="preserve">	F14F</v>
      </c>
      <c r="N237" s="142" t="str">
        <f t="shared" si="5"/>
        <v>05642-00373-02</v>
      </c>
      <c r="O237" s="122" t="s">
        <v>1702</v>
      </c>
    </row>
    <row r="238" spans="1:16">
      <c r="A238" s="122" t="s">
        <v>185</v>
      </c>
      <c r="B238" s="189" t="str">
        <f>_xlfn.XLOOKUP(F238,品番!B:B,品番!G:G)</f>
        <v>F14F</v>
      </c>
      <c r="C238" s="189" t="str">
        <f>_xlfn.XLOOKUP(F238,品番!B:B,品番!C:C)</f>
        <v>コントローラ</v>
      </c>
      <c r="D238" s="189" t="str">
        <f>_xlfn.XLOOKUP(F238,品番!B:B,品番!D:D)</f>
        <v>メイン</v>
      </c>
      <c r="E238" s="179">
        <v>47086</v>
      </c>
      <c r="F238" s="180" t="s">
        <v>188</v>
      </c>
      <c r="G238" s="181">
        <v>3</v>
      </c>
      <c r="J238"/>
      <c r="K238" s="182"/>
      <c r="M238" s="266" t="str" cm="1">
        <f t="array" ref="M238">_xlfn.TEXTJOIN(",", TRUE, _xlfn._xlws.FILTER(適用号機!D:D, (適用号機!B:B=改定!F238)*(適用号機!C:C=改定!G238), ""))</f>
        <v xml:space="preserve">	F14F</v>
      </c>
      <c r="N238" s="142" t="str">
        <f t="shared" si="5"/>
        <v>05642-00373-03</v>
      </c>
      <c r="O238" s="122" t="s">
        <v>1702</v>
      </c>
    </row>
    <row r="239" spans="1:16">
      <c r="A239" s="122" t="s">
        <v>185</v>
      </c>
      <c r="B239" s="189" t="str">
        <f>_xlfn.XLOOKUP(F239,品番!B:B,品番!G:G)</f>
        <v>F14F</v>
      </c>
      <c r="C239" s="189" t="str">
        <f>_xlfn.XLOOKUP(F239,品番!B:B,品番!C:C)</f>
        <v>コントローラ</v>
      </c>
      <c r="D239" s="189" t="str">
        <f>_xlfn.XLOOKUP(F239,品番!B:B,品番!D:D)</f>
        <v>メイン</v>
      </c>
      <c r="E239" s="179">
        <v>47311</v>
      </c>
      <c r="F239" s="180" t="s">
        <v>188</v>
      </c>
      <c r="G239" s="181">
        <v>4</v>
      </c>
      <c r="J239"/>
      <c r="K239" s="182"/>
      <c r="M239" s="266" t="str" cm="1">
        <f t="array" ref="M239">_xlfn.TEXTJOIN(",", TRUE, _xlfn._xlws.FILTER(適用号機!D:D, (適用号機!B:B=改定!F239)*(適用号機!C:C=改定!G239), ""))</f>
        <v>F14F</v>
      </c>
      <c r="N239" s="142" t="str">
        <f t="shared" si="5"/>
        <v>05642-00373-04</v>
      </c>
      <c r="O239" s="122" t="s">
        <v>1702</v>
      </c>
    </row>
    <row r="240" spans="1:16">
      <c r="A240" s="122" t="s">
        <v>185</v>
      </c>
      <c r="B240" s="189" t="str">
        <f>_xlfn.XLOOKUP(F240,品番!B:B,品番!G:G)</f>
        <v>F14F</v>
      </c>
      <c r="C240" s="189" t="str">
        <f>_xlfn.XLOOKUP(F240,品番!B:B,品番!C:C)</f>
        <v>コントローラ</v>
      </c>
      <c r="D240" s="189" t="str">
        <f>_xlfn.XLOOKUP(F240,品番!B:B,品番!D:D)</f>
        <v>メイン</v>
      </c>
      <c r="E240" s="179">
        <v>47519</v>
      </c>
      <c r="F240" s="180" t="s">
        <v>188</v>
      </c>
      <c r="G240" s="181">
        <v>5</v>
      </c>
      <c r="J240"/>
      <c r="K240" s="182"/>
      <c r="M240" s="266" t="str" cm="1">
        <f t="array" ref="M240">_xlfn.TEXTJOIN(",", TRUE, _xlfn._xlws.FILTER(適用号機!D:D, (適用号機!B:B=改定!F240)*(適用号機!C:C=改定!G240), ""))</f>
        <v/>
      </c>
      <c r="N240" s="142" t="str">
        <f t="shared" si="5"/>
        <v>05642-00373-05</v>
      </c>
      <c r="O240" s="122" t="s">
        <v>1702</v>
      </c>
    </row>
    <row r="241" spans="1:15">
      <c r="A241" s="122" t="s">
        <v>185</v>
      </c>
      <c r="B241" s="189" t="str">
        <f>_xlfn.XLOOKUP(F241,品番!B:B,品番!G:G)</f>
        <v>F14F</v>
      </c>
      <c r="C241" s="189" t="str">
        <f>_xlfn.XLOOKUP(F241,品番!B:B,品番!C:C)</f>
        <v>コントローラ</v>
      </c>
      <c r="D241" s="189" t="str">
        <f>_xlfn.XLOOKUP(F241,品番!B:B,品番!D:D)</f>
        <v>メイン</v>
      </c>
      <c r="E241" s="179">
        <v>50466</v>
      </c>
      <c r="F241" s="180" t="s">
        <v>188</v>
      </c>
      <c r="G241" s="181">
        <v>6</v>
      </c>
      <c r="J241"/>
      <c r="K241" s="182"/>
      <c r="M241" s="266" t="str" cm="1">
        <f t="array" ref="M241">_xlfn.TEXTJOIN(",", TRUE, _xlfn._xlws.FILTER(適用号機!D:D, (適用号機!B:B=改定!F241)*(適用号機!C:C=改定!G241), ""))</f>
        <v/>
      </c>
      <c r="N241" s="142" t="str">
        <f t="shared" si="5"/>
        <v>05642-00373-06</v>
      </c>
      <c r="O241" s="122" t="s">
        <v>1702</v>
      </c>
    </row>
    <row r="242" spans="1:15">
      <c r="A242" s="122" t="s">
        <v>185</v>
      </c>
      <c r="B242" s="189" t="str">
        <f>_xlfn.XLOOKUP(F242,品番!B:B,品番!G:G)</f>
        <v>F14F</v>
      </c>
      <c r="C242" s="189" t="str">
        <f>_xlfn.XLOOKUP(F242,品番!B:B,品番!C:C)</f>
        <v>コントローラ</v>
      </c>
      <c r="D242" s="189" t="str">
        <f>_xlfn.XLOOKUP(F242,品番!B:B,品番!D:D)</f>
        <v>メイン</v>
      </c>
      <c r="E242" s="179">
        <v>55511</v>
      </c>
      <c r="F242" s="180" t="s">
        <v>188</v>
      </c>
      <c r="G242" s="181">
        <v>7</v>
      </c>
      <c r="H242" s="122" t="s">
        <v>265</v>
      </c>
      <c r="I242" s="122" t="s">
        <v>47</v>
      </c>
      <c r="J242" s="132" t="s">
        <v>47</v>
      </c>
      <c r="M242" s="266" t="str" cm="1">
        <f t="array" ref="M242">_xlfn.TEXTJOIN(",", TRUE, _xlfn._xlws.FILTER(適用号機!D:D, (適用号機!B:B=改定!F242)*(適用号機!C:C=改定!G242), ""))</f>
        <v/>
      </c>
      <c r="N242" s="142" t="str">
        <f t="shared" si="5"/>
        <v>05642-00373-07</v>
      </c>
      <c r="O242" s="122" t="s">
        <v>1702</v>
      </c>
    </row>
    <row r="243" spans="1:15">
      <c r="A243" s="142" t="s">
        <v>156</v>
      </c>
      <c r="B243" s="189" t="str">
        <f>_xlfn.XLOOKUP(F243,品番!B:B,品番!G:G)</f>
        <v>A9D/A14D/A25D</v>
      </c>
      <c r="C243" s="189" t="str">
        <f>_xlfn.XLOOKUP(F243,品番!B:B,品番!C:C)</f>
        <v>コントローラ</v>
      </c>
      <c r="D243" s="189" t="str">
        <f>_xlfn.XLOOKUP(F243,品番!B:B,品番!D:D)</f>
        <v>メイン</v>
      </c>
      <c r="E243" s="179">
        <v>49405</v>
      </c>
      <c r="F243" s="180" t="s">
        <v>158</v>
      </c>
      <c r="G243" s="183">
        <v>0</v>
      </c>
      <c r="H243" s="135"/>
      <c r="I243" s="122" t="s">
        <v>47</v>
      </c>
      <c r="J243" t="s">
        <v>47</v>
      </c>
      <c r="K243" s="182"/>
      <c r="L243" s="122" t="s">
        <v>159</v>
      </c>
      <c r="M243" s="266" t="str" cm="1">
        <f t="array" ref="M243">_xlfn.TEXTJOIN(",", TRUE, _xlfn._xlws.FILTER(適用号機!D:D, (適用号機!B:B=改定!F243)*(適用号機!C:C=改定!G243), ""))</f>
        <v>A9D,A25D,A11D-2,A11D,A14D-1</v>
      </c>
      <c r="N243" s="142" t="str">
        <f t="shared" si="5"/>
        <v>05642-00374-00</v>
      </c>
      <c r="O243" s="122" t="s">
        <v>1702</v>
      </c>
    </row>
    <row r="244" spans="1:15">
      <c r="A244" s="122" t="s">
        <v>79</v>
      </c>
      <c r="B244" s="189" t="str">
        <f>_xlfn.XLOOKUP(F244,品番!B:B,品番!G:G)</f>
        <v>A14H/I</v>
      </c>
      <c r="C244" s="189" t="str">
        <f>_xlfn.XLOOKUP(F244,品番!B:B,品番!C:C)</f>
        <v>コントローラ</v>
      </c>
      <c r="D244" s="189" t="str">
        <f>_xlfn.XLOOKUP(F244,品番!B:B,品番!D:D)</f>
        <v>メイン</v>
      </c>
      <c r="E244" s="179">
        <v>46104</v>
      </c>
      <c r="F244" s="180" t="s">
        <v>84</v>
      </c>
      <c r="G244" s="122">
        <v>0</v>
      </c>
      <c r="K244" s="182" t="s">
        <v>325</v>
      </c>
      <c r="L244" s="122" t="s">
        <v>31</v>
      </c>
      <c r="M244" s="266" t="str" cm="1">
        <f t="array" ref="M244">_xlfn.TEXTJOIN(",", TRUE, _xlfn._xlws.FILTER(適用号機!D:D, (適用号機!B:B=改定!F244)*(適用号機!C:C=改定!G244), ""))</f>
        <v>A14H,A14I</v>
      </c>
      <c r="N244" s="142" t="str">
        <f t="shared" si="5"/>
        <v>05642-00417-00</v>
      </c>
      <c r="O244" s="122" t="s">
        <v>1702</v>
      </c>
    </row>
    <row r="245" spans="1:15">
      <c r="A245" s="122" t="s">
        <v>79</v>
      </c>
      <c r="B245" s="189" t="str">
        <f>_xlfn.XLOOKUP(F245,品番!B:B,品番!G:G)</f>
        <v>A14H/I</v>
      </c>
      <c r="C245" s="189" t="str">
        <f>_xlfn.XLOOKUP(F245,品番!B:B,品番!C:C)</f>
        <v>コントローラ</v>
      </c>
      <c r="D245" s="189" t="str">
        <f>_xlfn.XLOOKUP(F245,品番!B:B,品番!D:D)</f>
        <v>メイン</v>
      </c>
      <c r="E245" s="179">
        <v>46756</v>
      </c>
      <c r="F245" s="180" t="s">
        <v>84</v>
      </c>
      <c r="G245" s="181">
        <v>1</v>
      </c>
      <c r="M245" s="266" t="str" cm="1">
        <f t="array" ref="M245">_xlfn.TEXTJOIN(",", TRUE, _xlfn._xlws.FILTER(適用号機!D:D, (適用号機!B:B=改定!F245)*(適用号機!C:C=改定!G245), ""))</f>
        <v>A14I,A14H</v>
      </c>
      <c r="N245" s="142" t="str">
        <f t="shared" si="5"/>
        <v>05642-00417-01</v>
      </c>
      <c r="O245" s="122" t="s">
        <v>1702</v>
      </c>
    </row>
    <row r="246" spans="1:15">
      <c r="A246" s="122" t="s">
        <v>79</v>
      </c>
      <c r="B246" s="189" t="str">
        <f>_xlfn.XLOOKUP(F246,品番!B:B,品番!G:G)</f>
        <v>A14H/I</v>
      </c>
      <c r="C246" s="189" t="str">
        <f>_xlfn.XLOOKUP(F246,品番!B:B,品番!C:C)</f>
        <v>コントローラ</v>
      </c>
      <c r="D246" s="189" t="str">
        <f>_xlfn.XLOOKUP(F246,品番!B:B,品番!D:D)</f>
        <v>メイン</v>
      </c>
      <c r="E246" s="179">
        <v>47519</v>
      </c>
      <c r="F246" s="180" t="s">
        <v>84</v>
      </c>
      <c r="G246" s="181">
        <v>2</v>
      </c>
      <c r="M246" s="266" t="str" cm="1">
        <f t="array" ref="M246">_xlfn.TEXTJOIN(",", TRUE, _xlfn._xlws.FILTER(適用号機!D:D, (適用号機!B:B=改定!F246)*(適用号機!C:C=改定!G246), ""))</f>
        <v/>
      </c>
      <c r="N246" s="142" t="str">
        <f t="shared" si="5"/>
        <v>05642-00417-02</v>
      </c>
      <c r="O246" s="122" t="s">
        <v>1702</v>
      </c>
    </row>
    <row r="247" spans="1:15">
      <c r="A247" s="122" t="s">
        <v>79</v>
      </c>
      <c r="B247" s="189" t="str">
        <f>_xlfn.XLOOKUP(F247,品番!B:B,品番!G:G)</f>
        <v>A14H/I</v>
      </c>
      <c r="C247" s="189" t="str">
        <f>_xlfn.XLOOKUP(F247,品番!B:B,品番!C:C)</f>
        <v>コントローラ</v>
      </c>
      <c r="D247" s="189" t="str">
        <f>_xlfn.XLOOKUP(F247,品番!B:B,品番!D:D)</f>
        <v>メイン</v>
      </c>
      <c r="E247" s="179">
        <v>47634</v>
      </c>
      <c r="F247" s="180" t="s">
        <v>84</v>
      </c>
      <c r="G247" s="181">
        <v>3</v>
      </c>
      <c r="M247" s="266" t="str" cm="1">
        <f t="array" ref="M247">_xlfn.TEXTJOIN(",", TRUE, _xlfn._xlws.FILTER(適用号機!D:D, (適用号機!B:B=改定!F247)*(適用号機!C:C=改定!G247), ""))</f>
        <v>A14H,A14I</v>
      </c>
      <c r="N247" s="142" t="str">
        <f t="shared" si="5"/>
        <v>05642-00417-03</v>
      </c>
      <c r="O247" s="122" t="s">
        <v>1702</v>
      </c>
    </row>
    <row r="248" spans="1:15">
      <c r="A248" s="122" t="s">
        <v>79</v>
      </c>
      <c r="B248" s="189" t="str">
        <f>_xlfn.XLOOKUP(F248,品番!B:B,品番!G:G)</f>
        <v>A14H/I</v>
      </c>
      <c r="C248" s="189" t="str">
        <f>_xlfn.XLOOKUP(F248,品番!B:B,品番!C:C)</f>
        <v>コントローラ</v>
      </c>
      <c r="D248" s="189" t="str">
        <f>_xlfn.XLOOKUP(F248,品番!B:B,品番!D:D)</f>
        <v>メイン</v>
      </c>
      <c r="E248" s="179">
        <v>49695</v>
      </c>
      <c r="F248" s="180" t="s">
        <v>84</v>
      </c>
      <c r="G248" s="181">
        <v>4</v>
      </c>
      <c r="M248" s="266" t="str" cm="1">
        <f t="array" ref="M248">_xlfn.TEXTJOIN(",", TRUE, _xlfn._xlws.FILTER(適用号機!D:D, (適用号機!B:B=改定!F248)*(適用号機!C:C=改定!G248), ""))</f>
        <v>A14H,A14I</v>
      </c>
      <c r="N248" s="142" t="str">
        <f t="shared" si="5"/>
        <v>05642-00417-04</v>
      </c>
      <c r="O248" s="122" t="s">
        <v>1702</v>
      </c>
    </row>
    <row r="249" spans="1:15">
      <c r="A249" s="122" t="s">
        <v>79</v>
      </c>
      <c r="B249" s="189" t="str">
        <f>_xlfn.XLOOKUP(F249,品番!B:B,品番!G:G)</f>
        <v>A14H/I</v>
      </c>
      <c r="C249" s="189" t="str">
        <f>_xlfn.XLOOKUP(F249,品番!B:B,品番!C:C)</f>
        <v>コントローラ</v>
      </c>
      <c r="D249" s="189" t="str">
        <f>_xlfn.XLOOKUP(F249,品番!B:B,品番!D:D)</f>
        <v>メイン</v>
      </c>
      <c r="E249" s="179">
        <v>49853</v>
      </c>
      <c r="F249" s="180" t="s">
        <v>84</v>
      </c>
      <c r="G249" s="181">
        <v>5</v>
      </c>
      <c r="M249" s="266" t="str" cm="1">
        <f t="array" ref="M249">_xlfn.TEXTJOIN(",", TRUE, _xlfn._xlws.FILTER(適用号機!D:D, (適用号機!B:B=改定!F249)*(適用号機!C:C=改定!G249), ""))</f>
        <v>A14H,A14I</v>
      </c>
      <c r="N249" s="142" t="str">
        <f t="shared" si="5"/>
        <v>05642-00417-05</v>
      </c>
      <c r="O249" s="122" t="s">
        <v>1702</v>
      </c>
    </row>
    <row r="250" spans="1:15">
      <c r="A250" s="122" t="s">
        <v>79</v>
      </c>
      <c r="B250" s="189" t="str">
        <f>_xlfn.XLOOKUP(F250,品番!B:B,品番!G:G)</f>
        <v>A14H/I</v>
      </c>
      <c r="C250" s="189" t="str">
        <f>_xlfn.XLOOKUP(F250,品番!B:B,品番!C:C)</f>
        <v>コントローラ</v>
      </c>
      <c r="D250" s="189" t="str">
        <f>_xlfn.XLOOKUP(F250,品番!B:B,品番!D:D)</f>
        <v>メイン</v>
      </c>
      <c r="E250" s="179">
        <v>50466</v>
      </c>
      <c r="F250" s="180" t="s">
        <v>84</v>
      </c>
      <c r="G250" s="181">
        <v>6</v>
      </c>
      <c r="M250" s="266" t="str" cm="1">
        <f t="array" ref="M250">_xlfn.TEXTJOIN(",", TRUE, _xlfn._xlws.FILTER(適用号機!D:D, (適用号機!B:B=改定!F250)*(適用号機!C:C=改定!G250), ""))</f>
        <v/>
      </c>
      <c r="N250" s="142" t="str">
        <f t="shared" si="5"/>
        <v>05642-00417-06</v>
      </c>
      <c r="O250" s="122" t="s">
        <v>1702</v>
      </c>
    </row>
    <row r="251" spans="1:15">
      <c r="A251" s="122" t="s">
        <v>79</v>
      </c>
      <c r="B251" s="189" t="str">
        <f>_xlfn.XLOOKUP(F251,品番!B:B,品番!G:G)</f>
        <v>A14H/I</v>
      </c>
      <c r="C251" s="189" t="str">
        <f>_xlfn.XLOOKUP(F251,品番!B:B,品番!C:C)</f>
        <v>コントローラ</v>
      </c>
      <c r="D251" s="189" t="str">
        <f>_xlfn.XLOOKUP(F251,品番!B:B,品番!D:D)</f>
        <v>メイン</v>
      </c>
      <c r="E251" s="179">
        <v>52576</v>
      </c>
      <c r="F251" s="180" t="s">
        <v>84</v>
      </c>
      <c r="G251" s="183">
        <v>7</v>
      </c>
      <c r="H251" s="122" t="s">
        <v>328</v>
      </c>
      <c r="I251" s="122" t="s">
        <v>329</v>
      </c>
      <c r="J251" s="132" t="s">
        <v>330</v>
      </c>
      <c r="M251" s="266" t="str" cm="1">
        <f t="array" ref="M251">_xlfn.TEXTJOIN(",", TRUE, _xlfn._xlws.FILTER(適用号機!D:D, (適用号機!B:B=改定!F251)*(適用号機!C:C=改定!G251), ""))</f>
        <v xml:space="preserve">	A14H</v>
      </c>
      <c r="N251" s="142" t="str">
        <f t="shared" si="5"/>
        <v>05642-00417-07</v>
      </c>
      <c r="O251" s="122" t="s">
        <v>1702</v>
      </c>
    </row>
    <row r="252" spans="1:15">
      <c r="A252" s="122" t="s">
        <v>307</v>
      </c>
      <c r="B252" s="189" t="str">
        <f>_xlfn.XLOOKUP(F252,品番!B:B,品番!G:G)</f>
        <v>A14GWHW</v>
      </c>
      <c r="C252" s="189" t="str">
        <f>_xlfn.XLOOKUP(F252,品番!B:B,品番!C:C)</f>
        <v>コントローラ</v>
      </c>
      <c r="D252" s="189" t="str">
        <f>_xlfn.XLOOKUP(F252,品番!B:B,品番!D:D)</f>
        <v>メイン</v>
      </c>
      <c r="E252" s="179">
        <v>46309</v>
      </c>
      <c r="F252" s="180" t="s">
        <v>71</v>
      </c>
      <c r="G252" s="181">
        <v>0</v>
      </c>
      <c r="K252" s="185" t="s">
        <v>308</v>
      </c>
      <c r="L252" s="122" t="s">
        <v>72</v>
      </c>
      <c r="M252" s="266" t="str" cm="1">
        <f t="array" ref="M252">_xlfn.TEXTJOIN(",", TRUE, _xlfn._xlws.FILTER(適用号機!D:D, (適用号機!B:B=改定!F252)*(適用号機!C:C=改定!G252), ""))</f>
        <v xml:space="preserve">	A14HW,A14GW</v>
      </c>
      <c r="N252" s="142" t="str">
        <f t="shared" si="5"/>
        <v>05642-00426-00</v>
      </c>
      <c r="O252" s="122" t="s">
        <v>1702</v>
      </c>
    </row>
    <row r="253" spans="1:15">
      <c r="A253" s="122" t="s">
        <v>307</v>
      </c>
      <c r="B253" s="189" t="str">
        <f>_xlfn.XLOOKUP(F253,品番!B:B,品番!G:G)</f>
        <v>A14GWHW</v>
      </c>
      <c r="C253" s="189" t="str">
        <f>_xlfn.XLOOKUP(F253,品番!B:B,品番!C:C)</f>
        <v>コントローラ</v>
      </c>
      <c r="D253" s="189" t="str">
        <f>_xlfn.XLOOKUP(F253,品番!B:B,品番!D:D)</f>
        <v>メイン</v>
      </c>
      <c r="E253" s="179">
        <v>46860</v>
      </c>
      <c r="F253" s="180" t="s">
        <v>71</v>
      </c>
      <c r="G253" s="183">
        <v>1</v>
      </c>
      <c r="K253" s="182"/>
      <c r="M253" s="266" t="str" cm="1">
        <f t="array" ref="M253">_xlfn.TEXTJOIN(",", TRUE, _xlfn._xlws.FILTER(適用号機!D:D, (適用号機!B:B=改定!F253)*(適用号機!C:C=改定!G253), ""))</f>
        <v xml:space="preserve">	A14HW,	A14GW</v>
      </c>
      <c r="N253" s="142" t="str">
        <f t="shared" si="5"/>
        <v>05642-00426-01</v>
      </c>
      <c r="O253" s="122" t="s">
        <v>1702</v>
      </c>
    </row>
    <row r="254" spans="1:15">
      <c r="A254" s="122" t="s">
        <v>307</v>
      </c>
      <c r="B254" s="189" t="str">
        <f>_xlfn.XLOOKUP(F254,品番!B:B,品番!G:G)</f>
        <v>A14GWHW</v>
      </c>
      <c r="C254" s="189" t="str">
        <f>_xlfn.XLOOKUP(F254,品番!B:B,品番!C:C)</f>
        <v>コントローラ</v>
      </c>
      <c r="D254" s="189" t="str">
        <f>_xlfn.XLOOKUP(F254,品番!B:B,品番!D:D)</f>
        <v>メイン</v>
      </c>
      <c r="E254" s="179">
        <v>47449</v>
      </c>
      <c r="F254" s="180" t="s">
        <v>71</v>
      </c>
      <c r="G254" s="183">
        <v>2</v>
      </c>
      <c r="K254" s="182"/>
      <c r="M254" s="266" t="str" cm="1">
        <f t="array" ref="M254">_xlfn.TEXTJOIN(",", TRUE, _xlfn._xlws.FILTER(適用号機!D:D, (適用号機!B:B=改定!F254)*(適用号機!C:C=改定!G254), ""))</f>
        <v xml:space="preserve">	A14HW,	A14GW</v>
      </c>
      <c r="N254" s="142" t="str">
        <f t="shared" si="5"/>
        <v>05642-00426-02</v>
      </c>
      <c r="O254" s="122" t="s">
        <v>1702</v>
      </c>
    </row>
    <row r="255" spans="1:15">
      <c r="A255" s="122" t="s">
        <v>307</v>
      </c>
      <c r="B255" s="189" t="str">
        <f>_xlfn.XLOOKUP(F255,品番!B:B,品番!G:G)</f>
        <v>A14GWHW</v>
      </c>
      <c r="C255" s="189" t="str">
        <f>_xlfn.XLOOKUP(F255,品番!B:B,品番!C:C)</f>
        <v>コントローラ</v>
      </c>
      <c r="D255" s="189" t="str">
        <f>_xlfn.XLOOKUP(F255,品番!B:B,品番!D:D)</f>
        <v>メイン</v>
      </c>
      <c r="E255" s="179">
        <v>48284</v>
      </c>
      <c r="F255" s="180" t="s">
        <v>71</v>
      </c>
      <c r="G255" s="183">
        <v>3</v>
      </c>
      <c r="K255" s="182"/>
      <c r="M255" s="266" t="str" cm="1">
        <f t="array" ref="M255">_xlfn.TEXTJOIN(",", TRUE, _xlfn._xlws.FILTER(適用号機!D:D, (適用号機!B:B=改定!F255)*(適用号機!C:C=改定!G255), ""))</f>
        <v>A14HW,A14GW</v>
      </c>
      <c r="N255" s="142" t="str">
        <f t="shared" si="5"/>
        <v>05642-00426-03</v>
      </c>
      <c r="O255" s="122" t="s">
        <v>1702</v>
      </c>
    </row>
    <row r="256" spans="1:15">
      <c r="A256" s="122" t="s">
        <v>307</v>
      </c>
      <c r="B256" s="189" t="str">
        <f>_xlfn.XLOOKUP(F256,品番!B:B,品番!G:G)</f>
        <v>A14GWHW</v>
      </c>
      <c r="C256" s="189" t="str">
        <f>_xlfn.XLOOKUP(F256,品番!B:B,品番!C:C)</f>
        <v>コントローラ</v>
      </c>
      <c r="D256" s="189" t="str">
        <f>_xlfn.XLOOKUP(F256,品番!B:B,品番!D:D)</f>
        <v>メイン</v>
      </c>
      <c r="E256" s="179">
        <v>50466</v>
      </c>
      <c r="F256" s="180" t="s">
        <v>71</v>
      </c>
      <c r="G256" s="183">
        <v>4</v>
      </c>
      <c r="M256" s="266" t="str" cm="1">
        <f t="array" ref="M256">_xlfn.TEXTJOIN(",", TRUE, _xlfn._xlws.FILTER(適用号機!D:D, (適用号機!B:B=改定!F256)*(適用号機!C:C=改定!G256), ""))</f>
        <v/>
      </c>
      <c r="N256" s="142" t="str">
        <f t="shared" si="5"/>
        <v>05642-00426-04</v>
      </c>
      <c r="O256" s="122" t="s">
        <v>1702</v>
      </c>
    </row>
    <row r="257" spans="1:15">
      <c r="A257" s="122" t="s">
        <v>307</v>
      </c>
      <c r="B257" s="189" t="str">
        <f>_xlfn.XLOOKUP(F257,品番!B:B,品番!G:G)</f>
        <v>A14GWHW</v>
      </c>
      <c r="C257" s="189" t="str">
        <f>_xlfn.XLOOKUP(F257,品番!B:B,品番!C:C)</f>
        <v>コントローラ</v>
      </c>
      <c r="D257" s="189" t="str">
        <f>_xlfn.XLOOKUP(F257,品番!B:B,品番!D:D)</f>
        <v>メイン</v>
      </c>
      <c r="E257" s="179">
        <v>55511</v>
      </c>
      <c r="F257" s="180" t="s">
        <v>71</v>
      </c>
      <c r="G257" s="183">
        <v>5</v>
      </c>
      <c r="H257" s="122" t="s">
        <v>309</v>
      </c>
      <c r="J257"/>
      <c r="M257" s="266" t="str" cm="1">
        <f t="array" ref="M257">_xlfn.TEXTJOIN(",", TRUE, _xlfn._xlws.FILTER(適用号機!D:D, (適用号機!B:B=改定!F257)*(適用号機!C:C=改定!G257), ""))</f>
        <v/>
      </c>
      <c r="N257" s="142" t="str">
        <f t="shared" si="5"/>
        <v>05642-00426-05</v>
      </c>
      <c r="O257" s="122" t="s">
        <v>1702</v>
      </c>
    </row>
    <row r="258" spans="1:15">
      <c r="A258" s="122" t="s">
        <v>79</v>
      </c>
      <c r="B258" s="189" t="str">
        <f>_xlfn.XLOOKUP(F258,品番!B:B,品番!G:G)</f>
        <v>A14H/I</v>
      </c>
      <c r="C258" s="189" t="str">
        <f>_xlfn.XLOOKUP(F258,品番!B:B,品番!C:C)</f>
        <v>コントローラ</v>
      </c>
      <c r="D258" s="189" t="str">
        <f>_xlfn.XLOOKUP(F258,品番!B:B,品番!D:D)</f>
        <v>メイン</v>
      </c>
      <c r="E258" s="179">
        <v>47366</v>
      </c>
      <c r="F258" s="180" t="s">
        <v>91</v>
      </c>
      <c r="G258" s="181">
        <v>0</v>
      </c>
      <c r="K258" s="182"/>
      <c r="L258" s="122" t="s">
        <v>92</v>
      </c>
      <c r="M258" s="266" t="str" cm="1">
        <f t="array" ref="M258">_xlfn.TEXTJOIN(",", TRUE, _xlfn._xlws.FILTER(適用号機!D:D, (適用号機!B:B=改定!F258)*(適用号機!C:C=改定!G258), ""))</f>
        <v/>
      </c>
      <c r="N258" s="142" t="str">
        <f t="shared" si="5"/>
        <v>05642-00455-00</v>
      </c>
      <c r="O258" s="122" t="s">
        <v>1702</v>
      </c>
    </row>
    <row r="259" spans="1:15">
      <c r="A259" s="122" t="s">
        <v>79</v>
      </c>
      <c r="B259" s="189" t="str">
        <f>_xlfn.XLOOKUP(F259,品番!B:B,品番!G:G)</f>
        <v>A14H/I</v>
      </c>
      <c r="C259" s="189" t="str">
        <f>_xlfn.XLOOKUP(F259,品番!B:B,品番!C:C)</f>
        <v>コントローラ</v>
      </c>
      <c r="D259" s="189" t="str">
        <f>_xlfn.XLOOKUP(F259,品番!B:B,品番!D:D)</f>
        <v>メイン</v>
      </c>
      <c r="E259" s="179">
        <v>47519</v>
      </c>
      <c r="F259" s="180" t="s">
        <v>91</v>
      </c>
      <c r="G259" s="181">
        <v>1</v>
      </c>
      <c r="M259" s="266" t="str" cm="1">
        <f t="array" ref="M259">_xlfn.TEXTJOIN(",", TRUE, _xlfn._xlws.FILTER(適用号機!D:D, (適用号機!B:B=改定!F259)*(適用号機!C:C=改定!G259), ""))</f>
        <v/>
      </c>
      <c r="N259" s="142" t="str">
        <f t="shared" si="5"/>
        <v>05642-00455-01</v>
      </c>
      <c r="O259" s="122" t="s">
        <v>1702</v>
      </c>
    </row>
    <row r="260" spans="1:15">
      <c r="A260" s="122" t="s">
        <v>79</v>
      </c>
      <c r="B260" s="189" t="str">
        <f>_xlfn.XLOOKUP(F260,品番!B:B,品番!G:G)</f>
        <v>A14H/I</v>
      </c>
      <c r="C260" s="189" t="str">
        <f>_xlfn.XLOOKUP(F260,品番!B:B,品番!C:C)</f>
        <v>コントローラ</v>
      </c>
      <c r="D260" s="189" t="str">
        <f>_xlfn.XLOOKUP(F260,品番!B:B,品番!D:D)</f>
        <v>メイン</v>
      </c>
      <c r="E260" s="179">
        <v>47634</v>
      </c>
      <c r="F260" s="180" t="s">
        <v>91</v>
      </c>
      <c r="G260" s="181">
        <v>2</v>
      </c>
      <c r="M260" s="266" t="str" cm="1">
        <f t="array" ref="M260">_xlfn.TEXTJOIN(",", TRUE, _xlfn._xlws.FILTER(適用号機!D:D, (適用号機!B:B=改定!F260)*(適用号機!C:C=改定!G260), ""))</f>
        <v/>
      </c>
      <c r="N260" s="142" t="str">
        <f t="shared" si="5"/>
        <v>05642-00455-02</v>
      </c>
      <c r="O260" s="122" t="s">
        <v>1702</v>
      </c>
    </row>
    <row r="261" spans="1:15">
      <c r="A261" s="122" t="s">
        <v>79</v>
      </c>
      <c r="B261" s="189" t="str">
        <f>_xlfn.XLOOKUP(F261,品番!B:B,品番!G:G)</f>
        <v>A14H/I</v>
      </c>
      <c r="C261" s="189" t="str">
        <f>_xlfn.XLOOKUP(F261,品番!B:B,品番!C:C)</f>
        <v>コントローラ</v>
      </c>
      <c r="D261" s="189" t="str">
        <f>_xlfn.XLOOKUP(F261,品番!B:B,品番!D:D)</f>
        <v>メイン</v>
      </c>
      <c r="E261" s="179">
        <v>47974</v>
      </c>
      <c r="F261" s="180" t="s">
        <v>91</v>
      </c>
      <c r="G261" s="181">
        <v>3</v>
      </c>
      <c r="M261" s="266" t="str" cm="1">
        <f t="array" ref="M261">_xlfn.TEXTJOIN(",", TRUE, _xlfn._xlws.FILTER(適用号機!D:D, (適用号機!B:B=改定!F261)*(適用号機!C:C=改定!G261), ""))</f>
        <v/>
      </c>
      <c r="N261" s="142" t="str">
        <f t="shared" si="5"/>
        <v>05642-00455-03</v>
      </c>
      <c r="O261" s="122" t="s">
        <v>1702</v>
      </c>
    </row>
    <row r="262" spans="1:15">
      <c r="A262" s="122" t="s">
        <v>79</v>
      </c>
      <c r="B262" s="189" t="str">
        <f>_xlfn.XLOOKUP(F262,品番!B:B,品番!G:G)</f>
        <v>A14H/I</v>
      </c>
      <c r="C262" s="189" t="str">
        <f>_xlfn.XLOOKUP(F262,品番!B:B,品番!C:C)</f>
        <v>コントローラ</v>
      </c>
      <c r="D262" s="189" t="str">
        <f>_xlfn.XLOOKUP(F262,品番!B:B,品番!D:D)</f>
        <v>メイン</v>
      </c>
      <c r="E262" s="179">
        <v>49695</v>
      </c>
      <c r="F262" s="180" t="s">
        <v>91</v>
      </c>
      <c r="G262" s="181">
        <v>4</v>
      </c>
      <c r="M262" s="266" t="str" cm="1">
        <f t="array" ref="M262">_xlfn.TEXTJOIN(",", TRUE, _xlfn._xlws.FILTER(適用号機!D:D, (適用号機!B:B=改定!F262)*(適用号機!C:C=改定!G262), ""))</f>
        <v>A14I</v>
      </c>
      <c r="N262" s="142" t="str">
        <f t="shared" si="5"/>
        <v>05642-00455-04</v>
      </c>
      <c r="O262" s="122" t="s">
        <v>1702</v>
      </c>
    </row>
    <row r="263" spans="1:15">
      <c r="A263" s="122" t="s">
        <v>79</v>
      </c>
      <c r="B263" s="189" t="str">
        <f>_xlfn.XLOOKUP(F263,品番!B:B,品番!G:G)</f>
        <v>A14H/I</v>
      </c>
      <c r="C263" s="189" t="str">
        <f>_xlfn.XLOOKUP(F263,品番!B:B,品番!C:C)</f>
        <v>コントローラ</v>
      </c>
      <c r="D263" s="189" t="str">
        <f>_xlfn.XLOOKUP(F263,品番!B:B,品番!D:D)</f>
        <v>メイン</v>
      </c>
      <c r="E263" s="179">
        <v>49853</v>
      </c>
      <c r="F263" s="180" t="s">
        <v>91</v>
      </c>
      <c r="G263" s="181">
        <v>5</v>
      </c>
      <c r="M263" s="266" t="str" cm="1">
        <f t="array" ref="M263">_xlfn.TEXTJOIN(",", TRUE, _xlfn._xlws.FILTER(適用号機!D:D, (適用号機!B:B=改定!F263)*(適用号機!C:C=改定!G263), ""))</f>
        <v/>
      </c>
      <c r="N263" s="142" t="str">
        <f t="shared" si="5"/>
        <v>05642-00455-05</v>
      </c>
      <c r="O263" s="122" t="s">
        <v>1702</v>
      </c>
    </row>
    <row r="264" spans="1:15">
      <c r="A264" s="122" t="s">
        <v>79</v>
      </c>
      <c r="B264" s="189" t="str">
        <f>_xlfn.XLOOKUP(F264,品番!B:B,品番!G:G)</f>
        <v>A14H/I</v>
      </c>
      <c r="C264" s="189" t="str">
        <f>_xlfn.XLOOKUP(F264,品番!B:B,品番!C:C)</f>
        <v>コントローラ</v>
      </c>
      <c r="D264" s="189" t="str">
        <f>_xlfn.XLOOKUP(F264,品番!B:B,品番!D:D)</f>
        <v>メイン</v>
      </c>
      <c r="E264" s="179">
        <v>50466</v>
      </c>
      <c r="F264" s="180" t="s">
        <v>91</v>
      </c>
      <c r="G264" s="181">
        <v>6</v>
      </c>
      <c r="M264" s="266" t="str" cm="1">
        <f t="array" ref="M264">_xlfn.TEXTJOIN(",", TRUE, _xlfn._xlws.FILTER(適用号機!D:D, (適用号機!B:B=改定!F264)*(適用号機!C:C=改定!G264), ""))</f>
        <v/>
      </c>
      <c r="N264" s="142" t="str">
        <f t="shared" si="5"/>
        <v>05642-00455-06</v>
      </c>
      <c r="O264" s="122" t="s">
        <v>1702</v>
      </c>
    </row>
    <row r="265" spans="1:15">
      <c r="A265" s="122" t="s">
        <v>79</v>
      </c>
      <c r="B265" s="189" t="str">
        <f>_xlfn.XLOOKUP(F265,品番!B:B,品番!G:G)</f>
        <v>A14H/I</v>
      </c>
      <c r="C265" s="189" t="str">
        <f>_xlfn.XLOOKUP(F265,品番!B:B,品番!C:C)</f>
        <v>コントローラ</v>
      </c>
      <c r="D265" s="189" t="str">
        <f>_xlfn.XLOOKUP(F265,品番!B:B,品番!D:D)</f>
        <v>メイン</v>
      </c>
      <c r="E265" s="179">
        <v>52576</v>
      </c>
      <c r="F265" s="180" t="s">
        <v>91</v>
      </c>
      <c r="G265" s="183">
        <v>7</v>
      </c>
      <c r="H265" s="122" t="s">
        <v>338</v>
      </c>
      <c r="I265" s="122" t="s">
        <v>339</v>
      </c>
      <c r="J265" s="122" t="s">
        <v>340</v>
      </c>
      <c r="M265" s="266" t="str" cm="1">
        <f t="array" ref="M265">_xlfn.TEXTJOIN(",", TRUE, _xlfn._xlws.FILTER(適用号機!D:D, (適用号機!B:B=改定!F265)*(適用号機!C:C=改定!G265), ""))</f>
        <v/>
      </c>
      <c r="N265" s="142" t="str">
        <f t="shared" si="5"/>
        <v>05642-00455-07</v>
      </c>
      <c r="O265" s="122" t="s">
        <v>1702</v>
      </c>
    </row>
    <row r="266" spans="1:15">
      <c r="A266" s="122" t="s">
        <v>79</v>
      </c>
      <c r="B266" s="189" t="str">
        <f>_xlfn.XLOOKUP(F266,品番!B:B,品番!G:G)</f>
        <v>A14H/I</v>
      </c>
      <c r="C266" s="189" t="str">
        <f>_xlfn.XLOOKUP(F266,品番!B:B,品番!C:C)</f>
        <v>コントローラ</v>
      </c>
      <c r="D266" s="189" t="str">
        <f>_xlfn.XLOOKUP(F266,品番!B:B,品番!D:D)</f>
        <v>メイン</v>
      </c>
      <c r="E266" s="179">
        <v>47366</v>
      </c>
      <c r="F266" s="180" t="s">
        <v>93</v>
      </c>
      <c r="G266" s="181">
        <v>0</v>
      </c>
      <c r="K266" s="182"/>
      <c r="L266" s="122" t="s">
        <v>94</v>
      </c>
      <c r="M266" s="266" t="str" cm="1">
        <f t="array" ref="M266">_xlfn.TEXTJOIN(",", TRUE, _xlfn._xlws.FILTER(適用号機!D:D, (適用号機!B:B=改定!F266)*(適用号機!C:C=改定!G266), ""))</f>
        <v/>
      </c>
      <c r="N266" s="142" t="str">
        <f t="shared" si="5"/>
        <v>05642-00456-00</v>
      </c>
      <c r="O266" s="122" t="s">
        <v>1702</v>
      </c>
    </row>
    <row r="267" spans="1:15">
      <c r="A267" s="122" t="s">
        <v>79</v>
      </c>
      <c r="B267" s="189" t="str">
        <f>_xlfn.XLOOKUP(F267,品番!B:B,品番!G:G)</f>
        <v>A14H/I</v>
      </c>
      <c r="C267" s="189" t="str">
        <f>_xlfn.XLOOKUP(F267,品番!B:B,品番!C:C)</f>
        <v>コントローラ</v>
      </c>
      <c r="D267" s="189" t="str">
        <f>_xlfn.XLOOKUP(F267,品番!B:B,品番!D:D)</f>
        <v>メイン</v>
      </c>
      <c r="E267" s="179">
        <v>47519</v>
      </c>
      <c r="F267" s="180" t="s">
        <v>93</v>
      </c>
      <c r="G267" s="181">
        <v>1</v>
      </c>
      <c r="M267" s="266" t="str" cm="1">
        <f t="array" ref="M267">_xlfn.TEXTJOIN(",", TRUE, _xlfn._xlws.FILTER(適用号機!D:D, (適用号機!B:B=改定!F267)*(適用号機!C:C=改定!G267), ""))</f>
        <v/>
      </c>
      <c r="N267" s="142" t="str">
        <f t="shared" si="5"/>
        <v>05642-00456-01</v>
      </c>
      <c r="O267" s="122" t="s">
        <v>1702</v>
      </c>
    </row>
    <row r="268" spans="1:15">
      <c r="A268" s="122" t="s">
        <v>79</v>
      </c>
      <c r="B268" s="189" t="str">
        <f>_xlfn.XLOOKUP(F268,品番!B:B,品番!G:G)</f>
        <v>A14H/I</v>
      </c>
      <c r="C268" s="189" t="str">
        <f>_xlfn.XLOOKUP(F268,品番!B:B,品番!C:C)</f>
        <v>コントローラ</v>
      </c>
      <c r="D268" s="189" t="str">
        <f>_xlfn.XLOOKUP(F268,品番!B:B,品番!D:D)</f>
        <v>メイン</v>
      </c>
      <c r="E268" s="179">
        <v>47634</v>
      </c>
      <c r="F268" s="180" t="s">
        <v>93</v>
      </c>
      <c r="G268" s="181">
        <v>2</v>
      </c>
      <c r="M268" s="266" t="str" cm="1">
        <f t="array" ref="M268">_xlfn.TEXTJOIN(",", TRUE, _xlfn._xlws.FILTER(適用号機!D:D, (適用号機!B:B=改定!F268)*(適用号機!C:C=改定!G268), ""))</f>
        <v/>
      </c>
      <c r="N268" s="142" t="str">
        <f t="shared" si="5"/>
        <v>05642-00456-02</v>
      </c>
      <c r="O268" s="122" t="s">
        <v>1702</v>
      </c>
    </row>
    <row r="269" spans="1:15">
      <c r="A269" s="122" t="s">
        <v>79</v>
      </c>
      <c r="B269" s="189" t="str">
        <f>_xlfn.XLOOKUP(F269,品番!B:B,品番!G:G)</f>
        <v>A14H/I</v>
      </c>
      <c r="C269" s="189" t="str">
        <f>_xlfn.XLOOKUP(F269,品番!B:B,品番!C:C)</f>
        <v>コントローラ</v>
      </c>
      <c r="D269" s="189" t="str">
        <f>_xlfn.XLOOKUP(F269,品番!B:B,品番!D:D)</f>
        <v>メイン</v>
      </c>
      <c r="E269" s="179">
        <v>49695</v>
      </c>
      <c r="F269" s="180" t="s">
        <v>93</v>
      </c>
      <c r="G269" s="181">
        <v>3</v>
      </c>
      <c r="M269" s="266" t="str" cm="1">
        <f t="array" ref="M269">_xlfn.TEXTJOIN(",", TRUE, _xlfn._xlws.FILTER(適用号機!D:D, (適用号機!B:B=改定!F269)*(適用号機!C:C=改定!G269), ""))</f>
        <v/>
      </c>
      <c r="N269" s="142" t="str">
        <f t="shared" si="5"/>
        <v>05642-00456-03</v>
      </c>
      <c r="O269" s="122" t="s">
        <v>1702</v>
      </c>
    </row>
    <row r="270" spans="1:15">
      <c r="A270" s="122" t="s">
        <v>79</v>
      </c>
      <c r="B270" s="189" t="str">
        <f>_xlfn.XLOOKUP(F270,品番!B:B,品番!G:G)</f>
        <v>A14H/I</v>
      </c>
      <c r="C270" s="189" t="str">
        <f>_xlfn.XLOOKUP(F270,品番!B:B,品番!C:C)</f>
        <v>コントローラ</v>
      </c>
      <c r="D270" s="189" t="str">
        <f>_xlfn.XLOOKUP(F270,品番!B:B,品番!D:D)</f>
        <v>メイン</v>
      </c>
      <c r="E270" s="179">
        <v>49853</v>
      </c>
      <c r="F270" s="180" t="s">
        <v>93</v>
      </c>
      <c r="G270" s="181">
        <v>4</v>
      </c>
      <c r="M270" s="266" t="str" cm="1">
        <f t="array" ref="M270">_xlfn.TEXTJOIN(",", TRUE, _xlfn._xlws.FILTER(適用号機!D:D, (適用号機!B:B=改定!F270)*(適用号機!C:C=改定!G270), ""))</f>
        <v/>
      </c>
      <c r="N270" s="142" t="str">
        <f t="shared" si="5"/>
        <v>05642-00456-04</v>
      </c>
      <c r="O270" s="122" t="s">
        <v>1702</v>
      </c>
    </row>
    <row r="271" spans="1:15">
      <c r="A271" s="122" t="s">
        <v>79</v>
      </c>
      <c r="B271" s="189" t="str">
        <f>_xlfn.XLOOKUP(F271,品番!B:B,品番!G:G)</f>
        <v>A14H/I</v>
      </c>
      <c r="C271" s="189" t="str">
        <f>_xlfn.XLOOKUP(F271,品番!B:B,品番!C:C)</f>
        <v>コントローラ</v>
      </c>
      <c r="D271" s="189" t="str">
        <f>_xlfn.XLOOKUP(F271,品番!B:B,品番!D:D)</f>
        <v>メイン</v>
      </c>
      <c r="E271" s="179">
        <v>50466</v>
      </c>
      <c r="F271" s="180" t="s">
        <v>93</v>
      </c>
      <c r="G271" s="181">
        <v>5</v>
      </c>
      <c r="M271" s="266" t="str" cm="1">
        <f t="array" ref="M271">_xlfn.TEXTJOIN(",", TRUE, _xlfn._xlws.FILTER(適用号機!D:D, (適用号機!B:B=改定!F271)*(適用号機!C:C=改定!G271), ""))</f>
        <v/>
      </c>
      <c r="N271" s="142" t="str">
        <f t="shared" si="5"/>
        <v>05642-00456-05</v>
      </c>
      <c r="O271" s="122" t="s">
        <v>1702</v>
      </c>
    </row>
    <row r="272" spans="1:15">
      <c r="A272" s="122" t="s">
        <v>79</v>
      </c>
      <c r="B272" s="189" t="str">
        <f>_xlfn.XLOOKUP(F272,品番!B:B,品番!G:G)</f>
        <v>A14H/I</v>
      </c>
      <c r="C272" s="189" t="str">
        <f>_xlfn.XLOOKUP(F272,品番!B:B,品番!C:C)</f>
        <v>コントローラ</v>
      </c>
      <c r="D272" s="189" t="str">
        <f>_xlfn.XLOOKUP(F272,品番!B:B,品番!D:D)</f>
        <v>メイン</v>
      </c>
      <c r="E272" s="179">
        <v>52576</v>
      </c>
      <c r="F272" s="180" t="s">
        <v>93</v>
      </c>
      <c r="G272" s="183">
        <v>6</v>
      </c>
      <c r="H272" s="122" t="s">
        <v>343</v>
      </c>
      <c r="I272" s="122" t="s">
        <v>344</v>
      </c>
      <c r="J272" s="122" t="s">
        <v>345</v>
      </c>
      <c r="M272" s="266" t="str" cm="1">
        <f t="array" ref="M272">_xlfn.TEXTJOIN(",", TRUE, _xlfn._xlws.FILTER(適用号機!D:D, (適用号機!B:B=改定!F272)*(適用号機!C:C=改定!G272), ""))</f>
        <v/>
      </c>
      <c r="N272" s="142" t="str">
        <f t="shared" si="5"/>
        <v>05642-00456-06</v>
      </c>
      <c r="O272" s="122" t="s">
        <v>1702</v>
      </c>
    </row>
    <row r="273" spans="1:16">
      <c r="A273" s="122" t="s">
        <v>185</v>
      </c>
      <c r="B273" s="189" t="str">
        <f>_xlfn.XLOOKUP(F273,品番!B:B,品番!G:G)</f>
        <v>F14F</v>
      </c>
      <c r="C273" s="189" t="str">
        <f>_xlfn.XLOOKUP(F273,品番!B:B,品番!C:C)</f>
        <v>コントローラ</v>
      </c>
      <c r="D273" s="189" t="str">
        <f>_xlfn.XLOOKUP(F273,品番!B:B,品番!D:D)</f>
        <v>メイン</v>
      </c>
      <c r="E273" s="179">
        <v>47466</v>
      </c>
      <c r="F273" s="180" t="s">
        <v>196</v>
      </c>
      <c r="G273" s="181">
        <v>0</v>
      </c>
      <c r="J273" s="132"/>
      <c r="K273" s="182"/>
      <c r="L273" s="122" t="s">
        <v>139</v>
      </c>
      <c r="M273" s="266" t="str" cm="1">
        <f t="array" ref="M273">_xlfn.TEXTJOIN(",", TRUE, _xlfn._xlws.FILTER(適用号機!D:D, (適用号機!B:B=改定!F273)*(適用号機!C:C=改定!G273), ""))</f>
        <v/>
      </c>
      <c r="N273" s="142" t="str">
        <f t="shared" si="5"/>
        <v>05642-00457-00</v>
      </c>
      <c r="O273" s="122" t="s">
        <v>1702</v>
      </c>
    </row>
    <row r="274" spans="1:16">
      <c r="A274" s="122" t="s">
        <v>185</v>
      </c>
      <c r="B274" s="189" t="str">
        <f>_xlfn.XLOOKUP(F274,品番!B:B,品番!G:G)</f>
        <v>F14F</v>
      </c>
      <c r="C274" s="189" t="str">
        <f>_xlfn.XLOOKUP(F274,品番!B:B,品番!C:C)</f>
        <v>コントローラ</v>
      </c>
      <c r="D274" s="189" t="str">
        <f>_xlfn.XLOOKUP(F274,品番!B:B,品番!D:D)</f>
        <v>メイン</v>
      </c>
      <c r="E274" s="179">
        <v>47519</v>
      </c>
      <c r="F274" s="180" t="s">
        <v>196</v>
      </c>
      <c r="G274" s="181">
        <v>1</v>
      </c>
      <c r="H274" s="122" t="s">
        <v>434</v>
      </c>
      <c r="I274" s="122" t="s">
        <v>47</v>
      </c>
      <c r="J274" s="122" t="s">
        <v>47</v>
      </c>
      <c r="K274" s="182"/>
      <c r="M274" s="266" t="str" cm="1">
        <f t="array" ref="M274">_xlfn.TEXTJOIN(",", TRUE, _xlfn._xlws.FILTER(適用号機!D:D, (適用号機!B:B=改定!F274)*(適用号機!C:C=改定!G274), ""))</f>
        <v/>
      </c>
      <c r="N274" s="142" t="str">
        <f t="shared" ref="N274:N337" si="6">F274 &amp;"-" &amp; TEXT(G274,"00")</f>
        <v>05642-00457-01</v>
      </c>
      <c r="O274" s="122" t="s">
        <v>1702</v>
      </c>
    </row>
    <row r="275" spans="1:16">
      <c r="A275" s="122" t="s">
        <v>79</v>
      </c>
      <c r="B275" s="189" t="str">
        <f>_xlfn.XLOOKUP(F275,品番!B:B,品番!G:G)</f>
        <v>A14H/I</v>
      </c>
      <c r="C275" s="189" t="str">
        <f>_xlfn.XLOOKUP(F275,品番!B:B,品番!C:C)</f>
        <v>コントローラ</v>
      </c>
      <c r="D275" s="189" t="str">
        <f>_xlfn.XLOOKUP(F275,品番!B:B,品番!D:D)</f>
        <v>メイン</v>
      </c>
      <c r="E275" s="179">
        <v>49650</v>
      </c>
      <c r="F275" s="180" t="s">
        <v>86</v>
      </c>
      <c r="G275" s="181">
        <v>0</v>
      </c>
      <c r="K275" s="182" t="s">
        <v>87</v>
      </c>
      <c r="L275" s="122" t="s">
        <v>87</v>
      </c>
      <c r="M275" s="266" t="str" cm="1">
        <f t="array" ref="M275">_xlfn.TEXTJOIN(",", TRUE, _xlfn._xlws.FILTER(適用号機!D:D, (適用号機!B:B=改定!F275)*(適用号機!C:C=改定!G275), ""))</f>
        <v>A14I</v>
      </c>
      <c r="N275" s="142" t="str">
        <f t="shared" si="6"/>
        <v>05642-00483-00</v>
      </c>
      <c r="O275" s="122" t="s">
        <v>1702</v>
      </c>
    </row>
    <row r="276" spans="1:16">
      <c r="A276" s="122" t="s">
        <v>79</v>
      </c>
      <c r="B276" s="189" t="str">
        <f>_xlfn.XLOOKUP(F276,品番!B:B,品番!G:G)</f>
        <v>A14H/I</v>
      </c>
      <c r="C276" s="189" t="str">
        <f>_xlfn.XLOOKUP(F276,品番!B:B,品番!C:C)</f>
        <v>コントローラ</v>
      </c>
      <c r="D276" s="189" t="str">
        <f>_xlfn.XLOOKUP(F276,品番!B:B,品番!D:D)</f>
        <v>メイン</v>
      </c>
      <c r="E276" s="179">
        <v>49695</v>
      </c>
      <c r="F276" s="180" t="s">
        <v>86</v>
      </c>
      <c r="G276" s="181">
        <v>1</v>
      </c>
      <c r="M276" s="266" t="str" cm="1">
        <f t="array" ref="M276">_xlfn.TEXTJOIN(",", TRUE, _xlfn._xlws.FILTER(適用号機!D:D, (適用号機!B:B=改定!F276)*(適用号機!C:C=改定!G276), ""))</f>
        <v>A14I</v>
      </c>
      <c r="N276" s="142" t="str">
        <f t="shared" si="6"/>
        <v>05642-00483-01</v>
      </c>
      <c r="O276" s="122" t="s">
        <v>1702</v>
      </c>
    </row>
    <row r="277" spans="1:16">
      <c r="A277" s="122" t="s">
        <v>79</v>
      </c>
      <c r="B277" s="189" t="str">
        <f>_xlfn.XLOOKUP(F277,品番!B:B,品番!G:G)</f>
        <v>A14H/I</v>
      </c>
      <c r="C277" s="189" t="str">
        <f>_xlfn.XLOOKUP(F277,品番!B:B,品番!C:C)</f>
        <v>コントローラ</v>
      </c>
      <c r="D277" s="189" t="str">
        <f>_xlfn.XLOOKUP(F277,品番!B:B,品番!D:D)</f>
        <v>メイン</v>
      </c>
      <c r="E277" s="179">
        <v>50466</v>
      </c>
      <c r="F277" s="180" t="s">
        <v>86</v>
      </c>
      <c r="G277" s="181">
        <v>2</v>
      </c>
      <c r="L277" s="122" t="s">
        <v>1857</v>
      </c>
      <c r="M277" s="266" t="str" cm="1">
        <f t="array" ref="M277">_xlfn.TEXTJOIN(",", TRUE, _xlfn._xlws.FILTER(適用号機!D:D, (適用号機!B:B=改定!F277)*(適用号機!C:C=改定!G277), ""))</f>
        <v xml:space="preserve">	A14I</v>
      </c>
      <c r="N277" s="142" t="str">
        <f t="shared" si="6"/>
        <v>05642-00483-02</v>
      </c>
      <c r="O277" s="122" t="s">
        <v>1702</v>
      </c>
    </row>
    <row r="278" spans="1:16">
      <c r="A278" s="122" t="s">
        <v>79</v>
      </c>
      <c r="B278" s="189" t="str">
        <f>_xlfn.XLOOKUP(F278,品番!B:B,品番!G:G)</f>
        <v>A14H/I</v>
      </c>
      <c r="C278" s="189" t="str">
        <f>_xlfn.XLOOKUP(F278,品番!B:B,品番!C:C)</f>
        <v>コントローラ</v>
      </c>
      <c r="D278" s="189" t="str">
        <f>_xlfn.XLOOKUP(F278,品番!B:B,品番!D:D)</f>
        <v>メイン</v>
      </c>
      <c r="E278" s="179">
        <v>51873</v>
      </c>
      <c r="F278" s="180" t="s">
        <v>86</v>
      </c>
      <c r="G278" s="181">
        <v>3</v>
      </c>
      <c r="M278" s="266" t="str" cm="1">
        <f t="array" ref="M278">_xlfn.TEXTJOIN(",", TRUE, _xlfn._xlws.FILTER(適用号機!D:D, (適用号機!B:B=改定!F278)*(適用号機!C:C=改定!G278), ""))</f>
        <v>A14I</v>
      </c>
      <c r="N278" s="142" t="str">
        <f t="shared" si="6"/>
        <v>05642-00483-03</v>
      </c>
      <c r="O278" s="122" t="s">
        <v>1702</v>
      </c>
      <c r="P278"/>
    </row>
    <row r="279" spans="1:16">
      <c r="A279" s="122" t="s">
        <v>79</v>
      </c>
      <c r="B279" s="189" t="str">
        <f>_xlfn.XLOOKUP(F279,品番!B:B,品番!G:G)</f>
        <v>A14H/I</v>
      </c>
      <c r="C279" s="189" t="str">
        <f>_xlfn.XLOOKUP(F279,品番!B:B,品番!C:C)</f>
        <v>コントローラ</v>
      </c>
      <c r="D279" s="189" t="str">
        <f>_xlfn.XLOOKUP(F279,品番!B:B,品番!D:D)</f>
        <v>メイン</v>
      </c>
      <c r="E279" s="179">
        <v>52576</v>
      </c>
      <c r="F279" s="180" t="s">
        <v>86</v>
      </c>
      <c r="G279" s="181">
        <v>4</v>
      </c>
      <c r="M279" s="266" t="str" cm="1">
        <f t="array" ref="M279">_xlfn.TEXTJOIN(",", TRUE, _xlfn._xlws.FILTER(適用号機!D:D, (適用号機!B:B=改定!F279)*(適用号機!C:C=改定!G279), ""))</f>
        <v xml:space="preserve">	A14I</v>
      </c>
      <c r="N279" s="142" t="str">
        <f t="shared" si="6"/>
        <v>05642-00483-04</v>
      </c>
      <c r="O279" s="122" t="s">
        <v>1702</v>
      </c>
    </row>
    <row r="280" spans="1:16">
      <c r="A280" s="122" t="s">
        <v>79</v>
      </c>
      <c r="B280" s="189" t="str">
        <f>_xlfn.XLOOKUP(F280,品番!B:B,品番!G:G)</f>
        <v>A14H/I</v>
      </c>
      <c r="C280" s="189" t="str">
        <f>_xlfn.XLOOKUP(F280,品番!B:B,品番!C:C)</f>
        <v>コントローラ</v>
      </c>
      <c r="D280" s="189" t="str">
        <f>_xlfn.XLOOKUP(F280,品番!B:B,品番!D:D)</f>
        <v>メイン</v>
      </c>
      <c r="E280" s="179">
        <v>53292</v>
      </c>
      <c r="F280" s="180" t="s">
        <v>86</v>
      </c>
      <c r="G280" s="183">
        <v>5</v>
      </c>
      <c r="H280" s="122" t="s">
        <v>331</v>
      </c>
      <c r="I280" s="122" t="s">
        <v>332</v>
      </c>
      <c r="J280" s="132" t="s">
        <v>333</v>
      </c>
      <c r="M280" s="266" t="str" cm="1">
        <f t="array" ref="M280">_xlfn.TEXTJOIN(",", TRUE, _xlfn._xlws.FILTER(適用号機!D:D, (適用号機!B:B=改定!F280)*(適用号機!C:C=改定!G280), ""))</f>
        <v>A14I,	A14I</v>
      </c>
      <c r="N280" s="142" t="str">
        <f t="shared" si="6"/>
        <v>05642-00483-05</v>
      </c>
      <c r="O280" s="122" t="s">
        <v>1702</v>
      </c>
    </row>
    <row r="281" spans="1:16">
      <c r="A281" s="122" t="s">
        <v>185</v>
      </c>
      <c r="B281" s="189" t="str">
        <f>_xlfn.XLOOKUP(F281,品番!B:B,品番!G:G)</f>
        <v>F14F</v>
      </c>
      <c r="C281" s="189" t="str">
        <f>_xlfn.XLOOKUP(F281,品番!B:B,品番!C:C)</f>
        <v>コントローラ</v>
      </c>
      <c r="D281" s="189" t="str">
        <f>_xlfn.XLOOKUP(F281,品番!B:B,品番!D:D)</f>
        <v>メイン</v>
      </c>
      <c r="E281" s="179">
        <v>49197</v>
      </c>
      <c r="F281" s="180" t="s">
        <v>192</v>
      </c>
      <c r="G281" s="181">
        <v>0</v>
      </c>
      <c r="J281" s="132"/>
      <c r="K281" s="182" t="s">
        <v>193</v>
      </c>
      <c r="L281" s="122" t="s">
        <v>193</v>
      </c>
      <c r="M281" s="266" t="str" cm="1">
        <f t="array" ref="M281">_xlfn.TEXTJOIN(",", TRUE, _xlfn._xlws.FILTER(適用号機!D:D, (適用号機!B:B=改定!F281)*(適用号機!C:C=改定!G281), ""))</f>
        <v xml:space="preserve">	F14F</v>
      </c>
      <c r="N281" s="142" t="str">
        <f t="shared" si="6"/>
        <v>05642-00484-00</v>
      </c>
      <c r="O281" s="122" t="s">
        <v>1702</v>
      </c>
    </row>
    <row r="282" spans="1:16">
      <c r="A282" s="122" t="s">
        <v>185</v>
      </c>
      <c r="B282" s="189" t="str">
        <f>_xlfn.XLOOKUP(F282,品番!B:B,品番!G:G)</f>
        <v>F14F</v>
      </c>
      <c r="C282" s="189" t="str">
        <f>_xlfn.XLOOKUP(F282,品番!B:B,品番!C:C)</f>
        <v>コントローラ</v>
      </c>
      <c r="D282" s="189" t="str">
        <f>_xlfn.XLOOKUP(F282,品番!B:B,品番!D:D)</f>
        <v>メイン</v>
      </c>
      <c r="E282" s="179">
        <v>50119</v>
      </c>
      <c r="F282" s="180" t="s">
        <v>192</v>
      </c>
      <c r="G282" s="181">
        <v>1</v>
      </c>
      <c r="J282" s="132"/>
      <c r="K282" s="182"/>
      <c r="M282" s="266" t="str" cm="1">
        <f t="array" ref="M282">_xlfn.TEXTJOIN(",", TRUE, _xlfn._xlws.FILTER(適用号機!D:D, (適用号機!B:B=改定!F282)*(適用号機!C:C=改定!G282), ""))</f>
        <v xml:space="preserve">	F14F</v>
      </c>
      <c r="N282" s="142" t="str">
        <f t="shared" si="6"/>
        <v>05642-00484-01</v>
      </c>
      <c r="O282" s="122" t="s">
        <v>1702</v>
      </c>
    </row>
    <row r="283" spans="1:16">
      <c r="A283" s="122" t="s">
        <v>185</v>
      </c>
      <c r="B283" s="189" t="str">
        <f>_xlfn.XLOOKUP(F283,品番!B:B,品番!G:G)</f>
        <v>F14F</v>
      </c>
      <c r="C283" s="189" t="str">
        <f>_xlfn.XLOOKUP(F283,品番!B:B,品番!C:C)</f>
        <v>コントローラ</v>
      </c>
      <c r="D283" s="189" t="str">
        <f>_xlfn.XLOOKUP(F283,品番!B:B,品番!D:D)</f>
        <v>メイン</v>
      </c>
      <c r="E283" s="179">
        <v>50466</v>
      </c>
      <c r="F283" s="180" t="s">
        <v>192</v>
      </c>
      <c r="G283" s="181">
        <v>2</v>
      </c>
      <c r="J283" s="132"/>
      <c r="K283" s="182"/>
      <c r="M283" s="266" t="str" cm="1">
        <f t="array" ref="M283">_xlfn.TEXTJOIN(",", TRUE, _xlfn._xlws.FILTER(適用号機!D:D, (適用号機!B:B=改定!F283)*(適用号機!C:C=改定!G283), ""))</f>
        <v/>
      </c>
      <c r="N283" s="142" t="str">
        <f t="shared" si="6"/>
        <v>05642-00484-02</v>
      </c>
      <c r="O283" s="122" t="s">
        <v>1702</v>
      </c>
    </row>
    <row r="284" spans="1:16">
      <c r="A284" s="122" t="s">
        <v>185</v>
      </c>
      <c r="B284" s="189" t="str">
        <f>_xlfn.XLOOKUP(F284,品番!B:B,品番!G:G)</f>
        <v>F14F</v>
      </c>
      <c r="C284" s="189" t="str">
        <f>_xlfn.XLOOKUP(F284,品番!B:B,品番!C:C)</f>
        <v>コントローラ</v>
      </c>
      <c r="D284" s="189" t="str">
        <f>_xlfn.XLOOKUP(F284,品番!B:B,品番!D:D)</f>
        <v>メイン</v>
      </c>
      <c r="E284" s="179">
        <v>51498</v>
      </c>
      <c r="F284" s="180" t="s">
        <v>192</v>
      </c>
      <c r="G284" s="181">
        <v>3</v>
      </c>
      <c r="J284" s="132"/>
      <c r="K284" s="182"/>
      <c r="M284" s="266" t="str" cm="1">
        <f t="array" ref="M284">_xlfn.TEXTJOIN(",", TRUE, _xlfn._xlws.FILTER(適用号機!D:D, (適用号機!B:B=改定!F284)*(適用号機!C:C=改定!G284), ""))</f>
        <v xml:space="preserve">	F14F</v>
      </c>
      <c r="N284" s="142" t="str">
        <f t="shared" si="6"/>
        <v>05642-00484-03</v>
      </c>
      <c r="O284" s="122" t="s">
        <v>1702</v>
      </c>
    </row>
    <row r="285" spans="1:16">
      <c r="A285" s="122" t="s">
        <v>185</v>
      </c>
      <c r="B285" s="189" t="str">
        <f>_xlfn.XLOOKUP(F285,品番!B:B,品番!G:G)</f>
        <v>F14F</v>
      </c>
      <c r="C285" s="189" t="str">
        <f>_xlfn.XLOOKUP(F285,品番!B:B,品番!C:C)</f>
        <v>コントローラ</v>
      </c>
      <c r="D285" s="189" t="str">
        <f>_xlfn.XLOOKUP(F285,品番!B:B,品番!D:D)</f>
        <v>メイン</v>
      </c>
      <c r="E285" s="179">
        <v>53299</v>
      </c>
      <c r="F285" s="180" t="s">
        <v>192</v>
      </c>
      <c r="G285" s="181">
        <v>4</v>
      </c>
      <c r="J285" s="132"/>
      <c r="K285" s="182"/>
      <c r="M285" s="266" t="str" cm="1">
        <f t="array" ref="M285">_xlfn.TEXTJOIN(",", TRUE, _xlfn._xlws.FILTER(適用号機!D:D, (適用号機!B:B=改定!F285)*(適用号機!C:C=改定!G285), ""))</f>
        <v xml:space="preserve">	F14F,F14F</v>
      </c>
      <c r="N285" s="142" t="str">
        <f t="shared" si="6"/>
        <v>05642-00484-04</v>
      </c>
      <c r="O285" s="122" t="s">
        <v>1702</v>
      </c>
    </row>
    <row r="286" spans="1:16">
      <c r="A286" s="122" t="s">
        <v>185</v>
      </c>
      <c r="B286" s="189" t="str">
        <f>_xlfn.XLOOKUP(F286,品番!B:B,品番!G:G)</f>
        <v>F14F</v>
      </c>
      <c r="C286" s="189" t="str">
        <f>_xlfn.XLOOKUP(F286,品番!B:B,品番!C:C)</f>
        <v>コントローラ</v>
      </c>
      <c r="D286" s="189" t="str">
        <f>_xlfn.XLOOKUP(F286,品番!B:B,品番!D:D)</f>
        <v>メイン</v>
      </c>
      <c r="E286" s="179">
        <v>53722</v>
      </c>
      <c r="F286" s="180" t="s">
        <v>192</v>
      </c>
      <c r="G286" s="181">
        <v>5</v>
      </c>
      <c r="J286" s="132"/>
      <c r="K286" s="182"/>
      <c r="M286" s="266" t="str" cm="1">
        <f t="array" ref="M286">_xlfn.TEXTJOIN(",", TRUE, _xlfn._xlws.FILTER(適用号機!D:D, (適用号機!B:B=改定!F286)*(適用号機!C:C=改定!G286), ""))</f>
        <v>F14F</v>
      </c>
      <c r="N286" s="142" t="str">
        <f t="shared" si="6"/>
        <v>05642-00484-05</v>
      </c>
      <c r="O286" s="122" t="s">
        <v>1702</v>
      </c>
    </row>
    <row r="287" spans="1:16">
      <c r="A287" s="122" t="s">
        <v>185</v>
      </c>
      <c r="B287" s="189" t="str">
        <f>_xlfn.XLOOKUP(F287,品番!B:B,品番!G:G)</f>
        <v>F14F</v>
      </c>
      <c r="C287" s="189" t="str">
        <f>_xlfn.XLOOKUP(F287,品番!B:B,品番!C:C)</f>
        <v>コントローラ</v>
      </c>
      <c r="D287" s="189" t="str">
        <f>_xlfn.XLOOKUP(F287,品番!B:B,品番!D:D)</f>
        <v>メイン</v>
      </c>
      <c r="E287" s="179">
        <v>54790</v>
      </c>
      <c r="F287" s="180" t="s">
        <v>192</v>
      </c>
      <c r="G287" s="181">
        <v>6</v>
      </c>
      <c r="J287" s="132"/>
      <c r="K287" s="182"/>
      <c r="M287" s="266" t="str" cm="1">
        <f t="array" ref="M287">_xlfn.TEXTJOIN(",", TRUE, _xlfn._xlws.FILTER(適用号機!D:D, (適用号機!B:B=改定!F287)*(適用号機!C:C=改定!G287), ""))</f>
        <v xml:space="preserve">	F14F</v>
      </c>
      <c r="N287" s="142" t="str">
        <f t="shared" si="6"/>
        <v>05642-00484-06</v>
      </c>
      <c r="O287" s="122" t="s">
        <v>1702</v>
      </c>
      <c r="P287"/>
    </row>
    <row r="288" spans="1:16">
      <c r="A288" s="122" t="s">
        <v>185</v>
      </c>
      <c r="B288" s="189" t="str">
        <f>_xlfn.XLOOKUP(F288,品番!B:B,品番!G:G)</f>
        <v>F14F</v>
      </c>
      <c r="C288" s="189" t="str">
        <f>_xlfn.XLOOKUP(F288,品番!B:B,品番!C:C)</f>
        <v>コントローラ</v>
      </c>
      <c r="D288" s="189" t="str">
        <f>_xlfn.XLOOKUP(F288,品番!B:B,品番!D:D)</f>
        <v>メイン</v>
      </c>
      <c r="E288" s="179">
        <v>55581</v>
      </c>
      <c r="F288" s="180" t="s">
        <v>192</v>
      </c>
      <c r="G288" s="181">
        <v>7</v>
      </c>
      <c r="H288" s="122" t="s">
        <v>431</v>
      </c>
      <c r="I288" s="122" t="s">
        <v>47</v>
      </c>
      <c r="J288" s="132" t="s">
        <v>47</v>
      </c>
      <c r="M288" s="266" t="str" cm="1">
        <f t="array" ref="M288">_xlfn.TEXTJOIN(",", TRUE, _xlfn._xlws.FILTER(適用号機!D:D, (適用号機!B:B=改定!F288)*(適用号機!C:C=改定!G288), ""))</f>
        <v>F14F</v>
      </c>
      <c r="N288" s="142" t="str">
        <f t="shared" si="6"/>
        <v>05642-00484-07</v>
      </c>
      <c r="O288" s="122" t="s">
        <v>1702</v>
      </c>
    </row>
    <row r="289" spans="1:16">
      <c r="A289" s="122" t="s">
        <v>99</v>
      </c>
      <c r="B289" s="189" t="str">
        <f>_xlfn.XLOOKUP(F289,品番!B:B,品番!G:G)</f>
        <v>A14J</v>
      </c>
      <c r="C289" s="189" t="str">
        <f>_xlfn.XLOOKUP(F289,品番!B:B,品番!C:C)</f>
        <v>コントローラ</v>
      </c>
      <c r="D289" s="189" t="str">
        <f>_xlfn.XLOOKUP(F289,品番!B:B,品番!D:D)</f>
        <v>メイン</v>
      </c>
      <c r="E289" s="179">
        <v>49039</v>
      </c>
      <c r="F289" s="180" t="s">
        <v>100</v>
      </c>
      <c r="G289" s="181">
        <v>0</v>
      </c>
      <c r="K289" s="182" t="s">
        <v>187</v>
      </c>
      <c r="L289" s="122" t="s">
        <v>101</v>
      </c>
      <c r="M289" s="266" t="str" cm="1">
        <f t="array" ref="M289">_xlfn.TEXTJOIN(",", TRUE, _xlfn._xlws.FILTER(適用号機!D:D, (適用号機!B:B=改定!F289)*(適用号機!C:C=改定!G289), ""))</f>
        <v xml:space="preserve">	A14J</v>
      </c>
      <c r="N289" s="142" t="str">
        <f t="shared" si="6"/>
        <v>05642-00505-00</v>
      </c>
      <c r="O289" s="122" t="s">
        <v>1702</v>
      </c>
    </row>
    <row r="290" spans="1:16">
      <c r="A290" s="122" t="s">
        <v>99</v>
      </c>
      <c r="B290" s="189" t="str">
        <f>_xlfn.XLOOKUP(F290,品番!B:B,品番!G:G)</f>
        <v>A14J</v>
      </c>
      <c r="C290" s="189" t="str">
        <f>_xlfn.XLOOKUP(F290,品番!B:B,品番!C:C)</f>
        <v>コントローラ</v>
      </c>
      <c r="D290" s="189" t="str">
        <f>_xlfn.XLOOKUP(F290,品番!B:B,品番!D:D)</f>
        <v>メイン</v>
      </c>
      <c r="E290" s="179">
        <v>50119</v>
      </c>
      <c r="F290" s="180" t="s">
        <v>100</v>
      </c>
      <c r="G290" s="181">
        <v>1</v>
      </c>
      <c r="M290" s="266" t="str" cm="1">
        <f t="array" ref="M290">_xlfn.TEXTJOIN(",", TRUE, _xlfn._xlws.FILTER(適用号機!D:D, (適用号機!B:B=改定!F290)*(適用号機!C:C=改定!G290), ""))</f>
        <v xml:space="preserve">	A14J</v>
      </c>
      <c r="N290" s="142" t="str">
        <f t="shared" si="6"/>
        <v>05642-00505-01</v>
      </c>
      <c r="O290" s="122" t="s">
        <v>1702</v>
      </c>
    </row>
    <row r="291" spans="1:16">
      <c r="A291" s="122" t="s">
        <v>99</v>
      </c>
      <c r="B291" s="189" t="str">
        <f>_xlfn.XLOOKUP(F291,品番!B:B,品番!G:G)</f>
        <v>A14J</v>
      </c>
      <c r="C291" s="189" t="str">
        <f>_xlfn.XLOOKUP(F291,品番!B:B,品番!C:C)</f>
        <v>コントローラ</v>
      </c>
      <c r="D291" s="189" t="str">
        <f>_xlfn.XLOOKUP(F291,品番!B:B,品番!D:D)</f>
        <v>メイン</v>
      </c>
      <c r="E291" s="179">
        <v>50466</v>
      </c>
      <c r="F291" s="180" t="s">
        <v>100</v>
      </c>
      <c r="G291" s="181">
        <v>2</v>
      </c>
      <c r="M291" s="266" t="str" cm="1">
        <f t="array" ref="M291">_xlfn.TEXTJOIN(",", TRUE, _xlfn._xlws.FILTER(適用号機!D:D, (適用号機!B:B=改定!F291)*(適用号機!C:C=改定!G291), ""))</f>
        <v/>
      </c>
      <c r="N291" s="142" t="str">
        <f t="shared" si="6"/>
        <v>05642-00505-02</v>
      </c>
      <c r="O291" s="122" t="s">
        <v>1702</v>
      </c>
    </row>
    <row r="292" spans="1:16">
      <c r="A292" s="122" t="s">
        <v>99</v>
      </c>
      <c r="B292" s="189" t="str">
        <f>_xlfn.XLOOKUP(F292,品番!B:B,品番!G:G)</f>
        <v>A14J</v>
      </c>
      <c r="C292" s="189" t="str">
        <f>_xlfn.XLOOKUP(F292,品番!B:B,品番!C:C)</f>
        <v>コントローラ</v>
      </c>
      <c r="D292" s="189" t="str">
        <f>_xlfn.XLOOKUP(F292,品番!B:B,品番!D:D)</f>
        <v>メイン</v>
      </c>
      <c r="E292" s="179">
        <v>51354</v>
      </c>
      <c r="F292" s="180" t="s">
        <v>100</v>
      </c>
      <c r="G292" s="181">
        <v>3</v>
      </c>
      <c r="M292" s="266" t="str" cm="1">
        <f t="array" ref="M292">_xlfn.TEXTJOIN(",", TRUE, _xlfn._xlws.FILTER(適用号機!D:D, (適用号機!B:B=改定!F292)*(適用号機!C:C=改定!G292), ""))</f>
        <v/>
      </c>
      <c r="N292" s="142" t="str">
        <f t="shared" si="6"/>
        <v>05642-00505-03</v>
      </c>
      <c r="O292" s="122" t="s">
        <v>1702</v>
      </c>
      <c r="P292"/>
    </row>
    <row r="293" spans="1:16">
      <c r="A293" s="122" t="s">
        <v>99</v>
      </c>
      <c r="B293" s="189" t="str">
        <f>_xlfn.XLOOKUP(F293,品番!B:B,品番!G:G)</f>
        <v>A14J</v>
      </c>
      <c r="C293" s="189" t="str">
        <f>_xlfn.XLOOKUP(F293,品番!B:B,品番!C:C)</f>
        <v>コントローラ</v>
      </c>
      <c r="D293" s="189" t="str">
        <f>_xlfn.XLOOKUP(F293,品番!B:B,品番!D:D)</f>
        <v>メイン</v>
      </c>
      <c r="E293" s="179">
        <v>55511</v>
      </c>
      <c r="F293" s="180" t="s">
        <v>100</v>
      </c>
      <c r="G293" s="183">
        <v>4</v>
      </c>
      <c r="H293" s="122" t="s">
        <v>271</v>
      </c>
      <c r="J293" s="132"/>
      <c r="M293" s="266" t="str" cm="1">
        <f t="array" ref="M293">_xlfn.TEXTJOIN(",", TRUE, _xlfn._xlws.FILTER(適用号機!D:D, (適用号機!B:B=改定!F293)*(適用号機!C:C=改定!G293), ""))</f>
        <v/>
      </c>
      <c r="N293" s="142" t="str">
        <f t="shared" si="6"/>
        <v>05642-00505-04</v>
      </c>
      <c r="O293" s="122" t="s">
        <v>1702</v>
      </c>
    </row>
    <row r="294" spans="1:16">
      <c r="A294" s="122" t="s">
        <v>50</v>
      </c>
      <c r="B294" s="189" t="str">
        <f>_xlfn.XLOOKUP(F294,品番!B:B,品番!G:G)</f>
        <v>A14D-4</v>
      </c>
      <c r="C294" s="189" t="str">
        <f>_xlfn.XLOOKUP(F294,品番!B:B,品番!C:C)</f>
        <v>コントローラ</v>
      </c>
      <c r="D294" s="189" t="str">
        <f>_xlfn.XLOOKUP(F294,品番!B:B,品番!D:D)</f>
        <v>メイン</v>
      </c>
      <c r="E294" s="179">
        <v>49026</v>
      </c>
      <c r="F294" s="180" t="s">
        <v>51</v>
      </c>
      <c r="G294" s="181">
        <v>0</v>
      </c>
      <c r="H294" s="122" t="s">
        <v>284</v>
      </c>
      <c r="I294" s="122" t="s">
        <v>47</v>
      </c>
      <c r="J294" s="132" t="s">
        <v>285</v>
      </c>
      <c r="K294" s="182"/>
      <c r="L294" s="122" t="s">
        <v>29</v>
      </c>
      <c r="M294" s="266" t="str" cm="1">
        <f t="array" ref="M294">_xlfn.TEXTJOIN(",", TRUE, _xlfn._xlws.FILTER(適用号機!D:D, (適用号機!B:B=改定!F294)*(適用号機!C:C=改定!G294), ""))</f>
        <v/>
      </c>
      <c r="N294" s="142" t="str">
        <f t="shared" si="6"/>
        <v>05642-00552-00</v>
      </c>
      <c r="O294" s="122" t="s">
        <v>1702</v>
      </c>
    </row>
    <row r="295" spans="1:16">
      <c r="A295" s="122" t="s">
        <v>307</v>
      </c>
      <c r="B295" s="189" t="str">
        <f>_xlfn.XLOOKUP(F295,品番!B:B,品番!G:G)</f>
        <v>A14GWHW</v>
      </c>
      <c r="C295" s="189" t="str">
        <f>_xlfn.XLOOKUP(F295,品番!B:B,品番!C:C)</f>
        <v>コントローラ</v>
      </c>
      <c r="D295" s="189" t="str">
        <f>_xlfn.XLOOKUP(F295,品番!B:B,品番!D:D)</f>
        <v>メイン</v>
      </c>
      <c r="E295" s="179">
        <v>49525</v>
      </c>
      <c r="F295" s="180" t="s">
        <v>73</v>
      </c>
      <c r="G295" s="181">
        <v>0</v>
      </c>
      <c r="K295" s="185" t="s">
        <v>35</v>
      </c>
      <c r="L295" s="122" t="s">
        <v>74</v>
      </c>
      <c r="M295" s="266" t="str" cm="1">
        <f t="array" ref="M295">_xlfn.TEXTJOIN(",", TRUE, _xlfn._xlws.FILTER(適用号機!D:D, (適用号機!B:B=改定!F295)*(適用号機!C:C=改定!G295), ""))</f>
        <v xml:space="preserve">	A14HW,	A14GW</v>
      </c>
      <c r="N295" s="142" t="str">
        <f t="shared" si="6"/>
        <v>05642-00558-00</v>
      </c>
      <c r="O295" s="122" t="s">
        <v>1702</v>
      </c>
    </row>
    <row r="296" spans="1:16">
      <c r="A296" s="122" t="s">
        <v>307</v>
      </c>
      <c r="B296" s="189" t="str">
        <f>_xlfn.XLOOKUP(F296,品番!B:B,品番!G:G)</f>
        <v>A14GWHW</v>
      </c>
      <c r="C296" s="189" t="str">
        <f>_xlfn.XLOOKUP(F296,品番!B:B,品番!C:C)</f>
        <v>コントローラ</v>
      </c>
      <c r="D296" s="189" t="str">
        <f>_xlfn.XLOOKUP(F296,品番!B:B,品番!D:D)</f>
        <v>メイン</v>
      </c>
      <c r="E296" s="179">
        <v>50366</v>
      </c>
      <c r="F296" s="180" t="s">
        <v>73</v>
      </c>
      <c r="G296" s="183">
        <v>1</v>
      </c>
      <c r="K296" s="182"/>
      <c r="M296" s="266" t="str" cm="1">
        <f t="array" ref="M296">_xlfn.TEXTJOIN(",", TRUE, _xlfn._xlws.FILTER(適用号機!D:D, (適用号機!B:B=改定!F296)*(適用号機!C:C=改定!G296), ""))</f>
        <v xml:space="preserve">A14HW,A14GW	</v>
      </c>
      <c r="N296" s="142" t="str">
        <f t="shared" si="6"/>
        <v>05642-00558-01</v>
      </c>
      <c r="O296" s="122" t="s">
        <v>1702</v>
      </c>
    </row>
    <row r="297" spans="1:16">
      <c r="A297" s="122" t="s">
        <v>307</v>
      </c>
      <c r="B297" s="189" t="str">
        <f>_xlfn.XLOOKUP(F297,品番!B:B,品番!G:G)</f>
        <v>A14GWHW</v>
      </c>
      <c r="C297" s="189" t="str">
        <f>_xlfn.XLOOKUP(F297,品番!B:B,品番!C:C)</f>
        <v>コントローラ</v>
      </c>
      <c r="D297" s="189" t="str">
        <f>_xlfn.XLOOKUP(F297,品番!B:B,品番!D:D)</f>
        <v>メイン</v>
      </c>
      <c r="E297" s="179">
        <v>50466</v>
      </c>
      <c r="F297" s="180" t="s">
        <v>73</v>
      </c>
      <c r="G297" s="183">
        <v>2</v>
      </c>
      <c r="K297" s="182"/>
      <c r="M297" s="266" t="str" cm="1">
        <f t="array" ref="M297">_xlfn.TEXTJOIN(",", TRUE, _xlfn._xlws.FILTER(適用号機!D:D, (適用号機!B:B=改定!F297)*(適用号機!C:C=改定!G297), ""))</f>
        <v/>
      </c>
      <c r="N297" s="142" t="str">
        <f t="shared" si="6"/>
        <v>05642-00558-02</v>
      </c>
      <c r="O297" s="122" t="s">
        <v>1702</v>
      </c>
    </row>
    <row r="298" spans="1:16">
      <c r="A298" s="122" t="s">
        <v>307</v>
      </c>
      <c r="B298" s="189" t="str">
        <f>_xlfn.XLOOKUP(F298,品番!B:B,品番!G:G)</f>
        <v>A14GWHW</v>
      </c>
      <c r="C298" s="189" t="str">
        <f>_xlfn.XLOOKUP(F298,品番!B:B,品番!C:C)</f>
        <v>コントローラ</v>
      </c>
      <c r="D298" s="189" t="str">
        <f>_xlfn.XLOOKUP(F298,品番!B:B,品番!D:D)</f>
        <v>メイン</v>
      </c>
      <c r="E298" s="179">
        <v>55511</v>
      </c>
      <c r="F298" s="180" t="s">
        <v>73</v>
      </c>
      <c r="G298" s="183">
        <v>3</v>
      </c>
      <c r="H298" s="122" t="s">
        <v>310</v>
      </c>
      <c r="J298"/>
      <c r="M298" s="266" t="str" cm="1">
        <f t="array" ref="M298">_xlfn.TEXTJOIN(",", TRUE, _xlfn._xlws.FILTER(適用号機!D:D, (適用号機!B:B=改定!F298)*(適用号機!C:C=改定!G298), ""))</f>
        <v/>
      </c>
      <c r="N298" s="142" t="str">
        <f t="shared" si="6"/>
        <v>05642-00558-03</v>
      </c>
      <c r="O298" s="122" t="s">
        <v>1702</v>
      </c>
    </row>
    <row r="299" spans="1:16">
      <c r="A299" s="122" t="s">
        <v>185</v>
      </c>
      <c r="B299" s="189" t="str">
        <f>_xlfn.XLOOKUP(F299,品番!B:B,品番!G:G)</f>
        <v>F14F</v>
      </c>
      <c r="C299" s="189" t="str">
        <f>_xlfn.XLOOKUP(F299,品番!B:B,品番!C:C)</f>
        <v>コントローラ</v>
      </c>
      <c r="D299" s="189" t="str">
        <f>_xlfn.XLOOKUP(F299,品番!B:B,品番!D:D)</f>
        <v>メイン</v>
      </c>
      <c r="E299" s="179">
        <v>49853</v>
      </c>
      <c r="F299" s="180" t="s">
        <v>190</v>
      </c>
      <c r="G299" s="181">
        <v>0</v>
      </c>
      <c r="J299" s="132"/>
      <c r="K299" s="182"/>
      <c r="L299" s="122" t="s">
        <v>191</v>
      </c>
      <c r="M299" s="266" t="str" cm="1">
        <f t="array" ref="M299">_xlfn.TEXTJOIN(",", TRUE, _xlfn._xlws.FILTER(適用号機!D:D, (適用号機!B:B=改定!F299)*(適用号機!C:C=改定!G299), ""))</f>
        <v/>
      </c>
      <c r="N299" s="142" t="str">
        <f t="shared" si="6"/>
        <v>05642-00570-00</v>
      </c>
      <c r="O299" s="122" t="s">
        <v>1702</v>
      </c>
    </row>
    <row r="300" spans="1:16">
      <c r="A300" s="122" t="s">
        <v>185</v>
      </c>
      <c r="B300" s="189" t="str">
        <f>_xlfn.XLOOKUP(F300,品番!B:B,品番!G:G)</f>
        <v>F14F</v>
      </c>
      <c r="C300" s="189" t="str">
        <f>_xlfn.XLOOKUP(F300,品番!B:B,品番!C:C)</f>
        <v>コントローラ</v>
      </c>
      <c r="D300" s="189" t="str">
        <f>_xlfn.XLOOKUP(F300,品番!B:B,品番!D:D)</f>
        <v>メイン</v>
      </c>
      <c r="E300" s="179">
        <v>50466</v>
      </c>
      <c r="F300" s="180" t="s">
        <v>190</v>
      </c>
      <c r="G300" s="181">
        <v>1</v>
      </c>
      <c r="J300" s="132"/>
      <c r="K300" s="182"/>
      <c r="M300" s="266" t="str" cm="1">
        <f t="array" ref="M300">_xlfn.TEXTJOIN(",", TRUE, _xlfn._xlws.FILTER(適用号機!D:D, (適用号機!B:B=改定!F300)*(適用号機!C:C=改定!G300), ""))</f>
        <v/>
      </c>
      <c r="N300" s="142" t="str">
        <f t="shared" si="6"/>
        <v>05642-00570-01</v>
      </c>
      <c r="O300" s="122" t="s">
        <v>1702</v>
      </c>
    </row>
    <row r="301" spans="1:16">
      <c r="A301" s="122" t="s">
        <v>185</v>
      </c>
      <c r="B301" s="189" t="str">
        <f>_xlfn.XLOOKUP(F301,品番!B:B,品番!G:G)</f>
        <v>F14F</v>
      </c>
      <c r="C301" s="189" t="str">
        <f>_xlfn.XLOOKUP(F301,品番!B:B,品番!C:C)</f>
        <v>コントローラ</v>
      </c>
      <c r="D301" s="189" t="str">
        <f>_xlfn.XLOOKUP(F301,品番!B:B,品番!D:D)</f>
        <v>メイン</v>
      </c>
      <c r="E301" s="179">
        <v>55511</v>
      </c>
      <c r="F301" s="180" t="s">
        <v>190</v>
      </c>
      <c r="G301" s="181">
        <v>2</v>
      </c>
      <c r="H301" s="122" t="s">
        <v>430</v>
      </c>
      <c r="I301" s="122" t="s">
        <v>47</v>
      </c>
      <c r="J301" s="132" t="s">
        <v>47</v>
      </c>
      <c r="K301" s="182"/>
      <c r="M301" s="266" t="str" cm="1">
        <f t="array" ref="M301">_xlfn.TEXTJOIN(",", TRUE, _xlfn._xlws.FILTER(適用号機!D:D, (適用号機!B:B=改定!F301)*(適用号機!C:C=改定!G301), ""))</f>
        <v/>
      </c>
      <c r="N301" s="142" t="str">
        <f t="shared" si="6"/>
        <v>05642-00570-02</v>
      </c>
      <c r="O301" s="122" t="s">
        <v>1702</v>
      </c>
    </row>
    <row r="302" spans="1:16">
      <c r="A302" s="122" t="s">
        <v>79</v>
      </c>
      <c r="B302" s="189" t="str">
        <f>_xlfn.XLOOKUP(F302,品番!B:B,品番!G:G)</f>
        <v>A14H/I</v>
      </c>
      <c r="C302" s="189" t="str">
        <f>_xlfn.XLOOKUP(F302,品番!B:B,品番!C:C)</f>
        <v>コントローラ</v>
      </c>
      <c r="D302" s="189" t="str">
        <f>_xlfn.XLOOKUP(F302,品番!B:B,品番!D:D)</f>
        <v>メイン</v>
      </c>
      <c r="E302" s="179">
        <v>49853</v>
      </c>
      <c r="F302" s="180" t="s">
        <v>95</v>
      </c>
      <c r="G302" s="181">
        <v>0</v>
      </c>
      <c r="K302" s="182"/>
      <c r="L302" s="122" t="s">
        <v>96</v>
      </c>
      <c r="M302" s="266" t="str" cm="1">
        <f t="array" ref="M302">_xlfn.TEXTJOIN(",", TRUE, _xlfn._xlws.FILTER(適用号機!D:D, (適用号機!B:B=改定!F302)*(適用号機!C:C=改定!G302), ""))</f>
        <v>A14I</v>
      </c>
      <c r="N302" s="142" t="str">
        <f t="shared" si="6"/>
        <v>05642-00573-00</v>
      </c>
      <c r="O302" s="122" t="s">
        <v>1702</v>
      </c>
    </row>
    <row r="303" spans="1:16">
      <c r="A303" s="122" t="s">
        <v>79</v>
      </c>
      <c r="B303" s="189" t="str">
        <f>_xlfn.XLOOKUP(F303,品番!B:B,品番!G:G)</f>
        <v>A14H/I</v>
      </c>
      <c r="C303" s="189" t="str">
        <f>_xlfn.XLOOKUP(F303,品番!B:B,品番!C:C)</f>
        <v>コントローラ</v>
      </c>
      <c r="D303" s="189" t="str">
        <f>_xlfn.XLOOKUP(F303,品番!B:B,品番!D:D)</f>
        <v>メイン</v>
      </c>
      <c r="E303" s="179">
        <v>50466</v>
      </c>
      <c r="F303" s="180" t="s">
        <v>95</v>
      </c>
      <c r="G303" s="181">
        <v>1</v>
      </c>
      <c r="L303" s="122" t="s">
        <v>1857</v>
      </c>
      <c r="M303" s="266" t="str" cm="1">
        <f t="array" ref="M303">_xlfn.TEXTJOIN(",", TRUE, _xlfn._xlws.FILTER(適用号機!D:D, (適用号機!B:B=改定!F303)*(適用号機!C:C=改定!G303), ""))</f>
        <v>A14I</v>
      </c>
      <c r="N303" s="142" t="str">
        <f t="shared" si="6"/>
        <v>05642-00573-01</v>
      </c>
      <c r="O303" s="122" t="s">
        <v>1702</v>
      </c>
    </row>
    <row r="304" spans="1:16">
      <c r="A304" s="122" t="s">
        <v>79</v>
      </c>
      <c r="B304" s="189" t="str">
        <f>_xlfn.XLOOKUP(F304,品番!B:B,品番!G:G)</f>
        <v>A14H/I</v>
      </c>
      <c r="C304" s="189" t="str">
        <f>_xlfn.XLOOKUP(F304,品番!B:B,品番!C:C)</f>
        <v>コントローラ</v>
      </c>
      <c r="D304" s="189" t="str">
        <f>_xlfn.XLOOKUP(F304,品番!B:B,品番!D:D)</f>
        <v>メイン</v>
      </c>
      <c r="E304" s="179">
        <v>52576</v>
      </c>
      <c r="F304" s="180" t="s">
        <v>95</v>
      </c>
      <c r="G304" s="183">
        <v>2</v>
      </c>
      <c r="H304" s="122" t="s">
        <v>348</v>
      </c>
      <c r="I304" s="122" t="s">
        <v>349</v>
      </c>
      <c r="J304" s="132" t="s">
        <v>350</v>
      </c>
      <c r="M304" s="266" t="str" cm="1">
        <f t="array" ref="M304">_xlfn.TEXTJOIN(",", TRUE, _xlfn._xlws.FILTER(適用号機!D:D, (適用号機!B:B=改定!F304)*(適用号機!C:C=改定!G304), ""))</f>
        <v>A14I</v>
      </c>
      <c r="N304" s="142" t="str">
        <f t="shared" si="6"/>
        <v>05642-00573-02</v>
      </c>
      <c r="O304" s="122" t="s">
        <v>1702</v>
      </c>
    </row>
    <row r="305" spans="1:16">
      <c r="A305" s="122" t="s">
        <v>79</v>
      </c>
      <c r="B305" s="189" t="str">
        <f>_xlfn.XLOOKUP(F305,品番!B:B,品番!G:G)</f>
        <v>A14H/I</v>
      </c>
      <c r="C305" s="189" t="str">
        <f>_xlfn.XLOOKUP(F305,品番!B:B,品番!C:C)</f>
        <v>コントローラ</v>
      </c>
      <c r="D305" s="189" t="str">
        <f>_xlfn.XLOOKUP(F305,品番!B:B,品番!D:D)</f>
        <v>メイン</v>
      </c>
      <c r="E305" s="179">
        <v>49853</v>
      </c>
      <c r="F305" s="180" t="s">
        <v>97</v>
      </c>
      <c r="G305" s="181">
        <v>0</v>
      </c>
      <c r="K305" s="182"/>
      <c r="L305" s="122" t="s">
        <v>98</v>
      </c>
      <c r="M305" s="266" t="str" cm="1">
        <f t="array" ref="M305">_xlfn.TEXTJOIN(",", TRUE, _xlfn._xlws.FILTER(適用号機!D:D, (適用号機!B:B=改定!F305)*(適用号機!C:C=改定!G305), ""))</f>
        <v/>
      </c>
      <c r="N305" s="142" t="str">
        <f t="shared" si="6"/>
        <v>05642-00575-00</v>
      </c>
      <c r="O305" s="122" t="s">
        <v>1702</v>
      </c>
    </row>
    <row r="306" spans="1:16">
      <c r="A306" s="122" t="s">
        <v>79</v>
      </c>
      <c r="B306" s="189" t="str">
        <f>_xlfn.XLOOKUP(F306,品番!B:B,品番!G:G)</f>
        <v>A14H/I</v>
      </c>
      <c r="C306" s="189" t="str">
        <f>_xlfn.XLOOKUP(F306,品番!B:B,品番!C:C)</f>
        <v>コントローラ</v>
      </c>
      <c r="D306" s="189" t="str">
        <f>_xlfn.XLOOKUP(F306,品番!B:B,品番!D:D)</f>
        <v>メイン</v>
      </c>
      <c r="E306" s="179">
        <v>50466</v>
      </c>
      <c r="F306" s="180" t="s">
        <v>97</v>
      </c>
      <c r="G306" s="181">
        <v>1</v>
      </c>
      <c r="M306" s="266" t="str" cm="1">
        <f t="array" ref="M306">_xlfn.TEXTJOIN(",", TRUE, _xlfn._xlws.FILTER(適用号機!D:D, (適用号機!B:B=改定!F306)*(適用号機!C:C=改定!G306), ""))</f>
        <v/>
      </c>
      <c r="N306" s="142" t="str">
        <f t="shared" si="6"/>
        <v>05642-00575-01</v>
      </c>
      <c r="O306" s="122" t="s">
        <v>1702</v>
      </c>
    </row>
    <row r="307" spans="1:16">
      <c r="A307" s="122" t="s">
        <v>79</v>
      </c>
      <c r="B307" s="189" t="str">
        <f>_xlfn.XLOOKUP(F307,品番!B:B,品番!G:G)</f>
        <v>A14H/I</v>
      </c>
      <c r="C307" s="189" t="str">
        <f>_xlfn.XLOOKUP(F307,品番!B:B,品番!C:C)</f>
        <v>コントローラ</v>
      </c>
      <c r="D307" s="189" t="str">
        <f>_xlfn.XLOOKUP(F307,品番!B:B,品番!D:D)</f>
        <v>メイン</v>
      </c>
      <c r="E307" s="179">
        <v>52576</v>
      </c>
      <c r="F307" s="180" t="s">
        <v>97</v>
      </c>
      <c r="G307" s="183">
        <v>2</v>
      </c>
      <c r="H307" s="122" t="s">
        <v>352</v>
      </c>
      <c r="I307" s="122" t="s">
        <v>353</v>
      </c>
      <c r="J307" s="132" t="s">
        <v>354</v>
      </c>
      <c r="M307" s="266" t="str" cm="1">
        <f t="array" ref="M307">_xlfn.TEXTJOIN(",", TRUE, _xlfn._xlws.FILTER(適用号機!D:D, (適用号機!B:B=改定!F307)*(適用号機!C:C=改定!G307), ""))</f>
        <v/>
      </c>
      <c r="N307" s="142" t="str">
        <f t="shared" si="6"/>
        <v>05642-00575-02</v>
      </c>
      <c r="O307" s="122" t="s">
        <v>1702</v>
      </c>
    </row>
    <row r="308" spans="1:16">
      <c r="A308" s="122" t="s">
        <v>185</v>
      </c>
      <c r="B308" s="189" t="str">
        <f>_xlfn.XLOOKUP(F308,品番!B:B,品番!G:G)</f>
        <v>F14F</v>
      </c>
      <c r="C308" s="189" t="str">
        <f>_xlfn.XLOOKUP(F308,品番!B:B,品番!C:C)</f>
        <v>コントローラ</v>
      </c>
      <c r="D308" s="189" t="str">
        <f>_xlfn.XLOOKUP(F308,品番!B:B,品番!D:D)</f>
        <v>メイン</v>
      </c>
      <c r="E308" s="179">
        <v>49853</v>
      </c>
      <c r="F308" s="180" t="s">
        <v>194</v>
      </c>
      <c r="G308" s="181">
        <v>0</v>
      </c>
      <c r="J308" s="132"/>
      <c r="K308" s="182"/>
      <c r="L308" s="122" t="s">
        <v>195</v>
      </c>
      <c r="M308" s="266" t="str" cm="1">
        <f t="array" ref="M308">_xlfn.TEXTJOIN(",", TRUE, _xlfn._xlws.FILTER(適用号機!D:D, (適用号機!B:B=改定!F308)*(適用号機!C:C=改定!G308), ""))</f>
        <v/>
      </c>
      <c r="N308" s="142" t="str">
        <f t="shared" si="6"/>
        <v>05642-00576-00</v>
      </c>
      <c r="O308" s="122" t="s">
        <v>1702</v>
      </c>
    </row>
    <row r="309" spans="1:16">
      <c r="A309" s="122" t="s">
        <v>185</v>
      </c>
      <c r="B309" s="189" t="str">
        <f>_xlfn.XLOOKUP(F309,品番!B:B,品番!G:G)</f>
        <v>F14F</v>
      </c>
      <c r="C309" s="189" t="str">
        <f>_xlfn.XLOOKUP(F309,品番!B:B,品番!C:C)</f>
        <v>コントローラ</v>
      </c>
      <c r="D309" s="189" t="str">
        <f>_xlfn.XLOOKUP(F309,品番!B:B,品番!D:D)</f>
        <v>メイン</v>
      </c>
      <c r="E309" s="179">
        <v>50466</v>
      </c>
      <c r="F309" s="180" t="s">
        <v>194</v>
      </c>
      <c r="G309" s="181">
        <v>1</v>
      </c>
      <c r="H309" s="122" t="s">
        <v>432</v>
      </c>
      <c r="J309" s="132"/>
      <c r="K309" s="182"/>
      <c r="M309" s="266" t="str" cm="1">
        <f t="array" ref="M309">_xlfn.TEXTJOIN(",", TRUE, _xlfn._xlws.FILTER(適用号機!D:D, (適用号機!B:B=改定!F309)*(適用号機!C:C=改定!G309), ""))</f>
        <v/>
      </c>
      <c r="N309" s="142" t="str">
        <f t="shared" si="6"/>
        <v>05642-00576-01</v>
      </c>
      <c r="O309" s="122" t="s">
        <v>1702</v>
      </c>
    </row>
    <row r="310" spans="1:16">
      <c r="A310" s="122" t="s">
        <v>52</v>
      </c>
      <c r="B310" s="189" t="str">
        <f>_xlfn.XLOOKUP(F310,品番!B:B,品番!G:G)</f>
        <v>A14FW</v>
      </c>
      <c r="C310" s="189" t="str">
        <f>_xlfn.XLOOKUP(F310,品番!B:B,品番!C:C)</f>
        <v>コントローラ</v>
      </c>
      <c r="D310" s="189" t="str">
        <f>_xlfn.XLOOKUP(F310,品番!B:B,品番!D:D)</f>
        <v>メイン</v>
      </c>
      <c r="E310" s="179">
        <v>50770</v>
      </c>
      <c r="F310" s="180" t="s">
        <v>66</v>
      </c>
      <c r="G310" s="183">
        <v>0</v>
      </c>
      <c r="H310" s="122" t="s">
        <v>302</v>
      </c>
      <c r="K310" s="182"/>
      <c r="L310" s="122" t="s">
        <v>67</v>
      </c>
      <c r="M310" s="266" t="str" cm="1">
        <f t="array" ref="M310">_xlfn.TEXTJOIN(",", TRUE, _xlfn._xlws.FILTER(適用号機!D:D, (適用号機!B:B=改定!F310)*(適用号機!C:C=改定!G310), ""))</f>
        <v>A14FW</v>
      </c>
      <c r="N310" s="142" t="str">
        <f t="shared" si="6"/>
        <v>05642-00585-00</v>
      </c>
      <c r="O310" s="122" t="s">
        <v>1702</v>
      </c>
    </row>
    <row r="311" spans="1:16">
      <c r="A311" s="122" t="s">
        <v>307</v>
      </c>
      <c r="B311" s="189" t="str">
        <f>_xlfn.XLOOKUP(F311,品番!B:B,品番!G:G)</f>
        <v>A14GWHW</v>
      </c>
      <c r="C311" s="189" t="str">
        <f>_xlfn.XLOOKUP(F311,品番!B:B,品番!C:C)</f>
        <v>コントローラ</v>
      </c>
      <c r="D311" s="189" t="str">
        <f>_xlfn.XLOOKUP(F311,品番!B:B,品番!D:D)</f>
        <v>メイン</v>
      </c>
      <c r="E311" s="179">
        <v>51075</v>
      </c>
      <c r="F311" s="180" t="s">
        <v>75</v>
      </c>
      <c r="G311" s="181">
        <v>0</v>
      </c>
      <c r="K311" s="185" t="s">
        <v>76</v>
      </c>
      <c r="L311" s="122" t="s">
        <v>76</v>
      </c>
      <c r="M311" s="266" t="str" cm="1">
        <f t="array" ref="M311">_xlfn.TEXTJOIN(",", TRUE, _xlfn._xlws.FILTER(適用号機!D:D, (適用号機!B:B=改定!F311)*(適用号機!C:C=改定!G311), ""))</f>
        <v>A14HW,	A14GW</v>
      </c>
      <c r="N311" s="142" t="str">
        <f t="shared" si="6"/>
        <v>05642-00586-00</v>
      </c>
      <c r="O311" s="122" t="s">
        <v>1702</v>
      </c>
      <c r="P311"/>
    </row>
    <row r="312" spans="1:16">
      <c r="A312" s="122" t="s">
        <v>307</v>
      </c>
      <c r="B312" s="189" t="str">
        <f>_xlfn.XLOOKUP(F312,品番!B:B,品番!G:G)</f>
        <v>A14GWHW</v>
      </c>
      <c r="C312" s="189" t="str">
        <f>_xlfn.XLOOKUP(F312,品番!B:B,品番!C:C)</f>
        <v>コントローラ</v>
      </c>
      <c r="D312" s="189" t="str">
        <f>_xlfn.XLOOKUP(F312,品番!B:B,品番!D:D)</f>
        <v>メイン</v>
      </c>
      <c r="E312" s="179">
        <v>51458</v>
      </c>
      <c r="F312" s="180" t="s">
        <v>75</v>
      </c>
      <c r="G312" s="183">
        <v>1</v>
      </c>
      <c r="M312" s="266" t="str" cm="1">
        <f t="array" ref="M312">_xlfn.TEXTJOIN(",", TRUE, _xlfn._xlws.FILTER(適用号機!D:D, (適用号機!B:B=改定!F312)*(適用号機!C:C=改定!G312), ""))</f>
        <v xml:space="preserve">	A14HW,	A14GW</v>
      </c>
      <c r="N312" s="142" t="str">
        <f t="shared" si="6"/>
        <v>05642-00586-01</v>
      </c>
      <c r="O312" s="122" t="s">
        <v>1702</v>
      </c>
      <c r="P312"/>
    </row>
    <row r="313" spans="1:16">
      <c r="A313" s="122" t="s">
        <v>307</v>
      </c>
      <c r="B313" s="189" t="str">
        <f>_xlfn.XLOOKUP(F313,品番!B:B,品番!G:G)</f>
        <v>A14GWHW</v>
      </c>
      <c r="C313" s="189" t="str">
        <f>_xlfn.XLOOKUP(F313,品番!B:B,品番!C:C)</f>
        <v>コントローラ</v>
      </c>
      <c r="D313" s="189" t="str">
        <f>_xlfn.XLOOKUP(F313,品番!B:B,品番!D:D)</f>
        <v>メイン</v>
      </c>
      <c r="E313" s="179">
        <v>51668</v>
      </c>
      <c r="F313" s="180" t="s">
        <v>75</v>
      </c>
      <c r="G313" s="181">
        <v>2</v>
      </c>
      <c r="M313" s="266" t="str" cm="1">
        <f t="array" ref="M313">_xlfn.TEXTJOIN(",", TRUE, _xlfn._xlws.FILTER(適用号機!D:D, (適用号機!B:B=改定!F313)*(適用号機!C:C=改定!G313), ""))</f>
        <v xml:space="preserve">A14HW,	A14GW	</v>
      </c>
      <c r="N313" s="142" t="str">
        <f t="shared" si="6"/>
        <v>05642-00586-02</v>
      </c>
      <c r="O313" s="122" t="s">
        <v>1702</v>
      </c>
    </row>
    <row r="314" spans="1:16">
      <c r="A314" s="122" t="s">
        <v>307</v>
      </c>
      <c r="B314" s="189" t="str">
        <f>_xlfn.XLOOKUP(F314,品番!B:B,品番!G:G)</f>
        <v>A14GWHW</v>
      </c>
      <c r="C314" s="189" t="str">
        <f>_xlfn.XLOOKUP(F314,品番!B:B,品番!C:C)</f>
        <v>コントローラ</v>
      </c>
      <c r="D314" s="189" t="str">
        <f>_xlfn.XLOOKUP(F314,品番!B:B,品番!D:D)</f>
        <v>メイン</v>
      </c>
      <c r="E314" s="179">
        <v>52411</v>
      </c>
      <c r="F314" s="180" t="s">
        <v>75</v>
      </c>
      <c r="G314" s="183">
        <v>3</v>
      </c>
      <c r="M314" s="266" t="str" cm="1">
        <f t="array" ref="M314">_xlfn.TEXTJOIN(",", TRUE, _xlfn._xlws.FILTER(適用号機!D:D, (適用号機!B:B=改定!F314)*(適用号機!C:C=改定!G314), ""))</f>
        <v xml:space="preserve">	A14HW,A14GW	</v>
      </c>
      <c r="N314" s="142" t="str">
        <f t="shared" si="6"/>
        <v>05642-00586-03</v>
      </c>
      <c r="O314" s="122" t="s">
        <v>1702</v>
      </c>
      <c r="P314"/>
    </row>
    <row r="315" spans="1:16">
      <c r="A315" s="122" t="s">
        <v>307</v>
      </c>
      <c r="B315" s="189" t="str">
        <f>_xlfn.XLOOKUP(F315,品番!B:B,品番!G:G)</f>
        <v>A14GWHW</v>
      </c>
      <c r="C315" s="189" t="str">
        <f>_xlfn.XLOOKUP(F315,品番!B:B,品番!C:C)</f>
        <v>コントローラ</v>
      </c>
      <c r="D315" s="189" t="str">
        <f>_xlfn.XLOOKUP(F315,品番!B:B,品番!D:D)</f>
        <v>メイン</v>
      </c>
      <c r="E315" s="179">
        <v>53229</v>
      </c>
      <c r="F315" s="180" t="s">
        <v>75</v>
      </c>
      <c r="G315" s="181">
        <v>4</v>
      </c>
      <c r="M315" s="266" t="str" cm="1">
        <f t="array" ref="M315">_xlfn.TEXTJOIN(",", TRUE, _xlfn._xlws.FILTER(適用号機!D:D, (適用号機!B:B=改定!F315)*(適用号機!C:C=改定!G315), ""))</f>
        <v xml:space="preserve">	A14HW,A14GW</v>
      </c>
      <c r="N315" s="142" t="str">
        <f t="shared" si="6"/>
        <v>05642-00586-04</v>
      </c>
      <c r="O315" s="122" t="s">
        <v>1702</v>
      </c>
    </row>
    <row r="316" spans="1:16">
      <c r="A316" s="122" t="s">
        <v>307</v>
      </c>
      <c r="B316" s="189" t="str">
        <f>_xlfn.XLOOKUP(F316,品番!B:B,品番!G:G)</f>
        <v>A14GWHW</v>
      </c>
      <c r="C316" s="189" t="str">
        <f>_xlfn.XLOOKUP(F316,品番!B:B,品番!C:C)</f>
        <v>コントローラ</v>
      </c>
      <c r="D316" s="189" t="str">
        <f>_xlfn.XLOOKUP(F316,品番!B:B,品番!D:D)</f>
        <v>メイン</v>
      </c>
      <c r="E316" s="179">
        <v>54017</v>
      </c>
      <c r="F316" s="180" t="s">
        <v>75</v>
      </c>
      <c r="G316" s="183">
        <v>5</v>
      </c>
      <c r="K316" s="142" t="s">
        <v>1470</v>
      </c>
      <c r="M316" s="266" t="str" cm="1">
        <f t="array" ref="M316">_xlfn.TEXTJOIN(",", TRUE, _xlfn._xlws.FILTER(適用号機!D:D, (適用号機!B:B=改定!F316)*(適用号機!C:C=改定!G316), ""))</f>
        <v xml:space="preserve">	A14HW,	A14GW</v>
      </c>
      <c r="N316" s="142" t="str">
        <f t="shared" si="6"/>
        <v>05642-00586-05</v>
      </c>
      <c r="O316" s="122" t="s">
        <v>1702</v>
      </c>
    </row>
    <row r="317" spans="1:16">
      <c r="A317" s="122" t="s">
        <v>307</v>
      </c>
      <c r="B317" s="189" t="str">
        <f>_xlfn.XLOOKUP(F317,品番!B:B,品番!G:G)</f>
        <v>A14GWHW</v>
      </c>
      <c r="C317" s="189" t="str">
        <f>_xlfn.XLOOKUP(F317,品番!B:B,品番!C:C)</f>
        <v>コントローラ</v>
      </c>
      <c r="D317" s="189" t="str">
        <f>_xlfn.XLOOKUP(F317,品番!B:B,品番!D:D)</f>
        <v>メイン</v>
      </c>
      <c r="E317" s="179">
        <v>55201</v>
      </c>
      <c r="F317" s="180" t="s">
        <v>75</v>
      </c>
      <c r="G317" s="181">
        <v>6</v>
      </c>
      <c r="M317" s="266" t="str" cm="1">
        <f t="array" ref="M317">_xlfn.TEXTJOIN(",", TRUE, _xlfn._xlws.FILTER(適用号機!D:D, (適用号機!B:B=改定!F317)*(適用号機!C:C=改定!G317), ""))</f>
        <v xml:space="preserve">	A14HW,	A14GW</v>
      </c>
      <c r="N317" s="142" t="str">
        <f t="shared" si="6"/>
        <v>05642-00586-06</v>
      </c>
      <c r="O317" s="122" t="s">
        <v>1702</v>
      </c>
    </row>
    <row r="318" spans="1:16">
      <c r="A318" s="122" t="s">
        <v>307</v>
      </c>
      <c r="B318" s="189" t="str">
        <f>_xlfn.XLOOKUP(F318,品番!B:B,品番!G:G)</f>
        <v>A14GWHW</v>
      </c>
      <c r="C318" s="189" t="str">
        <f>_xlfn.XLOOKUP(F318,品番!B:B,品番!C:C)</f>
        <v>コントローラ</v>
      </c>
      <c r="D318" s="189" t="str">
        <f>_xlfn.XLOOKUP(F318,品番!B:B,品番!D:D)</f>
        <v>メイン</v>
      </c>
      <c r="E318" s="179">
        <v>60031</v>
      </c>
      <c r="F318" s="180" t="s">
        <v>75</v>
      </c>
      <c r="G318" s="183">
        <v>7</v>
      </c>
      <c r="H318" s="122" t="s">
        <v>311</v>
      </c>
      <c r="J318"/>
      <c r="M318" s="266" t="str" cm="1">
        <f t="array" ref="M318">_xlfn.TEXTJOIN(",", TRUE, _xlfn._xlws.FILTER(適用号機!D:D, (適用号機!B:B=改定!F318)*(適用号機!C:C=改定!G318), ""))</f>
        <v xml:space="preserve">	A14HW,	A14GW</v>
      </c>
      <c r="N318" s="142" t="str">
        <f t="shared" si="6"/>
        <v>05642-00586-07</v>
      </c>
      <c r="O318" s="122" t="s">
        <v>1702</v>
      </c>
    </row>
    <row r="319" spans="1:16">
      <c r="A319" s="122" t="s">
        <v>79</v>
      </c>
      <c r="B319" s="189" t="str">
        <f>_xlfn.XLOOKUP(F319,品番!B:B,品番!G:G)</f>
        <v>A14H/I</v>
      </c>
      <c r="C319" s="189" t="str">
        <f>_xlfn.XLOOKUP(F319,品番!B:B,品番!C:C)</f>
        <v>コントローラ</v>
      </c>
      <c r="D319" s="189" t="str">
        <f>_xlfn.XLOOKUP(F319,品番!B:B,品番!D:D)</f>
        <v>メイン</v>
      </c>
      <c r="E319" s="179">
        <v>51239</v>
      </c>
      <c r="F319" s="180" t="s">
        <v>88</v>
      </c>
      <c r="G319" s="181">
        <v>0</v>
      </c>
      <c r="K319" s="182" t="s">
        <v>334</v>
      </c>
      <c r="L319" s="122" t="s">
        <v>89</v>
      </c>
      <c r="M319" s="266" t="str" cm="1">
        <f t="array" ref="M319">_xlfn.TEXTJOIN(",", TRUE, _xlfn._xlws.FILTER(適用号機!D:D, (適用号機!B:B=改定!F319)*(適用号機!C:C=改定!G319), ""))</f>
        <v/>
      </c>
      <c r="N319" s="142" t="str">
        <f t="shared" si="6"/>
        <v>05642-00602-00</v>
      </c>
      <c r="O319" s="122" t="s">
        <v>1702</v>
      </c>
      <c r="P319"/>
    </row>
    <row r="320" spans="1:16">
      <c r="A320" s="122" t="s">
        <v>79</v>
      </c>
      <c r="B320" s="189" t="str">
        <f>_xlfn.XLOOKUP(F320,品番!B:B,品番!G:G)</f>
        <v>A14H/I</v>
      </c>
      <c r="C320" s="189" t="str">
        <f>_xlfn.XLOOKUP(F320,品番!B:B,品番!C:C)</f>
        <v>コントローラ</v>
      </c>
      <c r="D320" s="189" t="str">
        <f>_xlfn.XLOOKUP(F320,品番!B:B,品番!D:D)</f>
        <v>メイン</v>
      </c>
      <c r="E320" s="179">
        <v>52910</v>
      </c>
      <c r="F320" s="180" t="s">
        <v>88</v>
      </c>
      <c r="G320" s="181">
        <v>1</v>
      </c>
      <c r="M320" s="266" t="str" cm="1">
        <f t="array" ref="M320">_xlfn.TEXTJOIN(",", TRUE, _xlfn._xlws.FILTER(適用号機!D:D, (適用号機!B:B=改定!F320)*(適用号機!C:C=改定!G320), ""))</f>
        <v xml:space="preserve">	A14I</v>
      </c>
      <c r="N320" s="142" t="str">
        <f t="shared" si="6"/>
        <v>05642-00602-01</v>
      </c>
      <c r="O320" s="122" t="s">
        <v>1702</v>
      </c>
    </row>
    <row r="321" spans="1:16">
      <c r="A321" s="122" t="s">
        <v>79</v>
      </c>
      <c r="B321" s="189" t="str">
        <f>_xlfn.XLOOKUP(F321,品番!B:B,品番!G:G)</f>
        <v>A14H/I</v>
      </c>
      <c r="C321" s="189" t="str">
        <f>_xlfn.XLOOKUP(F321,品番!B:B,品番!C:C)</f>
        <v>コントローラ</v>
      </c>
      <c r="D321" s="189" t="str">
        <f>_xlfn.XLOOKUP(F321,品番!B:B,品番!D:D)</f>
        <v>メイン</v>
      </c>
      <c r="E321" s="179">
        <v>53292</v>
      </c>
      <c r="F321" s="180" t="s">
        <v>88</v>
      </c>
      <c r="G321" s="181">
        <v>2</v>
      </c>
      <c r="M321" s="266" t="str" cm="1">
        <f t="array" ref="M321">_xlfn.TEXTJOIN(",", TRUE, _xlfn._xlws.FILTER(適用号機!D:D, (適用号機!B:B=改定!F321)*(適用号機!C:C=改定!G321), ""))</f>
        <v xml:space="preserve">	A14I,	A14I</v>
      </c>
      <c r="N321" s="142" t="str">
        <f t="shared" si="6"/>
        <v>05642-00602-02</v>
      </c>
      <c r="O321" s="122" t="s">
        <v>1702</v>
      </c>
    </row>
    <row r="322" spans="1:16">
      <c r="A322" s="122" t="s">
        <v>79</v>
      </c>
      <c r="B322" s="189" t="str">
        <f>_xlfn.XLOOKUP(F322,品番!B:B,品番!G:G)</f>
        <v>A14H/I</v>
      </c>
      <c r="C322" s="189" t="str">
        <f>_xlfn.XLOOKUP(F322,品番!B:B,品番!C:C)</f>
        <v>コントローラ</v>
      </c>
      <c r="D322" s="189" t="str">
        <f>_xlfn.XLOOKUP(F322,品番!B:B,品番!D:D)</f>
        <v>メイン</v>
      </c>
      <c r="E322" s="179">
        <v>53587</v>
      </c>
      <c r="F322" s="180" t="s">
        <v>88</v>
      </c>
      <c r="G322" s="181">
        <v>3</v>
      </c>
      <c r="M322" s="266" t="str" cm="1">
        <f t="array" ref="M322">_xlfn.TEXTJOIN(",", TRUE, _xlfn._xlws.FILTER(適用号機!D:D, (適用号機!B:B=改定!F322)*(適用号機!C:C=改定!G322), ""))</f>
        <v>A14I</v>
      </c>
      <c r="N322" s="142" t="str">
        <f t="shared" si="6"/>
        <v>05642-00602-03</v>
      </c>
      <c r="O322" s="122" t="s">
        <v>1702</v>
      </c>
    </row>
    <row r="323" spans="1:16">
      <c r="A323" s="122" t="s">
        <v>79</v>
      </c>
      <c r="B323" s="189" t="str">
        <f>_xlfn.XLOOKUP(F323,品番!B:B,品番!G:G)</f>
        <v>A14H/I</v>
      </c>
      <c r="C323" s="189" t="str">
        <f>_xlfn.XLOOKUP(F323,品番!B:B,品番!C:C)</f>
        <v>コントローラ</v>
      </c>
      <c r="D323" s="189" t="str">
        <f>_xlfn.XLOOKUP(F323,品番!B:B,品番!D:D)</f>
        <v>メイン</v>
      </c>
      <c r="E323" s="179">
        <v>53652</v>
      </c>
      <c r="F323" s="180" t="s">
        <v>88</v>
      </c>
      <c r="G323" s="181">
        <v>4</v>
      </c>
      <c r="M323" s="266" t="str" cm="1">
        <f t="array" ref="M323">_xlfn.TEXTJOIN(",", TRUE, _xlfn._xlws.FILTER(適用号機!D:D, (適用号機!B:B=改定!F323)*(適用号機!C:C=改定!G323), ""))</f>
        <v xml:space="preserve">	A14I</v>
      </c>
      <c r="N323" s="142" t="str">
        <f t="shared" si="6"/>
        <v>05642-00602-04</v>
      </c>
      <c r="O323" s="122" t="s">
        <v>1702</v>
      </c>
    </row>
    <row r="324" spans="1:16">
      <c r="A324" s="122" t="s">
        <v>79</v>
      </c>
      <c r="B324" s="189" t="str">
        <f>_xlfn.XLOOKUP(F324,品番!B:B,品番!G:G)</f>
        <v>A14H/I</v>
      </c>
      <c r="C324" s="189" t="str">
        <f>_xlfn.XLOOKUP(F324,品番!B:B,品番!C:C)</f>
        <v>コントローラ</v>
      </c>
      <c r="D324" s="189" t="str">
        <f>_xlfn.XLOOKUP(F324,品番!B:B,品番!D:D)</f>
        <v>メイン</v>
      </c>
      <c r="E324" s="179">
        <v>54464</v>
      </c>
      <c r="F324" s="180" t="s">
        <v>88</v>
      </c>
      <c r="G324" s="183">
        <v>5</v>
      </c>
      <c r="H324" s="122" t="s">
        <v>335</v>
      </c>
      <c r="I324" s="122" t="s">
        <v>336</v>
      </c>
      <c r="J324" s="132" t="s">
        <v>337</v>
      </c>
      <c r="K324" s="184" t="s">
        <v>1413</v>
      </c>
      <c r="M324" s="266" t="str" cm="1">
        <f t="array" ref="M324">_xlfn.TEXTJOIN(",", TRUE, _xlfn._xlws.FILTER(適用号機!D:D, (適用号機!B:B=改定!F324)*(適用号機!C:C=改定!G324), ""))</f>
        <v xml:space="preserve">	A14I</v>
      </c>
      <c r="N324" s="142" t="str">
        <f t="shared" si="6"/>
        <v>05642-00602-05</v>
      </c>
      <c r="O324" s="122" t="s">
        <v>1702</v>
      </c>
    </row>
    <row r="325" spans="1:16">
      <c r="A325" s="122" t="s">
        <v>99</v>
      </c>
      <c r="B325" s="189" t="str">
        <f>_xlfn.XLOOKUP(F325,品番!B:B,品番!G:G)</f>
        <v>A14J</v>
      </c>
      <c r="C325" s="189" t="str">
        <f>_xlfn.XLOOKUP(F325,品番!B:B,品番!C:C)</f>
        <v>コントローラ</v>
      </c>
      <c r="D325" s="189" t="str">
        <f>_xlfn.XLOOKUP(F325,品番!B:B,品番!D:D)</f>
        <v>メイン</v>
      </c>
      <c r="E325" s="179">
        <v>51282</v>
      </c>
      <c r="F325" s="180" t="s">
        <v>102</v>
      </c>
      <c r="G325" s="181">
        <v>0</v>
      </c>
      <c r="K325" s="182" t="s">
        <v>355</v>
      </c>
      <c r="L325" s="122" t="s">
        <v>103</v>
      </c>
      <c r="M325" s="266" t="str" cm="1">
        <f t="array" ref="M325">_xlfn.TEXTJOIN(",", TRUE, _xlfn._xlws.FILTER(適用号機!D:D, (適用号機!B:B=改定!F325)*(適用号機!C:C=改定!G325), ""))</f>
        <v xml:space="preserve">	A14J</v>
      </c>
      <c r="N325" s="142" t="str">
        <f t="shared" si="6"/>
        <v>05642-00606-00</v>
      </c>
      <c r="O325" s="122" t="s">
        <v>1702</v>
      </c>
      <c r="P325"/>
    </row>
    <row r="326" spans="1:16">
      <c r="A326" s="122" t="s">
        <v>99</v>
      </c>
      <c r="B326" s="189" t="str">
        <f>_xlfn.XLOOKUP(F326,品番!B:B,品番!G:G)</f>
        <v>A14J</v>
      </c>
      <c r="C326" s="189" t="str">
        <f>_xlfn.XLOOKUP(F326,品番!B:B,品番!C:C)</f>
        <v>コントローラ</v>
      </c>
      <c r="D326" s="189" t="str">
        <f>_xlfn.XLOOKUP(F326,品番!B:B,品番!D:D)</f>
        <v>メイン</v>
      </c>
      <c r="E326" s="179">
        <v>53319</v>
      </c>
      <c r="F326" s="180" t="s">
        <v>102</v>
      </c>
      <c r="G326" s="181">
        <v>1</v>
      </c>
      <c r="M326" s="266" t="str" cm="1">
        <f t="array" ref="M326">_xlfn.TEXTJOIN(",", TRUE, _xlfn._xlws.FILTER(適用号機!D:D, (適用号機!B:B=改定!F326)*(適用号機!C:C=改定!G326), ""))</f>
        <v xml:space="preserve">	A14J,	A14J</v>
      </c>
      <c r="N326" s="142" t="str">
        <f t="shared" si="6"/>
        <v>05642-00606-01</v>
      </c>
      <c r="O326" s="122" t="s">
        <v>1702</v>
      </c>
    </row>
    <row r="327" spans="1:16">
      <c r="A327" s="122" t="s">
        <v>99</v>
      </c>
      <c r="B327" s="189" t="str">
        <f>_xlfn.XLOOKUP(F327,品番!B:B,品番!G:G)</f>
        <v>A14J</v>
      </c>
      <c r="C327" s="189" t="str">
        <f>_xlfn.XLOOKUP(F327,品番!B:B,品番!C:C)</f>
        <v>コントローラ</v>
      </c>
      <c r="D327" s="189" t="str">
        <f>_xlfn.XLOOKUP(F327,品番!B:B,品番!D:D)</f>
        <v>メイン</v>
      </c>
      <c r="E327" s="179">
        <v>53652</v>
      </c>
      <c r="F327" s="180" t="s">
        <v>102</v>
      </c>
      <c r="G327" s="181">
        <v>2</v>
      </c>
      <c r="M327" s="266" t="str" cm="1">
        <f t="array" ref="M327">_xlfn.TEXTJOIN(",", TRUE, _xlfn._xlws.FILTER(適用号機!D:D, (適用号機!B:B=改定!F327)*(適用号機!C:C=改定!G327), ""))</f>
        <v xml:space="preserve">	A14J</v>
      </c>
      <c r="N327" s="142" t="str">
        <f t="shared" si="6"/>
        <v>05642-00606-02</v>
      </c>
      <c r="O327" s="122" t="s">
        <v>1702</v>
      </c>
    </row>
    <row r="328" spans="1:16">
      <c r="A328" s="122" t="s">
        <v>99</v>
      </c>
      <c r="B328" s="189" t="str">
        <f>_xlfn.XLOOKUP(F328,品番!B:B,品番!G:G)</f>
        <v>A14J</v>
      </c>
      <c r="C328" s="189" t="str">
        <f>_xlfn.XLOOKUP(F328,品番!B:B,品番!C:C)</f>
        <v>コントローラ</v>
      </c>
      <c r="D328" s="189" t="str">
        <f>_xlfn.XLOOKUP(F328,品番!B:B,品番!D:D)</f>
        <v>メイン</v>
      </c>
      <c r="E328" s="179">
        <v>54017</v>
      </c>
      <c r="F328" s="180" t="s">
        <v>102</v>
      </c>
      <c r="G328" s="181">
        <v>3</v>
      </c>
      <c r="K328" s="142" t="s">
        <v>1470</v>
      </c>
      <c r="M328" s="266" t="str" cm="1">
        <f t="array" ref="M328">_xlfn.TEXTJOIN(",", TRUE, _xlfn._xlws.FILTER(適用号機!D:D, (適用号機!B:B=改定!F328)*(適用号機!C:C=改定!G328), ""))</f>
        <v>A14J</v>
      </c>
      <c r="N328" s="142" t="str">
        <f t="shared" si="6"/>
        <v>05642-00606-03</v>
      </c>
      <c r="O328" s="122" t="s">
        <v>1702</v>
      </c>
    </row>
    <row r="329" spans="1:16">
      <c r="A329" s="122" t="s">
        <v>99</v>
      </c>
      <c r="B329" s="189" t="str">
        <f>_xlfn.XLOOKUP(F329,品番!B:B,品番!G:G)</f>
        <v>A14J</v>
      </c>
      <c r="C329" s="189" t="str">
        <f>_xlfn.XLOOKUP(F329,品番!B:B,品番!C:C)</f>
        <v>コントローラ</v>
      </c>
      <c r="D329" s="189" t="str">
        <f>_xlfn.XLOOKUP(F329,品番!B:B,品番!D:D)</f>
        <v>メイン</v>
      </c>
      <c r="E329" s="179">
        <v>54464</v>
      </c>
      <c r="F329" s="180" t="s">
        <v>102</v>
      </c>
      <c r="G329" s="181">
        <v>4</v>
      </c>
      <c r="H329" s="122" t="s">
        <v>1418</v>
      </c>
      <c r="K329" s="184" t="s">
        <v>1413</v>
      </c>
      <c r="M329" s="266" t="str" cm="1">
        <f t="array" ref="M329">_xlfn.TEXTJOIN(",", TRUE, _xlfn._xlws.FILTER(適用号機!D:D, (適用号機!B:B=改定!F329)*(適用号機!C:C=改定!G329), ""))</f>
        <v xml:space="preserve">	A14J</v>
      </c>
      <c r="N329" s="142" t="str">
        <f t="shared" si="6"/>
        <v>05642-00606-04</v>
      </c>
      <c r="O329" s="122" t="s">
        <v>1702</v>
      </c>
    </row>
    <row r="330" spans="1:16">
      <c r="A330" s="122" t="s">
        <v>99</v>
      </c>
      <c r="B330" s="189" t="str">
        <f>_xlfn.XLOOKUP(F330,品番!B:B,品番!G:G)</f>
        <v>A14J</v>
      </c>
      <c r="C330" s="189" t="str">
        <f>_xlfn.XLOOKUP(F330,品番!B:B,品番!C:C)</f>
        <v>コントローラ</v>
      </c>
      <c r="D330" s="189" t="str">
        <f>_xlfn.XLOOKUP(F330,品番!B:B,品番!D:D)</f>
        <v>メイン</v>
      </c>
      <c r="E330" s="179">
        <v>55616</v>
      </c>
      <c r="F330" s="180" t="s">
        <v>102</v>
      </c>
      <c r="G330" s="183">
        <v>5</v>
      </c>
      <c r="H330" s="122" t="s">
        <v>356</v>
      </c>
      <c r="J330" s="132"/>
      <c r="M330" s="266" t="str" cm="1">
        <f t="array" ref="M330">_xlfn.TEXTJOIN(",", TRUE, _xlfn._xlws.FILTER(適用号機!D:D, (適用号機!B:B=改定!F330)*(適用号機!C:C=改定!G330), ""))</f>
        <v xml:space="preserve">	A14J</v>
      </c>
      <c r="N330" s="142" t="str">
        <f t="shared" si="6"/>
        <v>05642-00606-05</v>
      </c>
      <c r="O330" s="122" t="s">
        <v>1702</v>
      </c>
    </row>
    <row r="331" spans="1:16">
      <c r="A331" s="142" t="s">
        <v>234</v>
      </c>
      <c r="B331" s="189" t="str">
        <f>_xlfn.XLOOKUP(F331,品番!B:B,品番!G:G)</f>
        <v>A14IW</v>
      </c>
      <c r="C331" s="189" t="str">
        <f>_xlfn.XLOOKUP(F331,品番!B:B,品番!C:C)</f>
        <v>コントローラ</v>
      </c>
      <c r="D331" s="189" t="str">
        <f>_xlfn.XLOOKUP(F331,品番!B:B,品番!D:D)</f>
        <v>メイン</v>
      </c>
      <c r="E331" s="179">
        <v>52943</v>
      </c>
      <c r="F331" s="180" t="s">
        <v>235</v>
      </c>
      <c r="G331" s="181">
        <v>0</v>
      </c>
      <c r="H331" s="135"/>
      <c r="K331" s="142" t="s">
        <v>473</v>
      </c>
      <c r="L331" s="142" t="s">
        <v>219</v>
      </c>
      <c r="M331" s="266" t="str" cm="1">
        <f t="array" ref="M331">_xlfn.TEXTJOIN(",", TRUE, _xlfn._xlws.FILTER(適用号機!D:D, (適用号機!B:B=改定!F331)*(適用号機!C:C=改定!G331), ""))</f>
        <v xml:space="preserve">	A13AW,	A14IW</v>
      </c>
      <c r="N331" s="142" t="str">
        <f t="shared" si="6"/>
        <v>05642-00683-00</v>
      </c>
      <c r="O331" s="122" t="s">
        <v>1702</v>
      </c>
    </row>
    <row r="332" spans="1:16">
      <c r="A332" s="142" t="s">
        <v>234</v>
      </c>
      <c r="B332" s="189" t="str">
        <f>_xlfn.XLOOKUP(F332,品番!B:B,品番!G:G)</f>
        <v>A14IW</v>
      </c>
      <c r="C332" s="189" t="str">
        <f>_xlfn.XLOOKUP(F332,品番!B:B,品番!C:C)</f>
        <v>コントローラ</v>
      </c>
      <c r="D332" s="189" t="str">
        <f>_xlfn.XLOOKUP(F332,品番!B:B,品番!D:D)</f>
        <v>メイン</v>
      </c>
      <c r="E332" s="179">
        <v>55338</v>
      </c>
      <c r="F332" s="180" t="s">
        <v>235</v>
      </c>
      <c r="G332" s="181">
        <v>1</v>
      </c>
      <c r="H332" s="135"/>
      <c r="K332" s="182"/>
      <c r="M332" s="266" t="str" cm="1">
        <f t="array" ref="M332">_xlfn.TEXTJOIN(",", TRUE, _xlfn._xlws.FILTER(適用号機!D:D, (適用号機!B:B=改定!F332)*(適用号機!C:C=改定!G332), ""))</f>
        <v xml:space="preserve">	A13AW,	A14IW</v>
      </c>
      <c r="N332" s="142" t="str">
        <f t="shared" si="6"/>
        <v>05642-00683-01</v>
      </c>
      <c r="O332" s="122" t="s">
        <v>1702</v>
      </c>
    </row>
    <row r="333" spans="1:16">
      <c r="A333" s="142" t="s">
        <v>234</v>
      </c>
      <c r="B333" s="189" t="str">
        <f>_xlfn.XLOOKUP(F333,品番!B:B,品番!G:G)</f>
        <v>A14IW</v>
      </c>
      <c r="C333" s="189" t="str">
        <f>_xlfn.XLOOKUP(F333,品番!B:B,品番!C:C)</f>
        <v>コントローラ</v>
      </c>
      <c r="D333" s="189" t="str">
        <f>_xlfn.XLOOKUP(F333,品番!B:B,品番!D:D)</f>
        <v>メイン</v>
      </c>
      <c r="E333" s="179">
        <v>55576</v>
      </c>
      <c r="F333" s="180" t="s">
        <v>235</v>
      </c>
      <c r="G333" s="181">
        <v>2</v>
      </c>
      <c r="H333" s="135"/>
      <c r="K333" s="182"/>
      <c r="M333" s="266" t="str" cm="1">
        <f t="array" ref="M333">_xlfn.TEXTJOIN(",", TRUE, _xlfn._xlws.FILTER(適用号機!D:D, (適用号機!B:B=改定!F333)*(適用号機!C:C=改定!G333), ""))</f>
        <v>A14IW</v>
      </c>
      <c r="N333" s="142" t="str">
        <f t="shared" si="6"/>
        <v>05642-00683-02</v>
      </c>
      <c r="O333" s="122" t="s">
        <v>1702</v>
      </c>
    </row>
    <row r="334" spans="1:16">
      <c r="A334" s="142" t="s">
        <v>234</v>
      </c>
      <c r="B334" s="189" t="str">
        <f>_xlfn.XLOOKUP(F334,品番!B:B,品番!G:G)</f>
        <v>A14IW</v>
      </c>
      <c r="C334" s="189" t="str">
        <f>_xlfn.XLOOKUP(F334,品番!B:B,品番!C:C)</f>
        <v>コントローラ</v>
      </c>
      <c r="D334" s="189" t="str">
        <f>_xlfn.XLOOKUP(F334,品番!B:B,品番!D:D)</f>
        <v>メイン</v>
      </c>
      <c r="E334" s="179">
        <v>55898</v>
      </c>
      <c r="F334" s="180" t="s">
        <v>235</v>
      </c>
      <c r="G334" s="181">
        <v>3</v>
      </c>
      <c r="H334" s="135"/>
      <c r="K334" s="182"/>
      <c r="M334" s="266" t="str" cm="1">
        <f t="array" ref="M334">_xlfn.TEXTJOIN(",", TRUE, _xlfn._xlws.FILTER(適用号機!D:D, (適用号機!B:B=改定!F334)*(適用号機!C:C=改定!G334), ""))</f>
        <v>A14IW</v>
      </c>
      <c r="N334" s="142" t="str">
        <f t="shared" si="6"/>
        <v>05642-00683-03</v>
      </c>
      <c r="O334" s="122" t="s">
        <v>1702</v>
      </c>
    </row>
    <row r="335" spans="1:16">
      <c r="A335" s="142" t="s">
        <v>234</v>
      </c>
      <c r="B335" s="189" t="str">
        <f>_xlfn.XLOOKUP(F335,品番!B:B,品番!G:G)</f>
        <v>A14IW</v>
      </c>
      <c r="C335" s="189" t="str">
        <f>_xlfn.XLOOKUP(F335,品番!B:B,品番!C:C)</f>
        <v>コントローラ</v>
      </c>
      <c r="D335" s="189" t="str">
        <f>_xlfn.XLOOKUP(F335,品番!B:B,品番!D:D)</f>
        <v>メイン</v>
      </c>
      <c r="E335" s="179">
        <v>55979</v>
      </c>
      <c r="F335" s="180" t="s">
        <v>235</v>
      </c>
      <c r="G335" s="181">
        <v>4</v>
      </c>
      <c r="H335" s="135"/>
      <c r="K335" s="182"/>
      <c r="M335" s="266" t="str" cm="1">
        <f t="array" ref="M335">_xlfn.TEXTJOIN(",", TRUE, _xlfn._xlws.FILTER(適用号機!D:D, (適用号機!B:B=改定!F335)*(適用号機!C:C=改定!G335), ""))</f>
        <v>A14IW</v>
      </c>
      <c r="N335" s="142" t="str">
        <f t="shared" si="6"/>
        <v>05642-00683-04</v>
      </c>
      <c r="O335" s="122" t="s">
        <v>1702</v>
      </c>
    </row>
    <row r="336" spans="1:16">
      <c r="A336" s="142" t="s">
        <v>234</v>
      </c>
      <c r="B336" s="189" t="str">
        <f>_xlfn.XLOOKUP(F336,品番!B:B,品番!G:G)</f>
        <v>A14IW</v>
      </c>
      <c r="C336" s="189" t="str">
        <f>_xlfn.XLOOKUP(F336,品番!B:B,品番!C:C)</f>
        <v>コントローラ</v>
      </c>
      <c r="D336" s="189" t="str">
        <f>_xlfn.XLOOKUP(F336,品番!B:B,品番!D:D)</f>
        <v>メイン</v>
      </c>
      <c r="E336" s="179">
        <v>56013</v>
      </c>
      <c r="F336" s="180" t="s">
        <v>235</v>
      </c>
      <c r="G336" s="181">
        <v>5</v>
      </c>
      <c r="H336" s="135"/>
      <c r="K336" s="182"/>
      <c r="M336" s="266" t="str" cm="1">
        <f t="array" ref="M336">_xlfn.TEXTJOIN(",", TRUE, _xlfn._xlws.FILTER(適用号機!D:D, (適用号機!B:B=改定!F336)*(適用号機!C:C=改定!G336), ""))</f>
        <v xml:space="preserve">	A14IW</v>
      </c>
      <c r="N336" s="142" t="str">
        <f t="shared" si="6"/>
        <v>05642-00683-05</v>
      </c>
      <c r="O336" s="122" t="s">
        <v>1702</v>
      </c>
    </row>
    <row r="337" spans="1:15">
      <c r="A337" s="142" t="s">
        <v>234</v>
      </c>
      <c r="B337" s="189" t="str">
        <f>_xlfn.XLOOKUP(F337,品番!B:B,品番!G:G)</f>
        <v>A14IW</v>
      </c>
      <c r="C337" s="189" t="str">
        <f>_xlfn.XLOOKUP(F337,品番!B:B,品番!C:C)</f>
        <v>コントローラ</v>
      </c>
      <c r="D337" s="189" t="str">
        <f>_xlfn.XLOOKUP(F337,品番!B:B,品番!D:D)</f>
        <v>メイン</v>
      </c>
      <c r="E337" s="179">
        <v>56440</v>
      </c>
      <c r="F337" s="180" t="s">
        <v>235</v>
      </c>
      <c r="G337" s="181">
        <v>6</v>
      </c>
      <c r="H337" s="135"/>
      <c r="K337" s="182"/>
      <c r="M337" s="266" t="str" cm="1">
        <f t="array" ref="M337">_xlfn.TEXTJOIN(",", TRUE, _xlfn._xlws.FILTER(適用号機!D:D, (適用号機!B:B=改定!F337)*(適用号機!C:C=改定!G337), ""))</f>
        <v>A14IW</v>
      </c>
      <c r="N337" s="142" t="str">
        <f t="shared" si="6"/>
        <v>05642-00683-06</v>
      </c>
      <c r="O337" s="122" t="s">
        <v>1702</v>
      </c>
    </row>
    <row r="338" spans="1:15">
      <c r="A338" s="142" t="s">
        <v>234</v>
      </c>
      <c r="B338" s="189" t="str">
        <f>_xlfn.XLOOKUP(F338,品番!B:B,品番!G:G)</f>
        <v>A14IW</v>
      </c>
      <c r="C338" s="189" t="str">
        <f>_xlfn.XLOOKUP(F338,品番!B:B,品番!C:C)</f>
        <v>コントローラ</v>
      </c>
      <c r="D338" s="189" t="str">
        <f>_xlfn.XLOOKUP(F338,品番!B:B,品番!D:D)</f>
        <v>メイン</v>
      </c>
      <c r="E338" s="179">
        <v>60245</v>
      </c>
      <c r="F338" s="180" t="s">
        <v>235</v>
      </c>
      <c r="G338" s="181">
        <v>7</v>
      </c>
      <c r="H338" s="135"/>
      <c r="K338" s="182"/>
      <c r="M338" s="266" t="str" cm="1">
        <f t="array" ref="M338">_xlfn.TEXTJOIN(",", TRUE, _xlfn._xlws.FILTER(適用号機!D:D, (適用号機!B:B=改定!F338)*(適用号機!C:C=改定!G338), ""))</f>
        <v xml:space="preserve">	A14IW</v>
      </c>
      <c r="N338" s="142" t="str">
        <f t="shared" ref="N338:N401" si="7">F338 &amp;"-" &amp; TEXT(G338,"00")</f>
        <v>05642-00683-07</v>
      </c>
      <c r="O338" s="122" t="s">
        <v>1702</v>
      </c>
    </row>
    <row r="339" spans="1:15">
      <c r="A339" s="142" t="s">
        <v>234</v>
      </c>
      <c r="B339" s="189" t="str">
        <f>_xlfn.XLOOKUP(F339,品番!B:B,品番!G:G)</f>
        <v>A14IW</v>
      </c>
      <c r="C339" s="189" t="str">
        <f>_xlfn.XLOOKUP(F339,品番!B:B,品番!C:C)</f>
        <v>コントローラ</v>
      </c>
      <c r="D339" s="189" t="str">
        <f>_xlfn.XLOOKUP(F339,品番!B:B,品番!D:D)</f>
        <v>メイン</v>
      </c>
      <c r="E339" s="179">
        <v>60495</v>
      </c>
      <c r="F339" s="180" t="s">
        <v>235</v>
      </c>
      <c r="G339" s="181">
        <v>8</v>
      </c>
      <c r="H339" s="135"/>
      <c r="K339" s="182"/>
      <c r="M339" s="266" t="str" cm="1">
        <f t="array" ref="M339">_xlfn.TEXTJOIN(",", TRUE, _xlfn._xlws.FILTER(適用号機!D:D, (適用号機!B:B=改定!F339)*(適用号機!C:C=改定!G339), ""))</f>
        <v>A14IW</v>
      </c>
      <c r="N339" s="142" t="str">
        <f t="shared" si="7"/>
        <v>05642-00683-08</v>
      </c>
      <c r="O339" s="122" t="s">
        <v>1702</v>
      </c>
    </row>
    <row r="340" spans="1:15">
      <c r="A340" s="142" t="s">
        <v>234</v>
      </c>
      <c r="B340" s="189" t="str">
        <f>_xlfn.XLOOKUP(F340,品番!B:B,品番!G:G)</f>
        <v>A14IW</v>
      </c>
      <c r="C340" s="189" t="str">
        <f>_xlfn.XLOOKUP(F340,品番!B:B,品番!C:C)</f>
        <v>コントローラ</v>
      </c>
      <c r="D340" s="189" t="str">
        <f>_xlfn.XLOOKUP(F340,品番!B:B,品番!D:D)</f>
        <v>メイン</v>
      </c>
      <c r="E340" s="179">
        <v>61020</v>
      </c>
      <c r="F340" s="180" t="s">
        <v>235</v>
      </c>
      <c r="G340" s="181">
        <v>9</v>
      </c>
      <c r="H340" s="142" t="s">
        <v>306</v>
      </c>
      <c r="I340" s="142" t="s">
        <v>47</v>
      </c>
      <c r="J340" s="142" t="s">
        <v>47</v>
      </c>
      <c r="M340" s="266" t="str" cm="1">
        <f t="array" ref="M340">_xlfn.TEXTJOIN(",", TRUE, _xlfn._xlws.FILTER(適用号機!D:D, (適用号機!B:B=改定!F340)*(適用号機!C:C=改定!G340), ""))</f>
        <v>A14IW</v>
      </c>
      <c r="N340" s="142" t="str">
        <f t="shared" si="7"/>
        <v>05642-00683-09</v>
      </c>
      <c r="O340" s="122" t="s">
        <v>1702</v>
      </c>
    </row>
    <row r="341" spans="1:15">
      <c r="A341" s="142" t="s">
        <v>476</v>
      </c>
      <c r="B341" s="189" t="str">
        <f>_xlfn.XLOOKUP(F341,品番!B:B,品番!G:G)</f>
        <v>A14IW</v>
      </c>
      <c r="C341" s="189" t="str">
        <f>_xlfn.XLOOKUP(F341,品番!B:B,品番!C:C)</f>
        <v>コントローラ</v>
      </c>
      <c r="D341" s="189" t="str">
        <f>_xlfn.XLOOKUP(F341,品番!B:B,品番!D:D)</f>
        <v>サブ</v>
      </c>
      <c r="E341" s="179">
        <v>52943</v>
      </c>
      <c r="F341" s="180" t="s">
        <v>242</v>
      </c>
      <c r="G341" s="181">
        <v>0</v>
      </c>
      <c r="K341" s="142" t="s">
        <v>224</v>
      </c>
      <c r="L341" s="142" t="s">
        <v>224</v>
      </c>
      <c r="M341" s="266" t="str" cm="1">
        <f t="array" ref="M341">_xlfn.TEXTJOIN(",", TRUE, _xlfn._xlws.FILTER(適用号機!D:D, (適用号機!B:B=改定!F341)*(適用号機!C:C=改定!G341), ""))</f>
        <v xml:space="preserve">	A13AW,	A14IW</v>
      </c>
      <c r="N341" s="142" t="str">
        <f t="shared" si="7"/>
        <v>05642-00684-00</v>
      </c>
      <c r="O341" s="122" t="s">
        <v>1702</v>
      </c>
    </row>
    <row r="342" spans="1:15">
      <c r="A342" s="142" t="s">
        <v>476</v>
      </c>
      <c r="B342" s="189" t="str">
        <f>_xlfn.XLOOKUP(F342,品番!B:B,品番!G:G)</f>
        <v>A14IW</v>
      </c>
      <c r="C342" s="189" t="str">
        <f>_xlfn.XLOOKUP(F342,品番!B:B,品番!C:C)</f>
        <v>コントローラ</v>
      </c>
      <c r="D342" s="189" t="str">
        <f>_xlfn.XLOOKUP(F342,品番!B:B,品番!D:D)</f>
        <v>サブ</v>
      </c>
      <c r="E342" s="179">
        <v>55338</v>
      </c>
      <c r="F342" s="180" t="s">
        <v>242</v>
      </c>
      <c r="G342" s="181">
        <v>1</v>
      </c>
      <c r="M342" s="266" t="str" cm="1">
        <f t="array" ref="M342">_xlfn.TEXTJOIN(",", TRUE, _xlfn._xlws.FILTER(適用号機!D:D, (適用号機!B:B=改定!F342)*(適用号機!C:C=改定!G342), ""))</f>
        <v xml:space="preserve">	A13AW,	A14IW</v>
      </c>
      <c r="N342" s="142" t="str">
        <f t="shared" si="7"/>
        <v>05642-00684-01</v>
      </c>
      <c r="O342" s="122" t="s">
        <v>1702</v>
      </c>
    </row>
    <row r="343" spans="1:15">
      <c r="A343" s="142" t="s">
        <v>476</v>
      </c>
      <c r="B343" s="189" t="str">
        <f>_xlfn.XLOOKUP(F343,品番!B:B,品番!G:G)</f>
        <v>A14IW</v>
      </c>
      <c r="C343" s="189" t="str">
        <f>_xlfn.XLOOKUP(F343,品番!B:B,品番!C:C)</f>
        <v>コントローラ</v>
      </c>
      <c r="D343" s="189" t="str">
        <f>_xlfn.XLOOKUP(F343,品番!B:B,品番!D:D)</f>
        <v>サブ</v>
      </c>
      <c r="E343" s="179">
        <v>60495</v>
      </c>
      <c r="F343" s="180" t="s">
        <v>242</v>
      </c>
      <c r="G343" s="181">
        <v>2</v>
      </c>
      <c r="H343" s="142" t="s">
        <v>364</v>
      </c>
      <c r="I343" s="142" t="s">
        <v>47</v>
      </c>
      <c r="J343" s="142" t="s">
        <v>47</v>
      </c>
      <c r="M343" s="266" t="str" cm="1">
        <f t="array" ref="M343">_xlfn.TEXTJOIN(",", TRUE, _xlfn._xlws.FILTER(適用号機!D:D, (適用号機!B:B=改定!F343)*(適用号機!C:C=改定!G343), ""))</f>
        <v xml:space="preserve">	A14IW,	A13AW</v>
      </c>
      <c r="N343" s="142" t="str">
        <f t="shared" si="7"/>
        <v>05642-00684-02</v>
      </c>
      <c r="O343" s="122" t="s">
        <v>1702</v>
      </c>
    </row>
    <row r="344" spans="1:15">
      <c r="A344" s="142" t="s">
        <v>476</v>
      </c>
      <c r="B344" s="189" t="str">
        <f>_xlfn.XLOOKUP(F344,品番!B:B,品番!G:G)</f>
        <v>A14IW</v>
      </c>
      <c r="C344" s="189" t="str">
        <f>_xlfn.XLOOKUP(F344,品番!B:B,品番!C:C)</f>
        <v>コントローラ</v>
      </c>
      <c r="D344" s="189" t="str">
        <f>_xlfn.XLOOKUP(F344,品番!B:B,品番!D:D)</f>
        <v>下部隊</v>
      </c>
      <c r="E344" s="179">
        <v>52943</v>
      </c>
      <c r="F344" s="180" t="s">
        <v>243</v>
      </c>
      <c r="G344" s="181">
        <v>0</v>
      </c>
      <c r="H344" s="142"/>
      <c r="I344" s="142"/>
      <c r="J344" s="142"/>
      <c r="K344" s="142" t="s">
        <v>478</v>
      </c>
      <c r="L344" s="142" t="s">
        <v>244</v>
      </c>
      <c r="M344" s="266" t="str" cm="1">
        <f t="array" ref="M344">_xlfn.TEXTJOIN(",", TRUE, _xlfn._xlws.FILTER(適用号機!D:D, (適用号機!B:B=改定!F344)*(適用号機!C:C=改定!G344), ""))</f>
        <v xml:space="preserve">	A13AW,	A14IW</v>
      </c>
      <c r="N344" s="142" t="str">
        <f t="shared" si="7"/>
        <v>05642-00685-00</v>
      </c>
      <c r="O344" s="122" t="s">
        <v>1702</v>
      </c>
    </row>
    <row r="345" spans="1:15">
      <c r="A345" s="142" t="s">
        <v>476</v>
      </c>
      <c r="B345" s="189" t="str">
        <f>_xlfn.XLOOKUP(F345,品番!B:B,品番!G:G)</f>
        <v>A14IW</v>
      </c>
      <c r="C345" s="189" t="str">
        <f>_xlfn.XLOOKUP(F345,品番!B:B,品番!C:C)</f>
        <v>コントローラ</v>
      </c>
      <c r="D345" s="189" t="str">
        <f>_xlfn.XLOOKUP(F345,品番!B:B,品番!D:D)</f>
        <v>下部隊</v>
      </c>
      <c r="E345" s="179">
        <v>55338</v>
      </c>
      <c r="F345" s="180" t="s">
        <v>243</v>
      </c>
      <c r="G345" s="181">
        <v>1</v>
      </c>
      <c r="H345" s="142"/>
      <c r="I345" s="142"/>
      <c r="J345" s="142"/>
      <c r="M345" s="266" t="str" cm="1">
        <f t="array" ref="M345">_xlfn.TEXTJOIN(",", TRUE, _xlfn._xlws.FILTER(適用号機!D:D, (適用号機!B:B=改定!F345)*(適用号機!C:C=改定!G345), ""))</f>
        <v xml:space="preserve">	A13AW,	A14IW</v>
      </c>
      <c r="N345" s="142" t="str">
        <f t="shared" si="7"/>
        <v>05642-00685-01</v>
      </c>
      <c r="O345" s="122" t="s">
        <v>1702</v>
      </c>
    </row>
    <row r="346" spans="1:15">
      <c r="A346" s="142" t="s">
        <v>476</v>
      </c>
      <c r="B346" s="189" t="str">
        <f>_xlfn.XLOOKUP(F346,品番!B:B,品番!G:G)</f>
        <v>A14IW</v>
      </c>
      <c r="C346" s="189" t="str">
        <f>_xlfn.XLOOKUP(F346,品番!B:B,品番!C:C)</f>
        <v>コントローラ</v>
      </c>
      <c r="D346" s="189" t="str">
        <f>_xlfn.XLOOKUP(F346,品番!B:B,品番!D:D)</f>
        <v>下部隊</v>
      </c>
      <c r="E346" s="179">
        <v>55576</v>
      </c>
      <c r="F346" s="180" t="s">
        <v>243</v>
      </c>
      <c r="G346" s="181">
        <v>2</v>
      </c>
      <c r="H346" s="142"/>
      <c r="I346" s="142"/>
      <c r="J346" s="142"/>
      <c r="M346" s="266" t="str" cm="1">
        <f t="array" ref="M346">_xlfn.TEXTJOIN(",", TRUE, _xlfn._xlws.FILTER(適用号機!D:D, (適用号機!B:B=改定!F346)*(適用号機!C:C=改定!G346), ""))</f>
        <v>A13AW,A14IW</v>
      </c>
      <c r="N346" s="142" t="str">
        <f t="shared" si="7"/>
        <v>05642-00685-02</v>
      </c>
      <c r="O346" s="122" t="s">
        <v>1702</v>
      </c>
    </row>
    <row r="347" spans="1:15">
      <c r="A347" s="142" t="s">
        <v>476</v>
      </c>
      <c r="B347" s="189" t="str">
        <f>_xlfn.XLOOKUP(F347,品番!B:B,品番!G:G)</f>
        <v>A14IW</v>
      </c>
      <c r="C347" s="189" t="str">
        <f>_xlfn.XLOOKUP(F347,品番!B:B,品番!C:C)</f>
        <v>コントローラ</v>
      </c>
      <c r="D347" s="189" t="str">
        <f>_xlfn.XLOOKUP(F347,品番!B:B,品番!D:D)</f>
        <v>下部隊</v>
      </c>
      <c r="E347" s="179">
        <v>56128</v>
      </c>
      <c r="F347" s="180" t="s">
        <v>243</v>
      </c>
      <c r="G347" s="181">
        <v>3</v>
      </c>
      <c r="H347" s="142"/>
      <c r="I347" s="142"/>
      <c r="J347" s="142"/>
      <c r="M347" s="266" t="str" cm="1">
        <f t="array" ref="M347">_xlfn.TEXTJOIN(",", TRUE, _xlfn._xlws.FILTER(適用号機!D:D, (適用号機!B:B=改定!F347)*(適用号機!C:C=改定!G347), ""))</f>
        <v xml:space="preserve">	A13AW,	A14IW</v>
      </c>
      <c r="N347" s="142" t="str">
        <f t="shared" si="7"/>
        <v>05642-00685-03</v>
      </c>
      <c r="O347" s="122" t="s">
        <v>1702</v>
      </c>
    </row>
    <row r="348" spans="1:15">
      <c r="A348" s="142" t="s">
        <v>476</v>
      </c>
      <c r="B348" s="189" t="str">
        <f>_xlfn.XLOOKUP(F348,品番!B:B,品番!G:G)</f>
        <v>A14IW</v>
      </c>
      <c r="C348" s="189" t="str">
        <f>_xlfn.XLOOKUP(F348,品番!B:B,品番!C:C)</f>
        <v>コントローラ</v>
      </c>
      <c r="D348" s="189" t="str">
        <f>_xlfn.XLOOKUP(F348,品番!B:B,品番!D:D)</f>
        <v>下部隊</v>
      </c>
      <c r="E348" s="179">
        <v>60495</v>
      </c>
      <c r="F348" s="180" t="s">
        <v>243</v>
      </c>
      <c r="G348" s="181">
        <v>4</v>
      </c>
      <c r="H348" s="142" t="s">
        <v>301</v>
      </c>
      <c r="I348" s="142" t="s">
        <v>47</v>
      </c>
      <c r="J348" s="142" t="s">
        <v>47</v>
      </c>
      <c r="M348" s="266" t="str" cm="1">
        <f t="array" ref="M348">_xlfn.TEXTJOIN(",", TRUE, _xlfn._xlws.FILTER(適用号機!D:D, (適用号機!B:B=改定!F348)*(適用号機!C:C=改定!G348), ""))</f>
        <v xml:space="preserve">	A13AW,	A14IW</v>
      </c>
      <c r="N348" s="142" t="str">
        <f t="shared" si="7"/>
        <v>05642-00685-04</v>
      </c>
      <c r="O348" s="122" t="s">
        <v>1702</v>
      </c>
    </row>
    <row r="349" spans="1:15">
      <c r="A349" s="142" t="s">
        <v>234</v>
      </c>
      <c r="B349" s="189" t="str">
        <f>_xlfn.XLOOKUP(F349,品番!B:B,品番!G:G)</f>
        <v>A14IW</v>
      </c>
      <c r="C349" s="189" t="str">
        <f>_xlfn.XLOOKUP(F349,品番!B:B,品番!C:C)</f>
        <v>コントローラ</v>
      </c>
      <c r="D349" s="189" t="str">
        <f>_xlfn.XLOOKUP(F349,品番!B:B,品番!D:D)</f>
        <v>メイン</v>
      </c>
      <c r="E349" s="179">
        <v>56013</v>
      </c>
      <c r="F349" s="180" t="s">
        <v>236</v>
      </c>
      <c r="G349" s="181">
        <v>0</v>
      </c>
      <c r="H349" s="142"/>
      <c r="I349" s="142"/>
      <c r="J349" s="142"/>
      <c r="K349" s="142" t="s">
        <v>475</v>
      </c>
      <c r="L349" s="142" t="s">
        <v>237</v>
      </c>
      <c r="M349" s="266" t="str" cm="1">
        <f t="array" ref="M349">_xlfn.TEXTJOIN(",", TRUE, _xlfn._xlws.FILTER(適用号機!D:D, (適用号機!B:B=改定!F349)*(適用号機!C:C=改定!G349), ""))</f>
        <v xml:space="preserve">	A14IW</v>
      </c>
      <c r="N349" s="142" t="str">
        <f t="shared" si="7"/>
        <v>05642-00924-00</v>
      </c>
      <c r="O349" s="122" t="s">
        <v>1702</v>
      </c>
    </row>
    <row r="350" spans="1:15">
      <c r="A350" s="142" t="s">
        <v>234</v>
      </c>
      <c r="B350" s="189" t="str">
        <f>_xlfn.XLOOKUP(F350,品番!B:B,品番!G:G)</f>
        <v>A14IW</v>
      </c>
      <c r="C350" s="189" t="str">
        <f>_xlfn.XLOOKUP(F350,品番!B:B,品番!C:C)</f>
        <v>コントローラ</v>
      </c>
      <c r="D350" s="189" t="str">
        <f>_xlfn.XLOOKUP(F350,品番!B:B,品番!D:D)</f>
        <v>メイン</v>
      </c>
      <c r="E350" s="179">
        <v>56440</v>
      </c>
      <c r="F350" s="180" t="s">
        <v>236</v>
      </c>
      <c r="G350" s="181">
        <v>1</v>
      </c>
      <c r="H350" s="142"/>
      <c r="I350" s="142"/>
      <c r="J350" s="142"/>
      <c r="M350" s="266" t="str" cm="1">
        <f t="array" ref="M350">_xlfn.TEXTJOIN(",", TRUE, _xlfn._xlws.FILTER(適用号機!D:D, (適用号機!B:B=改定!F350)*(適用号機!C:C=改定!G350), ""))</f>
        <v xml:space="preserve">	A14IW</v>
      </c>
      <c r="N350" s="142" t="str">
        <f t="shared" si="7"/>
        <v>05642-00924-01</v>
      </c>
      <c r="O350" s="122" t="s">
        <v>1702</v>
      </c>
    </row>
    <row r="351" spans="1:15">
      <c r="A351" s="142" t="s">
        <v>234</v>
      </c>
      <c r="B351" s="189" t="str">
        <f>_xlfn.XLOOKUP(F351,品番!B:B,品番!G:G)</f>
        <v>A14IW</v>
      </c>
      <c r="C351" s="189" t="str">
        <f>_xlfn.XLOOKUP(F351,品番!B:B,品番!C:C)</f>
        <v>コントローラ</v>
      </c>
      <c r="D351" s="189" t="str">
        <f>_xlfn.XLOOKUP(F351,品番!B:B,品番!D:D)</f>
        <v>メイン</v>
      </c>
      <c r="E351" s="179">
        <v>60245</v>
      </c>
      <c r="F351" s="180" t="s">
        <v>236</v>
      </c>
      <c r="G351" s="181">
        <v>2</v>
      </c>
      <c r="H351" s="142"/>
      <c r="I351" s="142"/>
      <c r="J351" s="142"/>
      <c r="M351" s="266" t="str" cm="1">
        <f t="array" ref="M351">_xlfn.TEXTJOIN(",", TRUE, _xlfn._xlws.FILTER(適用号機!D:D, (適用号機!B:B=改定!F351)*(適用号機!C:C=改定!G351), ""))</f>
        <v>A14IW</v>
      </c>
      <c r="N351" s="142" t="str">
        <f t="shared" si="7"/>
        <v>05642-00924-02</v>
      </c>
      <c r="O351" s="122" t="s">
        <v>1702</v>
      </c>
    </row>
    <row r="352" spans="1:15">
      <c r="A352" s="142" t="s">
        <v>234</v>
      </c>
      <c r="B352" s="189" t="str">
        <f>_xlfn.XLOOKUP(F352,品番!B:B,品番!G:G)</f>
        <v>A14IW</v>
      </c>
      <c r="C352" s="189" t="str">
        <f>_xlfn.XLOOKUP(F352,品番!B:B,品番!C:C)</f>
        <v>コントローラ</v>
      </c>
      <c r="D352" s="189" t="str">
        <f>_xlfn.XLOOKUP(F352,品番!B:B,品番!D:D)</f>
        <v>メイン</v>
      </c>
      <c r="E352" s="179">
        <v>60495</v>
      </c>
      <c r="F352" s="180" t="s">
        <v>236</v>
      </c>
      <c r="G352" s="181">
        <v>3</v>
      </c>
      <c r="H352" s="142"/>
      <c r="I352" s="142"/>
      <c r="J352" s="142"/>
      <c r="M352" s="266" t="str" cm="1">
        <f t="array" ref="M352">_xlfn.TEXTJOIN(",", TRUE, _xlfn._xlws.FILTER(適用号機!D:D, (適用号機!B:B=改定!F352)*(適用号機!C:C=改定!G352), ""))</f>
        <v>A14IW</v>
      </c>
      <c r="N352" s="142" t="str">
        <f t="shared" si="7"/>
        <v>05642-00924-03</v>
      </c>
      <c r="O352" s="122" t="s">
        <v>1702</v>
      </c>
    </row>
    <row r="353" spans="1:15">
      <c r="A353" s="142" t="s">
        <v>234</v>
      </c>
      <c r="B353" s="189" t="str">
        <f>_xlfn.XLOOKUP(F353,品番!B:B,品番!G:G)</f>
        <v>A14IW</v>
      </c>
      <c r="C353" s="189" t="str">
        <f>_xlfn.XLOOKUP(F353,品番!B:B,品番!C:C)</f>
        <v>コントローラ</v>
      </c>
      <c r="D353" s="189" t="str">
        <f>_xlfn.XLOOKUP(F353,品番!B:B,品番!D:D)</f>
        <v>メイン</v>
      </c>
      <c r="E353" s="179">
        <v>61020</v>
      </c>
      <c r="F353" s="180" t="s">
        <v>236</v>
      </c>
      <c r="G353" s="181">
        <v>4</v>
      </c>
      <c r="H353" s="142" t="s">
        <v>306</v>
      </c>
      <c r="I353" s="142" t="s">
        <v>47</v>
      </c>
      <c r="J353" s="142" t="s">
        <v>47</v>
      </c>
      <c r="M353" s="266" t="str" cm="1">
        <f t="array" ref="M353">_xlfn.TEXTJOIN(",", TRUE, _xlfn._xlws.FILTER(適用号機!D:D, (適用号機!B:B=改定!F353)*(適用号機!C:C=改定!G353), ""))</f>
        <v>A14IW</v>
      </c>
      <c r="N353" s="142" t="str">
        <f t="shared" si="7"/>
        <v>05642-00924-04</v>
      </c>
      <c r="O353" s="122" t="s">
        <v>1702</v>
      </c>
    </row>
    <row r="354" spans="1:15">
      <c r="A354" s="142" t="s">
        <v>234</v>
      </c>
      <c r="B354" s="189" t="str">
        <f>_xlfn.XLOOKUP(F354,品番!B:B,品番!G:G)</f>
        <v>A14IW</v>
      </c>
      <c r="C354" s="189" t="str">
        <f>_xlfn.XLOOKUP(F354,品番!B:B,品番!C:C)</f>
        <v>コントローラ</v>
      </c>
      <c r="D354" s="189" t="str">
        <f>_xlfn.XLOOKUP(F354,品番!B:B,品番!D:D)</f>
        <v>メイン</v>
      </c>
      <c r="E354" s="179">
        <v>61312</v>
      </c>
      <c r="F354" s="180" t="s">
        <v>238</v>
      </c>
      <c r="G354" s="181">
        <v>0</v>
      </c>
      <c r="H354" s="142"/>
      <c r="I354" s="142"/>
      <c r="J354" s="142"/>
      <c r="L354" s="142" t="s">
        <v>239</v>
      </c>
      <c r="M354" s="266" t="str" cm="1">
        <f t="array" ref="M354">_xlfn.TEXTJOIN(",", TRUE, _xlfn._xlws.FILTER(適用号機!D:D, (適用号機!B:B=改定!F354)*(適用号機!C:C=改定!G354), ""))</f>
        <v xml:space="preserve">	A14IW</v>
      </c>
      <c r="N354" s="142" t="str">
        <f t="shared" si="7"/>
        <v>05642-00998-00</v>
      </c>
      <c r="O354" s="122" t="s">
        <v>1702</v>
      </c>
    </row>
    <row r="355" spans="1:15">
      <c r="A355" s="142" t="s">
        <v>234</v>
      </c>
      <c r="B355" s="189" t="str">
        <f>_xlfn.XLOOKUP(F355,品番!B:B,品番!G:G)</f>
        <v>A14IW</v>
      </c>
      <c r="C355" s="189" t="str">
        <f>_xlfn.XLOOKUP(F355,品番!B:B,品番!C:C)</f>
        <v>コントローラ</v>
      </c>
      <c r="D355" s="189" t="str">
        <f>_xlfn.XLOOKUP(F355,品番!B:B,品番!D:D)</f>
        <v>メイン</v>
      </c>
      <c r="E355" s="179">
        <v>61591</v>
      </c>
      <c r="F355" s="180" t="s">
        <v>238</v>
      </c>
      <c r="G355" s="181">
        <v>1</v>
      </c>
      <c r="H355" s="142" t="s">
        <v>437</v>
      </c>
      <c r="I355" s="142" t="s">
        <v>47</v>
      </c>
      <c r="J355" s="142" t="s">
        <v>47</v>
      </c>
      <c r="M355" s="266" t="str" cm="1">
        <f t="array" ref="M355">_xlfn.TEXTJOIN(",", TRUE, _xlfn._xlws.FILTER(適用号機!D:D, (適用号機!B:B=改定!F355)*(適用号機!C:C=改定!G355), ""))</f>
        <v xml:space="preserve">	A14IW</v>
      </c>
      <c r="N355" s="142" t="str">
        <f t="shared" si="7"/>
        <v>05642-00998-01</v>
      </c>
      <c r="O355" s="122" t="s">
        <v>1702</v>
      </c>
    </row>
    <row r="356" spans="1:15">
      <c r="A356" s="142" t="s">
        <v>234</v>
      </c>
      <c r="B356" s="189" t="str">
        <f>_xlfn.XLOOKUP(F356,品番!B:B,品番!G:G)</f>
        <v>A14IW</v>
      </c>
      <c r="C356" s="189" t="str">
        <f>_xlfn.XLOOKUP(F356,品番!B:B,品番!C:C)</f>
        <v>コントローラ</v>
      </c>
      <c r="D356" s="189" t="str">
        <f>_xlfn.XLOOKUP(F356,品番!B:B,品番!D:D)</f>
        <v>メイン</v>
      </c>
      <c r="E356" s="179">
        <v>62444</v>
      </c>
      <c r="F356" s="180" t="s">
        <v>238</v>
      </c>
      <c r="G356" s="181">
        <v>2</v>
      </c>
      <c r="M356" s="266" t="str" cm="1">
        <f t="array" ref="M356">_xlfn.TEXTJOIN(",", TRUE, _xlfn._xlws.FILTER(適用号機!D:D, (適用号機!B:B=改定!F356)*(適用号機!C:C=改定!G356), ""))</f>
        <v xml:space="preserve">	A14IW</v>
      </c>
      <c r="N356" s="142" t="str">
        <f t="shared" si="7"/>
        <v>05642-00998-02</v>
      </c>
      <c r="O356" s="122" t="s">
        <v>1702</v>
      </c>
    </row>
    <row r="357" spans="1:15">
      <c r="A357" s="142" t="s">
        <v>234</v>
      </c>
      <c r="B357" s="189" t="str">
        <f>_xlfn.XLOOKUP(F357,品番!B:B,品番!G:G)</f>
        <v>A14IW</v>
      </c>
      <c r="C357" s="189" t="str">
        <f>_xlfn.XLOOKUP(F357,品番!B:B,品番!C:C)</f>
        <v>コントローラ</v>
      </c>
      <c r="D357" s="189" t="str">
        <f>_xlfn.XLOOKUP(F357,品番!B:B,品番!D:D)</f>
        <v>メイン</v>
      </c>
      <c r="E357" s="179">
        <v>61312</v>
      </c>
      <c r="F357" s="180" t="s">
        <v>240</v>
      </c>
      <c r="G357" s="181">
        <v>0</v>
      </c>
      <c r="L357" s="142" t="s">
        <v>241</v>
      </c>
      <c r="M357" s="266" t="str" cm="1">
        <f t="array" ref="M357">_xlfn.TEXTJOIN(",", TRUE, _xlfn._xlws.FILTER(適用号機!D:D, (適用号機!B:B=改定!F357)*(適用号機!C:C=改定!G357), ""))</f>
        <v>A14IW</v>
      </c>
      <c r="N357" s="142" t="str">
        <f t="shared" si="7"/>
        <v>05642-00999-00</v>
      </c>
      <c r="O357" s="122" t="s">
        <v>1702</v>
      </c>
    </row>
    <row r="358" spans="1:15">
      <c r="A358" s="142" t="s">
        <v>234</v>
      </c>
      <c r="B358" s="189" t="str">
        <f>_xlfn.XLOOKUP(F358,品番!B:B,品番!G:G)</f>
        <v>A14IW</v>
      </c>
      <c r="C358" s="189" t="str">
        <f>_xlfn.XLOOKUP(F358,品番!B:B,品番!C:C)</f>
        <v>コントローラ</v>
      </c>
      <c r="D358" s="189" t="str">
        <f>_xlfn.XLOOKUP(F358,品番!B:B,品番!D:D)</f>
        <v>メイン</v>
      </c>
      <c r="E358" s="179">
        <v>61591</v>
      </c>
      <c r="F358" s="180" t="s">
        <v>240</v>
      </c>
      <c r="G358" s="181">
        <v>1</v>
      </c>
      <c r="H358" s="142" t="s">
        <v>437</v>
      </c>
      <c r="I358" s="142" t="s">
        <v>47</v>
      </c>
      <c r="J358" s="142" t="s">
        <v>47</v>
      </c>
      <c r="M358" s="266" t="str" cm="1">
        <f t="array" ref="M358">_xlfn.TEXTJOIN(",", TRUE, _xlfn._xlws.FILTER(適用号機!D:D, (適用号機!B:B=改定!F358)*(適用号機!C:C=改定!G358), ""))</f>
        <v xml:space="preserve">	A14IW</v>
      </c>
      <c r="N358" s="142" t="str">
        <f t="shared" si="7"/>
        <v>05642-00999-01</v>
      </c>
      <c r="O358" s="122" t="s">
        <v>1702</v>
      </c>
    </row>
    <row r="359" spans="1:15">
      <c r="A359" s="142" t="s">
        <v>234</v>
      </c>
      <c r="B359" s="189" t="str">
        <f>_xlfn.XLOOKUP(F359,品番!B:B,品番!G:G)</f>
        <v>A14IW</v>
      </c>
      <c r="C359" s="189" t="str">
        <f>_xlfn.XLOOKUP(F359,品番!B:B,品番!C:C)</f>
        <v>コントローラ</v>
      </c>
      <c r="D359" s="189" t="str">
        <f>_xlfn.XLOOKUP(F359,品番!B:B,品番!D:D)</f>
        <v>メイン</v>
      </c>
      <c r="E359" s="179">
        <v>62444</v>
      </c>
      <c r="F359" s="180" t="s">
        <v>240</v>
      </c>
      <c r="G359" s="181">
        <v>2</v>
      </c>
      <c r="M359" s="266" t="str" cm="1">
        <f t="array" ref="M359">_xlfn.TEXTJOIN(",", TRUE, _xlfn._xlws.FILTER(適用号機!D:D, (適用号機!B:B=改定!F359)*(適用号機!C:C=改定!G359), ""))</f>
        <v xml:space="preserve">	A14IW</v>
      </c>
      <c r="N359" s="142" t="str">
        <f t="shared" si="7"/>
        <v>05642-00999-02</v>
      </c>
      <c r="O359" s="122" t="s">
        <v>1702</v>
      </c>
    </row>
    <row r="360" spans="1:15">
      <c r="A360" s="142" t="s">
        <v>156</v>
      </c>
      <c r="B360" s="189" t="str">
        <f>_xlfn.XLOOKUP(F360,品番!B:B,品番!G:G)</f>
        <v>A9D/A14D/A25D</v>
      </c>
      <c r="C360" s="189" t="str">
        <f>_xlfn.XLOOKUP(F360,品番!B:B,品番!C:C)</f>
        <v>コントローラ</v>
      </c>
      <c r="D360" s="189" t="str">
        <f>_xlfn.XLOOKUP(F360,品番!B:B,品番!D:D)</f>
        <v>メイン</v>
      </c>
      <c r="E360" s="179">
        <v>33269</v>
      </c>
      <c r="F360" s="180" t="s">
        <v>157</v>
      </c>
      <c r="G360" s="181">
        <v>0</v>
      </c>
      <c r="K360" s="182" t="s">
        <v>409</v>
      </c>
      <c r="M360" s="266" t="str" cm="1">
        <f t="array" ref="M360">_xlfn.TEXTJOIN(",", TRUE, _xlfn._xlws.FILTER(適用号機!D:D, (適用号機!B:B=改定!F360)*(適用号機!C:C=改定!G360), ""))</f>
        <v>A14D-1</v>
      </c>
      <c r="N360" s="142" t="str">
        <f t="shared" si="7"/>
        <v>05642-57920-00</v>
      </c>
      <c r="O360" s="122" t="s">
        <v>1702</v>
      </c>
    </row>
    <row r="361" spans="1:15">
      <c r="A361" s="142" t="s">
        <v>156</v>
      </c>
      <c r="B361" s="189" t="str">
        <f>_xlfn.XLOOKUP(F361,品番!B:B,品番!G:G)</f>
        <v>A9D/A14D/A25D</v>
      </c>
      <c r="C361" s="189" t="str">
        <f>_xlfn.XLOOKUP(F361,品番!B:B,品番!C:C)</f>
        <v>コントローラ</v>
      </c>
      <c r="D361" s="189" t="str">
        <f>_xlfn.XLOOKUP(F361,品番!B:B,品番!D:D)</f>
        <v>メイン</v>
      </c>
      <c r="E361" s="179">
        <v>33453</v>
      </c>
      <c r="F361" s="180" t="s">
        <v>157</v>
      </c>
      <c r="G361" s="181">
        <v>1</v>
      </c>
      <c r="K361" s="182"/>
      <c r="M361" s="266" t="str" cm="1">
        <f t="array" ref="M361">_xlfn.TEXTJOIN(",", TRUE, _xlfn._xlws.FILTER(適用号機!D:D, (適用号機!B:B=改定!F361)*(適用号機!C:C=改定!G361), ""))</f>
        <v>A11D,A14D-1,A25D,A9D</v>
      </c>
      <c r="N361" s="142" t="str">
        <f t="shared" si="7"/>
        <v>05642-57920-01</v>
      </c>
      <c r="O361" s="122" t="s">
        <v>1702</v>
      </c>
    </row>
    <row r="362" spans="1:15">
      <c r="A362" s="142" t="s">
        <v>156</v>
      </c>
      <c r="B362" s="189" t="str">
        <f>_xlfn.XLOOKUP(F362,品番!B:B,品番!G:G)</f>
        <v>A9D/A14D/A25D</v>
      </c>
      <c r="C362" s="189" t="str">
        <f>_xlfn.XLOOKUP(F362,品番!B:B,品番!C:C)</f>
        <v>コントローラ</v>
      </c>
      <c r="D362" s="189" t="str">
        <f>_xlfn.XLOOKUP(F362,品番!B:B,品番!D:D)</f>
        <v>メイン</v>
      </c>
      <c r="E362" s="179">
        <v>40059</v>
      </c>
      <c r="F362" s="180" t="s">
        <v>157</v>
      </c>
      <c r="G362" s="181">
        <v>2</v>
      </c>
      <c r="I362" s="122" t="s">
        <v>412</v>
      </c>
      <c r="J362" s="122" t="s">
        <v>413</v>
      </c>
      <c r="K362" s="182"/>
      <c r="M362" s="266" t="str" cm="1">
        <f t="array" ref="M362">_xlfn.TEXTJOIN(",", TRUE, _xlfn._xlws.FILTER(適用号機!D:D, (適用号機!B:B=改定!F362)*(適用号機!C:C=改定!G362), ""))</f>
        <v>A11D,A14D-1,A25D,A9D</v>
      </c>
      <c r="N362" s="142" t="str">
        <f t="shared" si="7"/>
        <v>05642-57920-02</v>
      </c>
      <c r="O362" s="122" t="s">
        <v>1702</v>
      </c>
    </row>
    <row r="363" spans="1:15">
      <c r="A363" s="122" t="s">
        <v>52</v>
      </c>
      <c r="B363" s="189" t="str">
        <f>_xlfn.XLOOKUP(F363,品番!B:B,品番!G:G)</f>
        <v>A14FW</v>
      </c>
      <c r="C363" s="189" t="str">
        <f>_xlfn.XLOOKUP(F363,品番!B:B,品番!C:C)</f>
        <v>コントローラ</v>
      </c>
      <c r="D363" s="189" t="str">
        <f>_xlfn.XLOOKUP(F363,品番!B:B,品番!D:D)</f>
        <v>メイン</v>
      </c>
      <c r="E363" s="179">
        <v>41019</v>
      </c>
      <c r="F363" s="180" t="s">
        <v>53</v>
      </c>
      <c r="G363" s="181">
        <v>0</v>
      </c>
      <c r="K363" s="182"/>
      <c r="L363" s="122" t="s">
        <v>54</v>
      </c>
      <c r="M363" s="266" t="str" cm="1">
        <f t="array" ref="M363">_xlfn.TEXTJOIN(",", TRUE, _xlfn._xlws.FILTER(適用号機!D:D, (適用号機!B:B=改定!F363)*(適用号機!C:C=改定!G363), ""))</f>
        <v>A14FW</v>
      </c>
      <c r="N363" s="142" t="str">
        <f t="shared" si="7"/>
        <v>05642-65120-00</v>
      </c>
      <c r="O363" s="122" t="s">
        <v>1702</v>
      </c>
    </row>
    <row r="364" spans="1:15">
      <c r="A364" s="122" t="s">
        <v>52</v>
      </c>
      <c r="B364" s="189" t="str">
        <f>_xlfn.XLOOKUP(F364,品番!B:B,品番!G:G)</f>
        <v>A14FW</v>
      </c>
      <c r="C364" s="189" t="str">
        <f>_xlfn.XLOOKUP(F364,品番!B:B,品番!C:C)</f>
        <v>コントローラ</v>
      </c>
      <c r="D364" s="189" t="str">
        <f>_xlfn.XLOOKUP(F364,品番!B:B,品番!D:D)</f>
        <v>メイン</v>
      </c>
      <c r="E364" s="179">
        <v>41714</v>
      </c>
      <c r="F364" s="180" t="s">
        <v>53</v>
      </c>
      <c r="G364" s="183">
        <v>1</v>
      </c>
      <c r="H364" s="125"/>
      <c r="K364" s="182"/>
      <c r="M364" s="266" t="str" cm="1">
        <f t="array" ref="M364">_xlfn.TEXTJOIN(",", TRUE, _xlfn._xlws.FILTER(適用号機!D:D, (適用号機!B:B=改定!F364)*(適用号機!C:C=改定!G364), ""))</f>
        <v>A14FW</v>
      </c>
      <c r="N364" s="142" t="str">
        <f t="shared" si="7"/>
        <v>05642-65120-01</v>
      </c>
      <c r="O364" s="122" t="s">
        <v>1702</v>
      </c>
    </row>
    <row r="365" spans="1:15">
      <c r="A365" s="122" t="s">
        <v>52</v>
      </c>
      <c r="B365" s="189" t="str">
        <f>_xlfn.XLOOKUP(F365,品番!B:B,品番!G:G)</f>
        <v>A14FW</v>
      </c>
      <c r="C365" s="189" t="str">
        <f>_xlfn.XLOOKUP(F365,品番!B:B,品番!C:C)</f>
        <v>コントローラ</v>
      </c>
      <c r="D365" s="189" t="str">
        <f>_xlfn.XLOOKUP(F365,品番!B:B,品番!D:D)</f>
        <v>メイン</v>
      </c>
      <c r="E365" s="179">
        <v>55511</v>
      </c>
      <c r="F365" s="180" t="s">
        <v>53</v>
      </c>
      <c r="G365" s="183">
        <v>2</v>
      </c>
      <c r="H365" s="122" t="s">
        <v>286</v>
      </c>
      <c r="I365" s="122" t="s">
        <v>287</v>
      </c>
      <c r="J365" s="122" t="s">
        <v>288</v>
      </c>
      <c r="K365" s="182"/>
      <c r="M365" s="266" t="str" cm="1">
        <f t="array" ref="M365">_xlfn.TEXTJOIN(",", TRUE, _xlfn._xlws.FILTER(適用号機!D:D, (適用号機!B:B=改定!F365)*(適用号機!C:C=改定!G365), ""))</f>
        <v/>
      </c>
      <c r="N365" s="142" t="str">
        <f t="shared" si="7"/>
        <v>05642-65120-02</v>
      </c>
      <c r="O365" s="122" t="s">
        <v>1702</v>
      </c>
    </row>
    <row r="366" spans="1:15">
      <c r="A366" s="122" t="s">
        <v>104</v>
      </c>
      <c r="B366" s="189" t="str">
        <f>_xlfn.XLOOKUP(F366,品番!B:B,品番!G:G)</f>
        <v>A25E(EU)</v>
      </c>
      <c r="C366" s="189" t="str">
        <f>_xlfn.XLOOKUP(F366,品番!B:B,品番!C:C)</f>
        <v>コントローラ</v>
      </c>
      <c r="D366" s="189" t="str">
        <f>_xlfn.XLOOKUP(F366,品番!B:B,品番!D:D)</f>
        <v>メイン</v>
      </c>
      <c r="E366" s="179">
        <v>42074</v>
      </c>
      <c r="F366" s="180" t="s">
        <v>105</v>
      </c>
      <c r="G366" s="183">
        <v>0</v>
      </c>
      <c r="H366" s="122" t="s">
        <v>357</v>
      </c>
      <c r="I366" s="122" t="s">
        <v>358</v>
      </c>
      <c r="J366" s="122" t="s">
        <v>359</v>
      </c>
      <c r="K366" s="182" t="s">
        <v>360</v>
      </c>
      <c r="L366" t="s">
        <v>106</v>
      </c>
      <c r="M366" s="266" t="str" cm="1">
        <f t="array" ref="M366">_xlfn.TEXTJOIN(",", TRUE, _xlfn._xlws.FILTER(適用号機!D:D, (適用号機!B:B=改定!F366)*(適用号機!C:C=改定!G366), ""))</f>
        <v>A25E</v>
      </c>
      <c r="N366" s="142" t="str">
        <f t="shared" si="7"/>
        <v>05742-00038-00</v>
      </c>
      <c r="O366" s="122" t="s">
        <v>1702</v>
      </c>
    </row>
    <row r="367" spans="1:15">
      <c r="A367" s="122" t="s">
        <v>104</v>
      </c>
      <c r="B367" s="189" t="str">
        <f>_xlfn.XLOOKUP(F367,品番!B:B,品番!G:G)</f>
        <v>A25E(EU)</v>
      </c>
      <c r="C367" s="189" t="str">
        <f>_xlfn.XLOOKUP(F367,品番!B:B,品番!C:C)</f>
        <v>コントローラ</v>
      </c>
      <c r="D367" s="189" t="str">
        <f>_xlfn.XLOOKUP(F367,品番!B:B,品番!D:D)</f>
        <v>メイン</v>
      </c>
      <c r="E367" s="179">
        <v>42834</v>
      </c>
      <c r="F367" s="180" t="s">
        <v>107</v>
      </c>
      <c r="G367" s="183">
        <v>0</v>
      </c>
      <c r="K367" s="182" t="s">
        <v>362</v>
      </c>
      <c r="L367" t="s">
        <v>106</v>
      </c>
      <c r="M367" s="266" t="str" cm="1">
        <f t="array" ref="M367">_xlfn.TEXTJOIN(",", TRUE, _xlfn._xlws.FILTER(適用号機!D:D, (適用号機!B:B=改定!F367)*(適用号機!C:C=改定!G367), ""))</f>
        <v>A25E</v>
      </c>
      <c r="N367" s="142" t="str">
        <f t="shared" si="7"/>
        <v>05742-00042-00</v>
      </c>
      <c r="O367" s="122" t="s">
        <v>1702</v>
      </c>
    </row>
    <row r="368" spans="1:15">
      <c r="A368" s="122" t="s">
        <v>104</v>
      </c>
      <c r="B368" s="189" t="str">
        <f>_xlfn.XLOOKUP(F368,品番!B:B,品番!G:G)</f>
        <v>A25E(EU)</v>
      </c>
      <c r="C368" s="189" t="str">
        <f>_xlfn.XLOOKUP(F368,品番!B:B,品番!C:C)</f>
        <v>コントローラ</v>
      </c>
      <c r="D368" s="189" t="str">
        <f>_xlfn.XLOOKUP(F368,品番!B:B,品番!D:D)</f>
        <v>メイン</v>
      </c>
      <c r="E368" s="179">
        <v>55511</v>
      </c>
      <c r="F368" s="180" t="s">
        <v>107</v>
      </c>
      <c r="G368" s="183">
        <v>1</v>
      </c>
      <c r="H368" s="135" t="s">
        <v>364</v>
      </c>
      <c r="I368" s="122" t="s">
        <v>365</v>
      </c>
      <c r="J368" s="122" t="s">
        <v>366</v>
      </c>
      <c r="M368" s="266" t="str" cm="1">
        <f t="array" ref="M368">_xlfn.TEXTJOIN(",", TRUE, _xlfn._xlws.FILTER(適用号機!D:D, (適用号機!B:B=改定!F368)*(適用号機!C:C=改定!G368), ""))</f>
        <v xml:space="preserve">	A25E</v>
      </c>
      <c r="N368" s="142" t="str">
        <f t="shared" si="7"/>
        <v>05742-00042-01</v>
      </c>
      <c r="O368" s="122" t="s">
        <v>1702</v>
      </c>
    </row>
    <row r="369" spans="1:15">
      <c r="A369" s="122" t="s">
        <v>110</v>
      </c>
      <c r="B369" s="189" t="str">
        <f>_xlfn.XLOOKUP(F369,品番!B:B,品番!G:G)</f>
        <v>A25E(US)</v>
      </c>
      <c r="C369" s="189" t="str">
        <f>_xlfn.XLOOKUP(F369,品番!B:B,品番!C:C)</f>
        <v>コントローラ</v>
      </c>
      <c r="D369" s="189" t="str">
        <f>_xlfn.XLOOKUP(F369,品番!B:B,品番!D:D)</f>
        <v>メイン</v>
      </c>
      <c r="E369" s="179">
        <v>42834</v>
      </c>
      <c r="F369" s="180" t="s">
        <v>112</v>
      </c>
      <c r="G369" s="183">
        <v>0</v>
      </c>
      <c r="H369" s="135"/>
      <c r="K369" s="182" t="s">
        <v>362</v>
      </c>
      <c r="L369" t="s">
        <v>106</v>
      </c>
      <c r="M369" s="266" t="str" cm="1">
        <f t="array" ref="M369">_xlfn.TEXTJOIN(",", TRUE, _xlfn._xlws.FILTER(適用号機!D:D, (適用号機!B:B=改定!F369)*(適用号機!C:C=改定!G369), ""))</f>
        <v>A25E</v>
      </c>
      <c r="N369" s="142" t="str">
        <f t="shared" si="7"/>
        <v>05742-00045-00</v>
      </c>
      <c r="O369" s="122" t="s">
        <v>1702</v>
      </c>
    </row>
    <row r="370" spans="1:15">
      <c r="A370" s="122" t="s">
        <v>110</v>
      </c>
      <c r="B370" s="189" t="str">
        <f>_xlfn.XLOOKUP(F370,品番!B:B,品番!G:G)</f>
        <v>A25E(US)</v>
      </c>
      <c r="C370" s="189" t="str">
        <f>_xlfn.XLOOKUP(F370,品番!B:B,品番!C:C)</f>
        <v>コントローラ</v>
      </c>
      <c r="D370" s="189" t="str">
        <f>_xlfn.XLOOKUP(F370,品番!B:B,品番!D:D)</f>
        <v>メイン</v>
      </c>
      <c r="E370" s="179">
        <v>55511</v>
      </c>
      <c r="F370" s="180" t="s">
        <v>112</v>
      </c>
      <c r="G370" s="183">
        <v>1</v>
      </c>
      <c r="H370" s="135" t="s">
        <v>364</v>
      </c>
      <c r="I370" s="122" t="s">
        <v>373</v>
      </c>
      <c r="J370" s="122" t="s">
        <v>374</v>
      </c>
      <c r="M370" s="266" t="str" cm="1">
        <f t="array" ref="M370">_xlfn.TEXTJOIN(",", TRUE, _xlfn._xlws.FILTER(適用号機!D:D, (適用号機!B:B=改定!F370)*(適用号機!C:C=改定!G370), ""))</f>
        <v xml:space="preserve">	A25E</v>
      </c>
      <c r="N370" s="142" t="str">
        <f t="shared" si="7"/>
        <v>05742-00045-01</v>
      </c>
      <c r="O370" s="122" t="s">
        <v>1702</v>
      </c>
    </row>
    <row r="371" spans="1:15">
      <c r="A371" s="142" t="s">
        <v>113</v>
      </c>
      <c r="B371" s="189" t="str">
        <f>_xlfn.XLOOKUP(F371,品番!B:B,品番!G:G)</f>
        <v>A25EW</v>
      </c>
      <c r="C371" s="189" t="str">
        <f>_xlfn.XLOOKUP(F371,品番!B:B,品番!C:C)</f>
        <v>コントローラ</v>
      </c>
      <c r="D371" s="189" t="str">
        <f>_xlfn.XLOOKUP(F371,品番!B:B,品番!D:D)</f>
        <v>メイン</v>
      </c>
      <c r="E371" s="179">
        <v>42834</v>
      </c>
      <c r="F371" s="180" t="s">
        <v>115</v>
      </c>
      <c r="G371" s="183">
        <v>0</v>
      </c>
      <c r="H371" s="135"/>
      <c r="K371" s="182" t="s">
        <v>362</v>
      </c>
      <c r="L371" s="122" t="s">
        <v>116</v>
      </c>
      <c r="M371" s="266" t="str" cm="1">
        <f t="array" ref="M371">_xlfn.TEXTJOIN(",", TRUE, _xlfn._xlws.FILTER(適用号機!D:D, (適用号機!B:B=改定!F371)*(適用号機!C:C=改定!G371), ""))</f>
        <v>A25EW</v>
      </c>
      <c r="N371" s="142" t="str">
        <f t="shared" si="7"/>
        <v>05742-00048-00</v>
      </c>
      <c r="O371" s="122" t="s">
        <v>1702</v>
      </c>
    </row>
    <row r="372" spans="1:15">
      <c r="A372" s="142" t="s">
        <v>113</v>
      </c>
      <c r="B372" s="189" t="str">
        <f>_xlfn.XLOOKUP(F372,品番!B:B,品番!G:G)</f>
        <v>A25EW</v>
      </c>
      <c r="C372" s="189" t="str">
        <f>_xlfn.XLOOKUP(F372,品番!B:B,品番!C:C)</f>
        <v>コントローラ</v>
      </c>
      <c r="D372" s="189" t="str">
        <f>_xlfn.XLOOKUP(F372,品番!B:B,品番!D:D)</f>
        <v>メイン</v>
      </c>
      <c r="E372" s="179">
        <v>43461</v>
      </c>
      <c r="F372" s="180" t="s">
        <v>115</v>
      </c>
      <c r="G372" s="183">
        <v>1</v>
      </c>
      <c r="H372" s="135"/>
      <c r="K372" s="182"/>
      <c r="M372" s="266" t="str" cm="1">
        <f t="array" ref="M372">_xlfn.TEXTJOIN(",", TRUE, _xlfn._xlws.FILTER(適用号機!D:D, (適用号機!B:B=改定!F372)*(適用号機!C:C=改定!G372), ""))</f>
        <v>A25EW</v>
      </c>
      <c r="N372" s="142" t="str">
        <f t="shared" si="7"/>
        <v>05742-00048-01</v>
      </c>
      <c r="O372" s="122" t="s">
        <v>1702</v>
      </c>
    </row>
    <row r="373" spans="1:15">
      <c r="A373" s="142" t="s">
        <v>113</v>
      </c>
      <c r="B373" s="189" t="str">
        <f>_xlfn.XLOOKUP(F373,品番!B:B,品番!G:G)</f>
        <v>A25EW</v>
      </c>
      <c r="C373" s="189" t="str">
        <f>_xlfn.XLOOKUP(F373,品番!B:B,品番!C:C)</f>
        <v>コントローラ</v>
      </c>
      <c r="D373" s="189" t="str">
        <f>_xlfn.XLOOKUP(F373,品番!B:B,品番!D:D)</f>
        <v>メイン</v>
      </c>
      <c r="E373" s="179">
        <v>55511</v>
      </c>
      <c r="F373" s="180" t="s">
        <v>115</v>
      </c>
      <c r="G373" s="183">
        <v>2</v>
      </c>
      <c r="H373" s="135" t="s">
        <v>377</v>
      </c>
      <c r="I373" s="122" t="s">
        <v>378</v>
      </c>
      <c r="J373" s="122" t="s">
        <v>379</v>
      </c>
      <c r="M373" s="266" t="str" cm="1">
        <f t="array" ref="M373">_xlfn.TEXTJOIN(",", TRUE, _xlfn._xlws.FILTER(適用号機!D:D, (適用号機!B:B=改定!F373)*(適用号機!C:C=改定!G373), ""))</f>
        <v xml:space="preserve">	A25EW</v>
      </c>
      <c r="N373" s="142" t="str">
        <f t="shared" si="7"/>
        <v>05742-00048-02</v>
      </c>
      <c r="O373" s="122" t="s">
        <v>1702</v>
      </c>
    </row>
    <row r="374" spans="1:15">
      <c r="A374" s="122" t="s">
        <v>104</v>
      </c>
      <c r="B374" s="189" t="str">
        <f>_xlfn.XLOOKUP(F374,品番!B:B,品番!G:G)</f>
        <v>A25E(EU)</v>
      </c>
      <c r="C374" s="189" t="str">
        <f>_xlfn.XLOOKUP(F374,品番!B:B,品番!C:C)</f>
        <v>コントローラ</v>
      </c>
      <c r="D374" s="189" t="str">
        <f>_xlfn.XLOOKUP(F374,品番!B:B,品番!D:D)</f>
        <v>メイン</v>
      </c>
      <c r="E374" s="179">
        <v>42980</v>
      </c>
      <c r="F374" s="180" t="s">
        <v>108</v>
      </c>
      <c r="G374" s="183">
        <v>0</v>
      </c>
      <c r="H374" s="135"/>
      <c r="K374" s="182" t="s">
        <v>367</v>
      </c>
      <c r="L374" t="s">
        <v>109</v>
      </c>
      <c r="M374" s="266" t="str" cm="1">
        <f t="array" ref="M374">_xlfn.TEXTJOIN(",", TRUE, _xlfn._xlws.FILTER(適用号機!D:D, (適用号機!B:B=改定!F374)*(適用号機!C:C=改定!G374), ""))</f>
        <v>A25E,A25EW</v>
      </c>
      <c r="N374" s="142" t="str">
        <f t="shared" si="7"/>
        <v>05742-00052-00</v>
      </c>
      <c r="O374" s="122" t="s">
        <v>1702</v>
      </c>
    </row>
    <row r="375" spans="1:15">
      <c r="A375" s="122" t="s">
        <v>104</v>
      </c>
      <c r="B375" s="189" t="str">
        <f>_xlfn.XLOOKUP(F375,品番!B:B,品番!G:G)</f>
        <v>A25E(EU)</v>
      </c>
      <c r="C375" s="189" t="str">
        <f>_xlfn.XLOOKUP(F375,品番!B:B,品番!C:C)</f>
        <v>コントローラ</v>
      </c>
      <c r="D375" s="189" t="str">
        <f>_xlfn.XLOOKUP(F375,品番!B:B,品番!D:D)</f>
        <v>メイン</v>
      </c>
      <c r="E375" s="179">
        <v>43517</v>
      </c>
      <c r="F375" s="180" t="s">
        <v>108</v>
      </c>
      <c r="G375" s="183">
        <v>1</v>
      </c>
      <c r="H375" s="135"/>
      <c r="K375" s="182"/>
      <c r="L375"/>
      <c r="M375" s="266" t="str" cm="1">
        <f t="array" ref="M375">_xlfn.TEXTJOIN(",", TRUE, _xlfn._xlws.FILTER(適用号機!D:D, (適用号機!B:B=改定!F375)*(適用号機!C:C=改定!G375), ""))</f>
        <v>A25E</v>
      </c>
      <c r="N375" s="142" t="str">
        <f t="shared" si="7"/>
        <v>05742-00052-01</v>
      </c>
      <c r="O375" s="122" t="s">
        <v>1702</v>
      </c>
    </row>
    <row r="376" spans="1:15">
      <c r="A376" s="122" t="s">
        <v>104</v>
      </c>
      <c r="B376" s="189" t="str">
        <f>_xlfn.XLOOKUP(F376,品番!B:B,品番!G:G)</f>
        <v>A25E(EU)</v>
      </c>
      <c r="C376" s="189" t="str">
        <f>_xlfn.XLOOKUP(F376,品番!B:B,品番!C:C)</f>
        <v>コントローラ</v>
      </c>
      <c r="D376" s="189" t="str">
        <f>_xlfn.XLOOKUP(F376,品番!B:B,品番!D:D)</f>
        <v>メイン</v>
      </c>
      <c r="E376" s="179">
        <v>43589</v>
      </c>
      <c r="F376" s="180" t="s">
        <v>108</v>
      </c>
      <c r="G376" s="183">
        <v>2</v>
      </c>
      <c r="H376" s="135"/>
      <c r="K376" s="182"/>
      <c r="L376"/>
      <c r="M376" s="266" t="str" cm="1">
        <f t="array" ref="M376">_xlfn.TEXTJOIN(",", TRUE, _xlfn._xlws.FILTER(適用号機!D:D, (適用号機!B:B=改定!F376)*(適用号機!C:C=改定!G376), ""))</f>
        <v>A25E</v>
      </c>
      <c r="N376" s="142" t="str">
        <f t="shared" si="7"/>
        <v>05742-00052-02</v>
      </c>
      <c r="O376" s="122" t="s">
        <v>1702</v>
      </c>
    </row>
    <row r="377" spans="1:15" ht="27">
      <c r="A377" s="122" t="s">
        <v>104</v>
      </c>
      <c r="B377" s="189" t="str">
        <f>_xlfn.XLOOKUP(F377,品番!B:B,品番!G:G)</f>
        <v>A25E(EU)</v>
      </c>
      <c r="C377" s="189" t="str">
        <f>_xlfn.XLOOKUP(F377,品番!B:B,品番!C:C)</f>
        <v>コントローラ</v>
      </c>
      <c r="D377" s="189" t="str">
        <f>_xlfn.XLOOKUP(F377,品番!B:B,品番!D:D)</f>
        <v>メイン</v>
      </c>
      <c r="E377" s="179">
        <v>55511</v>
      </c>
      <c r="F377" s="180" t="s">
        <v>108</v>
      </c>
      <c r="G377" s="183">
        <v>3</v>
      </c>
      <c r="H377" s="135" t="s">
        <v>368</v>
      </c>
      <c r="I377" s="135" t="s">
        <v>369</v>
      </c>
      <c r="J377" s="122" t="s">
        <v>47</v>
      </c>
      <c r="M377" s="266" t="str" cm="1">
        <f t="array" ref="M377">_xlfn.TEXTJOIN(",", TRUE, _xlfn._xlws.FILTER(適用号機!D:D, (適用号機!B:B=改定!F377)*(適用号機!C:C=改定!G377), ""))</f>
        <v xml:space="preserve">	A25E</v>
      </c>
      <c r="N377" s="142" t="str">
        <f t="shared" si="7"/>
        <v>05742-00052-03</v>
      </c>
      <c r="O377" s="122" t="s">
        <v>1702</v>
      </c>
    </row>
    <row r="378" spans="1:15">
      <c r="A378" s="142" t="s">
        <v>117</v>
      </c>
      <c r="B378" s="189" t="str">
        <f>_xlfn.XLOOKUP(F378,品番!B:B,品番!G:G)</f>
        <v>A25F</v>
      </c>
      <c r="C378" s="189" t="str">
        <f>_xlfn.XLOOKUP(F378,品番!B:B,品番!C:C)</f>
        <v>コントローラ</v>
      </c>
      <c r="D378" s="189" t="str">
        <f>_xlfn.XLOOKUP(F378,品番!B:B,品番!D:D)</f>
        <v>メイン</v>
      </c>
      <c r="E378" s="179">
        <v>43962</v>
      </c>
      <c r="F378" s="180" t="s">
        <v>118</v>
      </c>
      <c r="G378" s="183">
        <v>0</v>
      </c>
      <c r="H378" s="135"/>
      <c r="K378" s="182" t="s">
        <v>380</v>
      </c>
      <c r="L378" t="s">
        <v>106</v>
      </c>
      <c r="M378" s="266" t="str" cm="1">
        <f t="array" ref="M378">_xlfn.TEXTJOIN(",", TRUE, _xlfn._xlws.FILTER(適用号機!D:D, (適用号機!B:B=改定!F378)*(適用号機!C:C=改定!G378), ""))</f>
        <v>A25F</v>
      </c>
      <c r="N378" s="142" t="str">
        <f t="shared" si="7"/>
        <v>05742-00102-00</v>
      </c>
      <c r="O378" s="122" t="s">
        <v>1702</v>
      </c>
    </row>
    <row r="379" spans="1:15">
      <c r="A379" s="142" t="s">
        <v>117</v>
      </c>
      <c r="B379" s="189" t="str">
        <f>_xlfn.XLOOKUP(F379,品番!B:B,品番!G:G)</f>
        <v>A25F</v>
      </c>
      <c r="C379" s="189" t="str">
        <f>_xlfn.XLOOKUP(F379,品番!B:B,品番!C:C)</f>
        <v>コントローラ</v>
      </c>
      <c r="D379" s="189" t="str">
        <f>_xlfn.XLOOKUP(F379,品番!B:B,品番!D:D)</f>
        <v>メイン</v>
      </c>
      <c r="E379" s="179">
        <v>45671</v>
      </c>
      <c r="F379" s="180" t="s">
        <v>118</v>
      </c>
      <c r="G379" s="183">
        <v>1</v>
      </c>
      <c r="H379" s="135"/>
      <c r="K379" s="182"/>
      <c r="M379" s="266" t="str" cm="1">
        <f t="array" ref="M379">_xlfn.TEXTJOIN(",", TRUE, _xlfn._xlws.FILTER(適用号機!D:D, (適用号機!B:B=改定!F379)*(適用号機!C:C=改定!G379), ""))</f>
        <v>A25F,A27B,A25G,A25F</v>
      </c>
      <c r="N379" s="142" t="str">
        <f t="shared" si="7"/>
        <v>05742-00102-01</v>
      </c>
      <c r="O379" s="122" t="s">
        <v>1702</v>
      </c>
    </row>
    <row r="380" spans="1:15">
      <c r="A380" s="142" t="s">
        <v>117</v>
      </c>
      <c r="B380" s="189" t="str">
        <f>_xlfn.XLOOKUP(F380,品番!B:B,品番!G:G)</f>
        <v>A25F</v>
      </c>
      <c r="C380" s="189" t="str">
        <f>_xlfn.XLOOKUP(F380,品番!B:B,品番!C:C)</f>
        <v>コントローラ</v>
      </c>
      <c r="D380" s="189" t="str">
        <f>_xlfn.XLOOKUP(F380,品番!B:B,品番!D:D)</f>
        <v>メイン</v>
      </c>
      <c r="E380" s="179">
        <v>45755</v>
      </c>
      <c r="F380" s="180" t="s">
        <v>118</v>
      </c>
      <c r="G380" s="183">
        <v>2</v>
      </c>
      <c r="H380" s="135"/>
      <c r="K380" s="182"/>
      <c r="M380" s="266" t="str" cm="1">
        <f t="array" ref="M380">_xlfn.TEXTJOIN(",", TRUE, _xlfn._xlws.FILTER(適用号機!D:D, (適用号機!B:B=改定!F380)*(適用号機!C:C=改定!G380), ""))</f>
        <v>A25F,A25G,A27B</v>
      </c>
      <c r="N380" s="142" t="str">
        <f t="shared" si="7"/>
        <v>05742-00102-02</v>
      </c>
      <c r="O380" s="122" t="s">
        <v>1702</v>
      </c>
    </row>
    <row r="381" spans="1:15">
      <c r="A381" s="142" t="s">
        <v>117</v>
      </c>
      <c r="B381" s="189" t="str">
        <f>_xlfn.XLOOKUP(F381,品番!B:B,品番!G:G)</f>
        <v>A25F</v>
      </c>
      <c r="C381" s="189" t="str">
        <f>_xlfn.XLOOKUP(F381,品番!B:B,品番!C:C)</f>
        <v>コントローラ</v>
      </c>
      <c r="D381" s="189" t="str">
        <f>_xlfn.XLOOKUP(F381,品番!B:B,品番!D:D)</f>
        <v>メイン</v>
      </c>
      <c r="E381" s="179">
        <v>45802</v>
      </c>
      <c r="F381" s="180" t="s">
        <v>118</v>
      </c>
      <c r="G381" s="183">
        <v>3</v>
      </c>
      <c r="H381" s="135"/>
      <c r="K381" s="182"/>
      <c r="M381" s="266" t="str" cm="1">
        <f t="array" ref="M381">_xlfn.TEXTJOIN(",", TRUE, _xlfn._xlws.FILTER(適用号機!D:D, (適用号機!B:B=改定!F381)*(適用号機!C:C=改定!G381), ""))</f>
        <v>A25F,A27B,A25G</v>
      </c>
      <c r="N381" s="142" t="str">
        <f t="shared" si="7"/>
        <v>05742-00102-03</v>
      </c>
      <c r="O381" s="122" t="s">
        <v>1702</v>
      </c>
    </row>
    <row r="382" spans="1:15">
      <c r="A382" s="142" t="s">
        <v>117</v>
      </c>
      <c r="B382" s="189" t="str">
        <f>_xlfn.XLOOKUP(F382,品番!B:B,品番!G:G)</f>
        <v>A25F</v>
      </c>
      <c r="C382" s="189" t="str">
        <f>_xlfn.XLOOKUP(F382,品番!B:B,品番!C:C)</f>
        <v>コントローラ</v>
      </c>
      <c r="D382" s="189" t="str">
        <f>_xlfn.XLOOKUP(F382,品番!B:B,品番!D:D)</f>
        <v>メイン</v>
      </c>
      <c r="E382" s="179">
        <v>50466</v>
      </c>
      <c r="F382" s="180" t="s">
        <v>118</v>
      </c>
      <c r="G382" s="183">
        <v>4</v>
      </c>
      <c r="H382" s="135"/>
      <c r="K382" s="182"/>
      <c r="M382" s="266" t="str" cm="1">
        <f t="array" ref="M382">_xlfn.TEXTJOIN(",", TRUE, _xlfn._xlws.FILTER(適用号機!D:D, (適用号機!B:B=改定!F382)*(適用号機!C:C=改定!G382), ""))</f>
        <v/>
      </c>
      <c r="N382" s="142" t="str">
        <f t="shared" si="7"/>
        <v>05742-00102-04</v>
      </c>
      <c r="O382" s="122" t="s">
        <v>1702</v>
      </c>
    </row>
    <row r="383" spans="1:15">
      <c r="A383" s="142" t="s">
        <v>117</v>
      </c>
      <c r="B383" s="189" t="str">
        <f>_xlfn.XLOOKUP(F383,品番!B:B,品番!G:G)</f>
        <v>A25F</v>
      </c>
      <c r="C383" s="189" t="str">
        <f>_xlfn.XLOOKUP(F383,品番!B:B,品番!C:C)</f>
        <v>コントローラ</v>
      </c>
      <c r="D383" s="189" t="str">
        <f>_xlfn.XLOOKUP(F383,品番!B:B,品番!D:D)</f>
        <v>メイン</v>
      </c>
      <c r="E383" s="179">
        <v>55511</v>
      </c>
      <c r="F383" s="180" t="s">
        <v>118</v>
      </c>
      <c r="G383" s="183">
        <v>5</v>
      </c>
      <c r="H383" s="135" t="s">
        <v>264</v>
      </c>
      <c r="I383" s="135" t="s">
        <v>47</v>
      </c>
      <c r="J383" s="122" t="s">
        <v>47</v>
      </c>
      <c r="M383" s="266" t="str" cm="1">
        <f t="array" ref="M383">_xlfn.TEXTJOIN(",", TRUE, _xlfn._xlws.FILTER(適用号機!D:D, (適用号機!B:B=改定!F383)*(適用号機!C:C=改定!G383), ""))</f>
        <v/>
      </c>
      <c r="N383" s="142" t="str">
        <f t="shared" si="7"/>
        <v>05742-00102-05</v>
      </c>
      <c r="O383" s="122" t="s">
        <v>1702</v>
      </c>
    </row>
    <row r="384" spans="1:15" ht="27">
      <c r="A384" s="140" t="s">
        <v>119</v>
      </c>
      <c r="B384" s="189" t="str">
        <f>_xlfn.XLOOKUP(F384,品番!B:B,品番!G:G)</f>
        <v>A25FG/A27AB</v>
      </c>
      <c r="C384" s="189" t="str">
        <f>_xlfn.XLOOKUP(F384,品番!B:B,品番!C:C)</f>
        <v>コントローラ</v>
      </c>
      <c r="D384" s="189" t="str">
        <f>_xlfn.XLOOKUP(F384,品番!B:B,品番!D:D)</f>
        <v>メイン</v>
      </c>
      <c r="E384" s="179">
        <v>46309</v>
      </c>
      <c r="F384" s="180" t="s">
        <v>120</v>
      </c>
      <c r="G384" s="183">
        <v>0</v>
      </c>
      <c r="H384" s="135"/>
      <c r="I384" s="135"/>
      <c r="K384" s="184" t="s">
        <v>381</v>
      </c>
      <c r="L384" t="s">
        <v>72</v>
      </c>
      <c r="M384" s="266" t="str" cm="1">
        <f t="array" ref="M384">_xlfn.TEXTJOIN(",", TRUE, _xlfn._xlws.FILTER(適用号機!D:D, (適用号機!B:B=改定!F384)*(適用号機!C:C=改定!G384), ""))</f>
        <v>A25F,A27B,A25G,A27A</v>
      </c>
      <c r="N384" s="142" t="str">
        <f t="shared" si="7"/>
        <v>05742-00277-00</v>
      </c>
      <c r="O384" s="122" t="s">
        <v>1702</v>
      </c>
    </row>
    <row r="385" spans="1:16">
      <c r="A385" s="140" t="s">
        <v>119</v>
      </c>
      <c r="B385" s="189" t="str">
        <f>_xlfn.XLOOKUP(F385,品番!B:B,品番!G:G)</f>
        <v>A25FG/A27AB</v>
      </c>
      <c r="C385" s="189" t="str">
        <f>_xlfn.XLOOKUP(F385,品番!B:B,品番!C:C)</f>
        <v>コントローラ</v>
      </c>
      <c r="D385" s="189" t="str">
        <f>_xlfn.XLOOKUP(F385,品番!B:B,品番!D:D)</f>
        <v>メイン</v>
      </c>
      <c r="E385" s="179">
        <v>46304</v>
      </c>
      <c r="F385" s="180" t="s">
        <v>120</v>
      </c>
      <c r="G385" s="183">
        <v>1</v>
      </c>
      <c r="H385" s="135"/>
      <c r="I385" s="135"/>
      <c r="K385" s="182"/>
      <c r="L385"/>
      <c r="M385" s="266" t="str" cm="1">
        <f t="array" ref="M385">_xlfn.TEXTJOIN(",", TRUE, _xlfn._xlws.FILTER(適用号機!D:D, (適用号機!B:B=改定!F385)*(適用号機!C:C=改定!G385), ""))</f>
        <v xml:space="preserve">	A25F,	A27B,	A25G,	A27A</v>
      </c>
      <c r="N385" s="142" t="str">
        <f t="shared" si="7"/>
        <v>05742-00277-01</v>
      </c>
      <c r="O385" s="122" t="s">
        <v>1702</v>
      </c>
    </row>
    <row r="386" spans="1:16">
      <c r="A386" s="140" t="s">
        <v>119</v>
      </c>
      <c r="B386" s="189" t="str">
        <f>_xlfn.XLOOKUP(F386,品番!B:B,品番!G:G)</f>
        <v>A25FG/A27AB</v>
      </c>
      <c r="C386" s="189" t="str">
        <f>_xlfn.XLOOKUP(F386,品番!B:B,品番!C:C)</f>
        <v>コントローラ</v>
      </c>
      <c r="D386" s="189" t="str">
        <f>_xlfn.XLOOKUP(F386,品番!B:B,品番!D:D)</f>
        <v>メイン</v>
      </c>
      <c r="E386" s="179">
        <v>46989</v>
      </c>
      <c r="F386" s="180" t="s">
        <v>120</v>
      </c>
      <c r="G386" s="183">
        <v>2</v>
      </c>
      <c r="H386" s="135"/>
      <c r="I386" s="135"/>
      <c r="K386" s="182"/>
      <c r="L386"/>
      <c r="M386" s="266" t="str" cm="1">
        <f t="array" ref="M386">_xlfn.TEXTJOIN(",", TRUE, _xlfn._xlws.FILTER(適用号機!D:D, (適用号機!B:B=改定!F386)*(適用号機!C:C=改定!G386), ""))</f>
        <v>A25F,A25G,A27A,A27B</v>
      </c>
      <c r="N386" s="142" t="str">
        <f t="shared" si="7"/>
        <v>05742-00277-02</v>
      </c>
      <c r="O386" s="122" t="s">
        <v>1702</v>
      </c>
    </row>
    <row r="387" spans="1:16">
      <c r="A387" s="140" t="s">
        <v>119</v>
      </c>
      <c r="B387" s="189" t="str">
        <f>_xlfn.XLOOKUP(F387,品番!B:B,品番!G:G)</f>
        <v>A25FG/A27AB</v>
      </c>
      <c r="C387" s="189" t="str">
        <f>_xlfn.XLOOKUP(F387,品番!B:B,品番!C:C)</f>
        <v>コントローラ</v>
      </c>
      <c r="D387" s="189" t="str">
        <f>_xlfn.XLOOKUP(F387,品番!B:B,品番!D:D)</f>
        <v>メイン</v>
      </c>
      <c r="E387" s="179">
        <v>47027</v>
      </c>
      <c r="F387" s="180" t="s">
        <v>120</v>
      </c>
      <c r="G387" s="183">
        <v>3</v>
      </c>
      <c r="H387" s="135"/>
      <c r="I387" s="135"/>
      <c r="K387" s="182"/>
      <c r="L387"/>
      <c r="M387" s="266" t="str" cm="1">
        <f t="array" ref="M387">_xlfn.TEXTJOIN(",", TRUE, _xlfn._xlws.FILTER(適用号機!D:D, (適用号機!B:B=改定!F387)*(適用号機!C:C=改定!G387), ""))</f>
        <v>A25F,A25G,A27A,A27B</v>
      </c>
      <c r="N387" s="142" t="str">
        <f t="shared" si="7"/>
        <v>05742-00277-03</v>
      </c>
      <c r="O387" s="122" t="s">
        <v>1702</v>
      </c>
    </row>
    <row r="388" spans="1:16">
      <c r="A388" s="140" t="s">
        <v>119</v>
      </c>
      <c r="B388" s="189" t="str">
        <f>_xlfn.XLOOKUP(F388,品番!B:B,品番!G:G)</f>
        <v>A25FG/A27AB</v>
      </c>
      <c r="C388" s="189" t="str">
        <f>_xlfn.XLOOKUP(F388,品番!B:B,品番!C:C)</f>
        <v>コントローラ</v>
      </c>
      <c r="D388" s="189" t="str">
        <f>_xlfn.XLOOKUP(F388,品番!B:B,品番!D:D)</f>
        <v>メイン</v>
      </c>
      <c r="E388" s="179">
        <v>47136</v>
      </c>
      <c r="F388" s="180" t="s">
        <v>120</v>
      </c>
      <c r="G388" s="183">
        <v>4</v>
      </c>
      <c r="H388" s="135"/>
      <c r="I388" s="135"/>
      <c r="K388" s="182"/>
      <c r="L388"/>
      <c r="M388" s="266" t="str" cm="1">
        <f t="array" ref="M388">_xlfn.TEXTJOIN(",", TRUE, _xlfn._xlws.FILTER(適用号機!D:D, (適用号機!B:B=改定!F388)*(適用号機!C:C=改定!G388), ""))</f>
        <v>A25F,A25G,A27A,A27B</v>
      </c>
      <c r="N388" s="142" t="str">
        <f t="shared" si="7"/>
        <v>05742-00277-04</v>
      </c>
      <c r="O388" s="122" t="s">
        <v>1702</v>
      </c>
    </row>
    <row r="389" spans="1:16">
      <c r="A389" s="140" t="s">
        <v>119</v>
      </c>
      <c r="B389" s="189" t="str">
        <f>_xlfn.XLOOKUP(F389,品番!B:B,品番!G:G)</f>
        <v>A25FG/A27AB</v>
      </c>
      <c r="C389" s="189" t="str">
        <f>_xlfn.XLOOKUP(F389,品番!B:B,品番!C:C)</f>
        <v>コントローラ</v>
      </c>
      <c r="D389" s="189" t="str">
        <f>_xlfn.XLOOKUP(F389,品番!B:B,品番!D:D)</f>
        <v>メイン</v>
      </c>
      <c r="E389" s="179">
        <v>47597</v>
      </c>
      <c r="F389" s="180" t="s">
        <v>120</v>
      </c>
      <c r="G389" s="183">
        <v>5</v>
      </c>
      <c r="H389" s="135"/>
      <c r="I389" s="135"/>
      <c r="K389" s="182"/>
      <c r="L389"/>
      <c r="M389" s="266" t="str" cm="1">
        <f t="array" ref="M389">_xlfn.TEXTJOIN(",", TRUE, _xlfn._xlws.FILTER(適用号機!D:D, (適用号機!B:B=改定!F389)*(適用号機!C:C=改定!G389), ""))</f>
        <v>A25F,	A25G,A27A,A27B</v>
      </c>
      <c r="N389" s="142" t="str">
        <f t="shared" si="7"/>
        <v>05742-00277-05</v>
      </c>
      <c r="O389" s="122" t="s">
        <v>1702</v>
      </c>
    </row>
    <row r="390" spans="1:16">
      <c r="A390" s="140" t="s">
        <v>119</v>
      </c>
      <c r="B390" s="189" t="str">
        <f>_xlfn.XLOOKUP(F390,品番!B:B,品番!G:G)</f>
        <v>A25FG/A27AB</v>
      </c>
      <c r="C390" s="189" t="str">
        <f>_xlfn.XLOOKUP(F390,品番!B:B,品番!C:C)</f>
        <v>コントローラ</v>
      </c>
      <c r="D390" s="189" t="str">
        <f>_xlfn.XLOOKUP(F390,品番!B:B,品番!D:D)</f>
        <v>メイン</v>
      </c>
      <c r="E390" s="179">
        <v>50466</v>
      </c>
      <c r="F390" s="180" t="s">
        <v>120</v>
      </c>
      <c r="G390" s="183">
        <v>6</v>
      </c>
      <c r="H390" s="135"/>
      <c r="I390" s="135"/>
      <c r="K390" s="182"/>
      <c r="L390"/>
      <c r="M390" s="266" t="str" cm="1">
        <f t="array" ref="M390">_xlfn.TEXTJOIN(",", TRUE, _xlfn._xlws.FILTER(適用号機!D:D, (適用号機!B:B=改定!F390)*(適用号機!C:C=改定!G390), ""))</f>
        <v/>
      </c>
      <c r="N390" s="142" t="str">
        <f t="shared" si="7"/>
        <v>05742-00277-06</v>
      </c>
      <c r="O390" s="122" t="s">
        <v>1702</v>
      </c>
    </row>
    <row r="391" spans="1:16">
      <c r="A391" s="140" t="s">
        <v>119</v>
      </c>
      <c r="B391" s="189" t="str">
        <f>_xlfn.XLOOKUP(F391,品番!B:B,品番!G:G)</f>
        <v>A25FG/A27AB</v>
      </c>
      <c r="C391" s="189" t="str">
        <f>_xlfn.XLOOKUP(F391,品番!B:B,品番!C:C)</f>
        <v>コントローラ</v>
      </c>
      <c r="D391" s="189" t="str">
        <f>_xlfn.XLOOKUP(F391,品番!B:B,品番!D:D)</f>
        <v>メイン</v>
      </c>
      <c r="E391" s="179">
        <v>55511</v>
      </c>
      <c r="F391" s="180" t="s">
        <v>120</v>
      </c>
      <c r="G391" s="183">
        <v>7</v>
      </c>
      <c r="H391" s="135" t="s">
        <v>382</v>
      </c>
      <c r="I391" s="135" t="s">
        <v>47</v>
      </c>
      <c r="J391" s="122" t="s">
        <v>47</v>
      </c>
      <c r="M391" s="266" t="str" cm="1">
        <f t="array" ref="M391">_xlfn.TEXTJOIN(",", TRUE, _xlfn._xlws.FILTER(適用号機!D:D, (適用号機!B:B=改定!F391)*(適用号機!C:C=改定!G391), ""))</f>
        <v/>
      </c>
      <c r="N391" s="142" t="str">
        <f t="shared" si="7"/>
        <v>05742-00277-07</v>
      </c>
      <c r="O391" s="122" t="s">
        <v>1702</v>
      </c>
    </row>
    <row r="392" spans="1:16">
      <c r="A392" s="140" t="s">
        <v>119</v>
      </c>
      <c r="B392" s="189" t="str">
        <f>_xlfn.XLOOKUP(F392,品番!B:B,品番!G:G)</f>
        <v>A25FG/A27AB</v>
      </c>
      <c r="C392" s="189" t="str">
        <f>_xlfn.XLOOKUP(F392,品番!B:B,品番!C:C)</f>
        <v>コントローラ</v>
      </c>
      <c r="D392" s="189" t="str">
        <f>_xlfn.XLOOKUP(F392,品番!B:B,品番!D:D)</f>
        <v>メイン</v>
      </c>
      <c r="E392" s="179">
        <v>47644</v>
      </c>
      <c r="F392" s="180" t="s">
        <v>121</v>
      </c>
      <c r="G392" s="183">
        <v>0</v>
      </c>
      <c r="H392" s="135"/>
      <c r="I392" s="135"/>
      <c r="K392" s="184" t="s">
        <v>122</v>
      </c>
      <c r="L392" t="s">
        <v>122</v>
      </c>
      <c r="M392" s="266" t="str" cm="1">
        <f t="array" ref="M392">_xlfn.TEXTJOIN(",", TRUE, _xlfn._xlws.FILTER(適用号機!D:D, (適用号機!B:B=改定!F392)*(適用号機!C:C=改定!G392), ""))</f>
        <v>A25F,	A25G,A27A,A27B</v>
      </c>
      <c r="N392" s="142" t="str">
        <f t="shared" si="7"/>
        <v>05742-00306-00</v>
      </c>
      <c r="O392" s="122" t="s">
        <v>1702</v>
      </c>
    </row>
    <row r="393" spans="1:16">
      <c r="A393" s="140" t="s">
        <v>119</v>
      </c>
      <c r="B393" s="189" t="str">
        <f>_xlfn.XLOOKUP(F393,品番!B:B,品番!G:G)</f>
        <v>A25FG/A27AB</v>
      </c>
      <c r="C393" s="189" t="str">
        <f>_xlfn.XLOOKUP(F393,品番!B:B,品番!C:C)</f>
        <v>コントローラ</v>
      </c>
      <c r="D393" s="189" t="str">
        <f>_xlfn.XLOOKUP(F393,品番!B:B,品番!D:D)</f>
        <v>メイン</v>
      </c>
      <c r="E393" s="179">
        <v>48255</v>
      </c>
      <c r="F393" s="180" t="s">
        <v>121</v>
      </c>
      <c r="G393" s="183">
        <v>1</v>
      </c>
      <c r="H393" s="135"/>
      <c r="I393" s="135"/>
      <c r="K393" s="184"/>
      <c r="L393"/>
      <c r="M393" s="266" t="str" cm="1">
        <f t="array" ref="M393">_xlfn.TEXTJOIN(",", TRUE, _xlfn._xlws.FILTER(適用号機!D:D, (適用号機!B:B=改定!F393)*(適用号機!C:C=改定!G393), ""))</f>
        <v>A25F,	A25G,A27A,A27B</v>
      </c>
      <c r="N393" s="142" t="str">
        <f t="shared" si="7"/>
        <v>05742-00306-01</v>
      </c>
      <c r="O393" s="122" t="s">
        <v>1702</v>
      </c>
      <c r="P393"/>
    </row>
    <row r="394" spans="1:16">
      <c r="A394" s="140" t="s">
        <v>119</v>
      </c>
      <c r="B394" s="189" t="str">
        <f>_xlfn.XLOOKUP(F394,品番!B:B,品番!G:G)</f>
        <v>A25FG/A27AB</v>
      </c>
      <c r="C394" s="189" t="str">
        <f>_xlfn.XLOOKUP(F394,品番!B:B,品番!C:C)</f>
        <v>コントローラ</v>
      </c>
      <c r="D394" s="189" t="str">
        <f>_xlfn.XLOOKUP(F394,品番!B:B,品番!D:D)</f>
        <v>メイン</v>
      </c>
      <c r="E394" s="179">
        <v>50466</v>
      </c>
      <c r="F394" s="180" t="s">
        <v>121</v>
      </c>
      <c r="G394" s="183">
        <v>2</v>
      </c>
      <c r="H394" s="135"/>
      <c r="I394" s="135"/>
      <c r="K394" s="184"/>
      <c r="L394"/>
      <c r="M394" s="266" t="str" cm="1">
        <f t="array" ref="M394">_xlfn.TEXTJOIN(",", TRUE, _xlfn._xlws.FILTER(適用号機!D:D, (適用号機!B:B=改定!F394)*(適用号機!C:C=改定!G394), ""))</f>
        <v/>
      </c>
      <c r="N394" s="142" t="str">
        <f t="shared" si="7"/>
        <v>05742-00306-02</v>
      </c>
      <c r="O394" s="122" t="s">
        <v>1702</v>
      </c>
    </row>
    <row r="395" spans="1:16">
      <c r="A395" s="140" t="s">
        <v>119</v>
      </c>
      <c r="B395" s="189" t="str">
        <f>_xlfn.XLOOKUP(F395,品番!B:B,品番!G:G)</f>
        <v>A25FG/A27AB</v>
      </c>
      <c r="C395" s="189" t="str">
        <f>_xlfn.XLOOKUP(F395,品番!B:B,品番!C:C)</f>
        <v>コントローラ</v>
      </c>
      <c r="D395" s="189" t="str">
        <f>_xlfn.XLOOKUP(F395,品番!B:B,品番!D:D)</f>
        <v>メイン</v>
      </c>
      <c r="E395" s="179">
        <v>55511</v>
      </c>
      <c r="F395" s="180" t="s">
        <v>121</v>
      </c>
      <c r="G395" s="183">
        <v>3</v>
      </c>
      <c r="H395" s="135" t="s">
        <v>267</v>
      </c>
      <c r="I395" s="135" t="s">
        <v>47</v>
      </c>
      <c r="J395" s="122" t="s">
        <v>47</v>
      </c>
      <c r="M395" s="266" t="str" cm="1">
        <f t="array" ref="M395">_xlfn.TEXTJOIN(",", TRUE, _xlfn._xlws.FILTER(適用号機!D:D, (適用号機!B:B=改定!F395)*(適用号機!C:C=改定!G395), ""))</f>
        <v/>
      </c>
      <c r="N395" s="142" t="str">
        <f t="shared" si="7"/>
        <v>05742-00306-03</v>
      </c>
      <c r="O395" s="122" t="s">
        <v>1702</v>
      </c>
    </row>
    <row r="396" spans="1:16">
      <c r="A396" s="140" t="s">
        <v>119</v>
      </c>
      <c r="B396" s="189" t="str">
        <f>_xlfn.XLOOKUP(F396,品番!B:B,品番!G:G)</f>
        <v>A25FG/A27AB</v>
      </c>
      <c r="C396" s="189" t="str">
        <f>_xlfn.XLOOKUP(F396,品番!B:B,品番!C:C)</f>
        <v>コントローラ</v>
      </c>
      <c r="D396" s="189" t="str">
        <f>_xlfn.XLOOKUP(F396,品番!B:B,品番!D:D)</f>
        <v>メイン</v>
      </c>
      <c r="E396" s="179">
        <v>48495</v>
      </c>
      <c r="F396" s="180" t="s">
        <v>123</v>
      </c>
      <c r="G396" s="183">
        <v>0</v>
      </c>
      <c r="H396" s="135"/>
      <c r="I396" s="135"/>
      <c r="K396" s="184" t="s">
        <v>124</v>
      </c>
      <c r="L396" t="s">
        <v>924</v>
      </c>
      <c r="M396" s="266" t="str" cm="1">
        <f t="array" ref="M396">_xlfn.TEXTJOIN(",", TRUE, _xlfn._xlws.FILTER(適用号機!D:D, (適用号機!B:B=改定!F396)*(適用号機!C:C=改定!G396), ""))</f>
        <v>A25F,	A25G,A27A,A27B</v>
      </c>
      <c r="N396" s="142" t="str">
        <f t="shared" si="7"/>
        <v>05742-00323-00</v>
      </c>
      <c r="O396" s="122" t="s">
        <v>1702</v>
      </c>
    </row>
    <row r="397" spans="1:16">
      <c r="A397" s="140" t="s">
        <v>119</v>
      </c>
      <c r="B397" s="189" t="str">
        <f>_xlfn.XLOOKUP(F397,品番!B:B,品番!G:G)</f>
        <v>A25FG/A27AB</v>
      </c>
      <c r="C397" s="189" t="str">
        <f>_xlfn.XLOOKUP(F397,品番!B:B,品番!C:C)</f>
        <v>コントローラ</v>
      </c>
      <c r="D397" s="189" t="str">
        <f>_xlfn.XLOOKUP(F397,品番!B:B,品番!D:D)</f>
        <v>メイン</v>
      </c>
      <c r="E397" s="179">
        <v>48542</v>
      </c>
      <c r="F397" s="180" t="s">
        <v>123</v>
      </c>
      <c r="G397" s="183">
        <v>1</v>
      </c>
      <c r="H397" s="135"/>
      <c r="I397" s="135"/>
      <c r="K397" s="184"/>
      <c r="L397"/>
      <c r="M397" s="266" t="str" cm="1">
        <f t="array" ref="M397">_xlfn.TEXTJOIN(",", TRUE, _xlfn._xlws.FILTER(適用号機!D:D, (適用号機!B:B=改定!F397)*(適用号機!C:C=改定!G397), ""))</f>
        <v>A25F,	A25G,A27A,A27B</v>
      </c>
      <c r="N397" s="142" t="str">
        <f t="shared" si="7"/>
        <v>05742-00323-01</v>
      </c>
      <c r="O397" s="122" t="s">
        <v>1702</v>
      </c>
    </row>
    <row r="398" spans="1:16">
      <c r="A398" s="140" t="s">
        <v>119</v>
      </c>
      <c r="B398" s="189" t="str">
        <f>_xlfn.XLOOKUP(F398,品番!B:B,品番!G:G)</f>
        <v>A25FG/A27AB</v>
      </c>
      <c r="C398" s="189" t="str">
        <f>_xlfn.XLOOKUP(F398,品番!B:B,品番!C:C)</f>
        <v>コントローラ</v>
      </c>
      <c r="D398" s="189" t="str">
        <f>_xlfn.XLOOKUP(F398,品番!B:B,品番!D:D)</f>
        <v>メイン</v>
      </c>
      <c r="E398" s="179">
        <v>48606</v>
      </c>
      <c r="F398" s="180" t="s">
        <v>123</v>
      </c>
      <c r="G398" s="183">
        <v>2</v>
      </c>
      <c r="H398" s="135"/>
      <c r="I398" s="135"/>
      <c r="K398" s="184"/>
      <c r="L398"/>
      <c r="M398" s="266" t="str" cm="1">
        <f t="array" ref="M398">_xlfn.TEXTJOIN(",", TRUE, _xlfn._xlws.FILTER(適用号機!D:D, (適用号機!B:B=改定!F398)*(適用号機!C:C=改定!G398), ""))</f>
        <v/>
      </c>
      <c r="N398" s="142" t="str">
        <f t="shared" si="7"/>
        <v>05742-00323-02</v>
      </c>
      <c r="O398" s="122" t="s">
        <v>1702</v>
      </c>
    </row>
    <row r="399" spans="1:16">
      <c r="A399" s="140" t="s">
        <v>119</v>
      </c>
      <c r="B399" s="189" t="str">
        <f>_xlfn.XLOOKUP(F399,品番!B:B,品番!G:G)</f>
        <v>A25FG/A27AB</v>
      </c>
      <c r="C399" s="189" t="str">
        <f>_xlfn.XLOOKUP(F399,品番!B:B,品番!C:C)</f>
        <v>コントローラ</v>
      </c>
      <c r="D399" s="189" t="str">
        <f>_xlfn.XLOOKUP(F399,品番!B:B,品番!D:D)</f>
        <v>メイン</v>
      </c>
      <c r="E399" s="179">
        <v>50466</v>
      </c>
      <c r="F399" s="180" t="s">
        <v>123</v>
      </c>
      <c r="G399" s="183">
        <v>3</v>
      </c>
      <c r="H399" s="135"/>
      <c r="I399" s="135"/>
      <c r="K399" s="184"/>
      <c r="L399"/>
      <c r="M399" s="266" t="str" cm="1">
        <f t="array" ref="M399">_xlfn.TEXTJOIN(",", TRUE, _xlfn._xlws.FILTER(適用号機!D:D, (適用号機!B:B=改定!F399)*(適用号機!C:C=改定!G399), ""))</f>
        <v/>
      </c>
      <c r="N399" s="142" t="str">
        <f t="shared" si="7"/>
        <v>05742-00323-03</v>
      </c>
      <c r="O399" s="122" t="s">
        <v>1702</v>
      </c>
    </row>
    <row r="400" spans="1:16">
      <c r="A400" s="140" t="s">
        <v>119</v>
      </c>
      <c r="B400" s="189" t="str">
        <f>_xlfn.XLOOKUP(F400,品番!B:B,品番!G:G)</f>
        <v>A25FG/A27AB</v>
      </c>
      <c r="C400" s="189" t="str">
        <f>_xlfn.XLOOKUP(F400,品番!B:B,品番!C:C)</f>
        <v>コントローラ</v>
      </c>
      <c r="D400" s="189" t="str">
        <f>_xlfn.XLOOKUP(F400,品番!B:B,品番!D:D)</f>
        <v>メイン</v>
      </c>
      <c r="E400" s="179">
        <v>55511</v>
      </c>
      <c r="F400" s="180" t="s">
        <v>123</v>
      </c>
      <c r="G400" s="183">
        <v>4</v>
      </c>
      <c r="H400" s="135" t="s">
        <v>383</v>
      </c>
      <c r="I400" s="135" t="s">
        <v>47</v>
      </c>
      <c r="J400" s="122" t="s">
        <v>47</v>
      </c>
      <c r="M400" s="266" t="str" cm="1">
        <f t="array" ref="M400">_xlfn.TEXTJOIN(",", TRUE, _xlfn._xlws.FILTER(適用号機!D:D, (適用号機!B:B=改定!F400)*(適用号機!C:C=改定!G400), ""))</f>
        <v/>
      </c>
      <c r="N400" s="142" t="str">
        <f t="shared" si="7"/>
        <v>05742-00323-04</v>
      </c>
      <c r="O400" s="122" t="s">
        <v>1702</v>
      </c>
    </row>
    <row r="401" spans="1:16">
      <c r="A401" s="140" t="s">
        <v>119</v>
      </c>
      <c r="B401" s="189" t="str">
        <f>_xlfn.XLOOKUP(F401,品番!B:B,品番!G:G)</f>
        <v>A25FG/A27AB</v>
      </c>
      <c r="C401" s="189" t="str">
        <f>_xlfn.XLOOKUP(F401,品番!B:B,品番!C:C)</f>
        <v>コントローラ</v>
      </c>
      <c r="D401" s="189" t="str">
        <f>_xlfn.XLOOKUP(F401,品番!B:B,品番!D:D)</f>
        <v>メイン</v>
      </c>
      <c r="E401" s="179">
        <v>48593</v>
      </c>
      <c r="F401" s="180" t="s">
        <v>125</v>
      </c>
      <c r="G401" s="183">
        <v>0</v>
      </c>
      <c r="H401" s="135"/>
      <c r="I401" s="135"/>
      <c r="K401" s="184" t="s">
        <v>124</v>
      </c>
      <c r="L401" t="s">
        <v>124</v>
      </c>
      <c r="M401" s="266" t="str" cm="1">
        <f t="array" ref="M401">_xlfn.TEXTJOIN(",", TRUE, _xlfn._xlws.FILTER(適用号機!D:D, (適用号機!B:B=改定!F401)*(適用号機!C:C=改定!G401), ""))</f>
        <v>A25F,	A25G,A27A,A27B</v>
      </c>
      <c r="N401" s="142" t="str">
        <f t="shared" si="7"/>
        <v>05742-00334-00</v>
      </c>
      <c r="O401" s="122" t="s">
        <v>1702</v>
      </c>
    </row>
    <row r="402" spans="1:16">
      <c r="A402" s="140" t="s">
        <v>119</v>
      </c>
      <c r="B402" s="189" t="str">
        <f>_xlfn.XLOOKUP(F402,品番!B:B,品番!G:G)</f>
        <v>A25FG/A27AB</v>
      </c>
      <c r="C402" s="189" t="str">
        <f>_xlfn.XLOOKUP(F402,品番!B:B,品番!C:C)</f>
        <v>コントローラ</v>
      </c>
      <c r="D402" s="189" t="str">
        <f>_xlfn.XLOOKUP(F402,品番!B:B,品番!D:D)</f>
        <v>メイン</v>
      </c>
      <c r="E402" s="179">
        <v>49172</v>
      </c>
      <c r="F402" s="180" t="s">
        <v>125</v>
      </c>
      <c r="G402" s="183">
        <v>1</v>
      </c>
      <c r="H402" s="135"/>
      <c r="I402" s="135"/>
      <c r="K402" s="184"/>
      <c r="L402"/>
      <c r="M402" s="266" t="str" cm="1">
        <f t="array" ref="M402">_xlfn.TEXTJOIN(",", TRUE, _xlfn._xlws.FILTER(適用号機!D:D, (適用号機!B:B=改定!F402)*(適用号機!C:C=改定!G402), ""))</f>
        <v>A25F,	A25G,A27A,A27B</v>
      </c>
      <c r="N402" s="142" t="str">
        <f t="shared" ref="N402:N465" si="8">F402 &amp;"-" &amp; TEXT(G402,"00")</f>
        <v>05742-00334-01</v>
      </c>
      <c r="O402" s="122" t="s">
        <v>1702</v>
      </c>
    </row>
    <row r="403" spans="1:16">
      <c r="A403" s="140" t="s">
        <v>119</v>
      </c>
      <c r="B403" s="189" t="str">
        <f>_xlfn.XLOOKUP(F403,品番!B:B,品番!G:G)</f>
        <v>A25FG/A27AB</v>
      </c>
      <c r="C403" s="189" t="str">
        <f>_xlfn.XLOOKUP(F403,品番!B:B,品番!C:C)</f>
        <v>コントローラ</v>
      </c>
      <c r="D403" s="189" t="str">
        <f>_xlfn.XLOOKUP(F403,品番!B:B,品番!D:D)</f>
        <v>メイン</v>
      </c>
      <c r="E403" s="179">
        <v>50466</v>
      </c>
      <c r="F403" s="180" t="s">
        <v>125</v>
      </c>
      <c r="G403" s="183">
        <v>2</v>
      </c>
      <c r="H403" s="135"/>
      <c r="I403" s="135"/>
      <c r="K403" s="184"/>
      <c r="L403"/>
      <c r="M403" s="266" t="str" cm="1">
        <f t="array" ref="M403">_xlfn.TEXTJOIN(",", TRUE, _xlfn._xlws.FILTER(適用号機!D:D, (適用号機!B:B=改定!F403)*(適用号機!C:C=改定!G403), ""))</f>
        <v/>
      </c>
      <c r="N403" s="142" t="str">
        <f t="shared" si="8"/>
        <v>05742-00334-02</v>
      </c>
      <c r="O403" s="122" t="s">
        <v>1702</v>
      </c>
    </row>
    <row r="404" spans="1:16">
      <c r="A404" s="140" t="s">
        <v>119</v>
      </c>
      <c r="B404" s="189" t="str">
        <f>_xlfn.XLOOKUP(F404,品番!B:B,品番!G:G)</f>
        <v>A25FG/A27AB</v>
      </c>
      <c r="C404" s="189" t="str">
        <f>_xlfn.XLOOKUP(F404,品番!B:B,品番!C:C)</f>
        <v>コントローラ</v>
      </c>
      <c r="D404" s="189" t="str">
        <f>_xlfn.XLOOKUP(F404,品番!B:B,品番!D:D)</f>
        <v>メイン</v>
      </c>
      <c r="E404" s="179">
        <v>55511</v>
      </c>
      <c r="F404" s="180" t="s">
        <v>125</v>
      </c>
      <c r="G404" s="183">
        <v>3</v>
      </c>
      <c r="H404" s="135" t="s">
        <v>384</v>
      </c>
      <c r="I404" s="135" t="s">
        <v>47</v>
      </c>
      <c r="J404" s="122" t="s">
        <v>47</v>
      </c>
      <c r="M404" s="266" t="str" cm="1">
        <f t="array" ref="M404">_xlfn.TEXTJOIN(",", TRUE, _xlfn._xlws.FILTER(適用号機!D:D, (適用号機!B:B=改定!F404)*(適用号機!C:C=改定!G404), ""))</f>
        <v/>
      </c>
      <c r="N404" s="142" t="str">
        <f t="shared" si="8"/>
        <v>05742-00334-03</v>
      </c>
      <c r="O404" s="122" t="s">
        <v>1702</v>
      </c>
    </row>
    <row r="405" spans="1:16">
      <c r="A405" s="140" t="s">
        <v>119</v>
      </c>
      <c r="B405" s="189" t="str">
        <f>_xlfn.XLOOKUP(F405,品番!B:B,品番!G:G)</f>
        <v>A25FG/A27AB</v>
      </c>
      <c r="C405" s="189" t="str">
        <f>_xlfn.XLOOKUP(F405,品番!B:B,品番!C:C)</f>
        <v>コントローラ</v>
      </c>
      <c r="D405" s="189" t="str">
        <f>_xlfn.XLOOKUP(F405,品番!B:B,品番!D:D)</f>
        <v>メイン</v>
      </c>
      <c r="E405" s="179">
        <v>49487</v>
      </c>
      <c r="F405" s="180" t="s">
        <v>126</v>
      </c>
      <c r="G405" s="183">
        <v>0</v>
      </c>
      <c r="H405" s="135"/>
      <c r="I405" s="135"/>
      <c r="K405" s="184" t="s">
        <v>385</v>
      </c>
      <c r="L405" t="s">
        <v>127</v>
      </c>
      <c r="M405" s="266" t="str" cm="1">
        <f t="array" ref="M405">_xlfn.TEXTJOIN(",", TRUE, _xlfn._xlws.FILTER(適用号機!D:D, (適用号機!B:B=改定!F405)*(適用号機!C:C=改定!G405), ""))</f>
        <v>A25F,	A25G,A27A,A27B</v>
      </c>
      <c r="N405" s="142" t="str">
        <f t="shared" si="8"/>
        <v>05742-00335-00</v>
      </c>
      <c r="O405" s="122" t="s">
        <v>1702</v>
      </c>
    </row>
    <row r="406" spans="1:16">
      <c r="A406" s="140" t="s">
        <v>119</v>
      </c>
      <c r="B406" s="189" t="str">
        <f>_xlfn.XLOOKUP(F406,品番!B:B,品番!G:G)</f>
        <v>A25FG/A27AB</v>
      </c>
      <c r="C406" s="189" t="str">
        <f>_xlfn.XLOOKUP(F406,品番!B:B,品番!C:C)</f>
        <v>コントローラ</v>
      </c>
      <c r="D406" s="189" t="str">
        <f>_xlfn.XLOOKUP(F406,品番!B:B,品番!D:D)</f>
        <v>メイン</v>
      </c>
      <c r="E406" s="179">
        <v>50075</v>
      </c>
      <c r="F406" s="180" t="s">
        <v>126</v>
      </c>
      <c r="G406" s="183">
        <v>1</v>
      </c>
      <c r="H406" s="135"/>
      <c r="I406" s="135"/>
      <c r="K406" s="184"/>
      <c r="L406"/>
      <c r="M406" s="266" t="str" cm="1">
        <f t="array" ref="M406">_xlfn.TEXTJOIN(",", TRUE, _xlfn._xlws.FILTER(適用号機!D:D, (適用号機!B:B=改定!F406)*(適用号機!C:C=改定!G406), ""))</f>
        <v>A25F,A25G,	A27A	,	A27B</v>
      </c>
      <c r="N406" s="142" t="str">
        <f t="shared" si="8"/>
        <v>05742-00335-01</v>
      </c>
      <c r="O406" s="122" t="s">
        <v>1702</v>
      </c>
    </row>
    <row r="407" spans="1:16">
      <c r="A407" s="140" t="s">
        <v>119</v>
      </c>
      <c r="B407" s="189" t="str">
        <f>_xlfn.XLOOKUP(F407,品番!B:B,品番!G:G)</f>
        <v>A25FG/A27AB</v>
      </c>
      <c r="C407" s="189" t="str">
        <f>_xlfn.XLOOKUP(F407,品番!B:B,品番!C:C)</f>
        <v>コントローラ</v>
      </c>
      <c r="D407" s="189" t="str">
        <f>_xlfn.XLOOKUP(F407,品番!B:B,品番!D:D)</f>
        <v>メイン</v>
      </c>
      <c r="E407" s="179">
        <v>50466</v>
      </c>
      <c r="F407" s="180" t="s">
        <v>126</v>
      </c>
      <c r="G407" s="183">
        <v>2</v>
      </c>
      <c r="H407" s="135"/>
      <c r="I407" s="135"/>
      <c r="K407" s="184"/>
      <c r="L407"/>
      <c r="M407" s="266" t="str" cm="1">
        <f t="array" ref="M407">_xlfn.TEXTJOIN(",", TRUE, _xlfn._xlws.FILTER(適用号機!D:D, (適用号機!B:B=改定!F407)*(適用号機!C:C=改定!G407), ""))</f>
        <v/>
      </c>
      <c r="N407" s="142" t="str">
        <f t="shared" si="8"/>
        <v>05742-00335-02</v>
      </c>
      <c r="O407" s="122" t="s">
        <v>1702</v>
      </c>
    </row>
    <row r="408" spans="1:16">
      <c r="A408" s="140" t="s">
        <v>119</v>
      </c>
      <c r="B408" s="189" t="str">
        <f>_xlfn.XLOOKUP(F408,品番!B:B,品番!G:G)</f>
        <v>A25FG/A27AB</v>
      </c>
      <c r="C408" s="189" t="str">
        <f>_xlfn.XLOOKUP(F408,品番!B:B,品番!C:C)</f>
        <v>コントローラ</v>
      </c>
      <c r="D408" s="189" t="str">
        <f>_xlfn.XLOOKUP(F408,品番!B:B,品番!D:D)</f>
        <v>メイン</v>
      </c>
      <c r="E408" s="179">
        <v>55511</v>
      </c>
      <c r="F408" s="180" t="s">
        <v>126</v>
      </c>
      <c r="G408" s="183">
        <v>3</v>
      </c>
      <c r="H408" s="135" t="s">
        <v>386</v>
      </c>
      <c r="I408" s="135" t="s">
        <v>47</v>
      </c>
      <c r="J408" s="122" t="s">
        <v>47</v>
      </c>
      <c r="M408" s="266" t="str" cm="1">
        <f t="array" ref="M408">_xlfn.TEXTJOIN(",", TRUE, _xlfn._xlws.FILTER(適用号機!D:D, (適用号機!B:B=改定!F408)*(適用号機!C:C=改定!G408), ""))</f>
        <v/>
      </c>
      <c r="N408" s="142" t="str">
        <f t="shared" si="8"/>
        <v>05742-00335-03</v>
      </c>
      <c r="O408" s="122" t="s">
        <v>1702</v>
      </c>
    </row>
    <row r="409" spans="1:16">
      <c r="A409" s="140" t="s">
        <v>119</v>
      </c>
      <c r="B409" s="189" t="str">
        <f>_xlfn.XLOOKUP(F409,品番!B:B,品番!G:G)</f>
        <v>A25FG/A27AB</v>
      </c>
      <c r="C409" s="189" t="str">
        <f>_xlfn.XLOOKUP(F409,品番!B:B,品番!C:C)</f>
        <v>コントローラ</v>
      </c>
      <c r="D409" s="189" t="str">
        <f>_xlfn.XLOOKUP(F409,品番!B:B,品番!D:D)</f>
        <v>メイン</v>
      </c>
      <c r="E409" s="179">
        <v>51075</v>
      </c>
      <c r="F409" s="180" t="s">
        <v>128</v>
      </c>
      <c r="G409" s="183">
        <v>0</v>
      </c>
      <c r="H409" s="135"/>
      <c r="I409" s="135"/>
      <c r="K409" s="184" t="s">
        <v>76</v>
      </c>
      <c r="L409" s="122" t="s">
        <v>129</v>
      </c>
      <c r="M409" s="266" t="str" cm="1">
        <f t="array" ref="M409">_xlfn.TEXTJOIN(",", TRUE, _xlfn._xlws.FILTER(適用号機!D:D, (適用号機!B:B=改定!F409)*(適用号機!C:C=改定!G409), ""))</f>
        <v>A25F,	A25G,A27A,A27B</v>
      </c>
      <c r="N409" s="142" t="str">
        <f t="shared" si="8"/>
        <v>05742-00359-00</v>
      </c>
      <c r="O409" s="122" t="s">
        <v>1702</v>
      </c>
      <c r="P409"/>
    </row>
    <row r="410" spans="1:16">
      <c r="A410" s="140" t="s">
        <v>119</v>
      </c>
      <c r="B410" s="189" t="str">
        <f>_xlfn.XLOOKUP(F410,品番!B:B,品番!G:G)</f>
        <v>A25FG/A27AB</v>
      </c>
      <c r="C410" s="189" t="str">
        <f>_xlfn.XLOOKUP(F410,品番!B:B,品番!C:C)</f>
        <v>コントローラ</v>
      </c>
      <c r="D410" s="189" t="str">
        <f>_xlfn.XLOOKUP(F410,品番!B:B,品番!D:D)</f>
        <v>メイン</v>
      </c>
      <c r="E410" s="179">
        <v>51708</v>
      </c>
      <c r="F410" s="180" t="s">
        <v>128</v>
      </c>
      <c r="G410" s="183">
        <v>1</v>
      </c>
      <c r="H410" s="135"/>
      <c r="I410" s="135"/>
      <c r="K410" s="184"/>
      <c r="L410"/>
      <c r="M410" s="266" t="str" cm="1">
        <f t="array" ref="M410">_xlfn.TEXTJOIN(",", TRUE, _xlfn._xlws.FILTER(適用号機!D:D, (適用号機!B:B=改定!F410)*(適用号機!C:C=改定!G410), ""))</f>
        <v xml:space="preserve">	A25F,	A27B,	A25G,	A27A</v>
      </c>
      <c r="N410" s="142" t="str">
        <f t="shared" si="8"/>
        <v>05742-00359-01</v>
      </c>
      <c r="O410" s="122" t="s">
        <v>1702</v>
      </c>
    </row>
    <row r="411" spans="1:16">
      <c r="A411" s="140" t="s">
        <v>119</v>
      </c>
      <c r="B411" s="189" t="str">
        <f>_xlfn.XLOOKUP(F411,品番!B:B,品番!G:G)</f>
        <v>A25FG/A27AB</v>
      </c>
      <c r="C411" s="189" t="str">
        <f>_xlfn.XLOOKUP(F411,品番!B:B,品番!C:C)</f>
        <v>コントローラ</v>
      </c>
      <c r="D411" s="189" t="str">
        <f>_xlfn.XLOOKUP(F411,品番!B:B,品番!D:D)</f>
        <v>メイン</v>
      </c>
      <c r="E411" s="179">
        <v>52310</v>
      </c>
      <c r="F411" s="180" t="s">
        <v>128</v>
      </c>
      <c r="G411" s="183">
        <v>2</v>
      </c>
      <c r="H411" s="135"/>
      <c r="I411" s="135"/>
      <c r="K411" s="184"/>
      <c r="L411"/>
      <c r="M411" s="266" t="str" cm="1">
        <f t="array" ref="M411">_xlfn.TEXTJOIN(",", TRUE, _xlfn._xlws.FILTER(適用号機!D:D, (適用号機!B:B=改定!F411)*(適用号機!C:C=改定!G411), ""))</f>
        <v xml:space="preserve">	A25F,A25G	,A27A,A27B</v>
      </c>
      <c r="N411" s="142" t="str">
        <f t="shared" si="8"/>
        <v>05742-00359-02</v>
      </c>
      <c r="O411" s="122" t="s">
        <v>1702</v>
      </c>
      <c r="P411"/>
    </row>
    <row r="412" spans="1:16">
      <c r="A412" s="140" t="s">
        <v>119</v>
      </c>
      <c r="B412" s="189" t="str">
        <f>_xlfn.XLOOKUP(F412,品番!B:B,品番!G:G)</f>
        <v>A25FG/A27AB</v>
      </c>
      <c r="C412" s="189" t="str">
        <f>_xlfn.XLOOKUP(F412,品番!B:B,品番!C:C)</f>
        <v>コントローラ</v>
      </c>
      <c r="D412" s="189" t="str">
        <f>_xlfn.XLOOKUP(F412,品番!B:B,品番!D:D)</f>
        <v>メイン</v>
      </c>
      <c r="E412" s="179">
        <v>52606</v>
      </c>
      <c r="F412" s="180" t="s">
        <v>128</v>
      </c>
      <c r="G412" s="183">
        <v>3</v>
      </c>
      <c r="H412" s="135"/>
      <c r="I412" s="135"/>
      <c r="K412" s="184"/>
      <c r="L412"/>
      <c r="M412" s="266" t="str" cm="1">
        <f t="array" ref="M412">_xlfn.TEXTJOIN(",", TRUE, _xlfn._xlws.FILTER(適用号機!D:D, (適用号機!B:B=改定!F412)*(適用号機!C:C=改定!G412), ""))</f>
        <v xml:space="preserve">	A25F,A25G	,A27A,A27B</v>
      </c>
      <c r="N412" s="142" t="str">
        <f t="shared" si="8"/>
        <v>05742-00359-03</v>
      </c>
      <c r="O412" s="122" t="s">
        <v>1702</v>
      </c>
    </row>
    <row r="413" spans="1:16">
      <c r="A413" s="140" t="s">
        <v>119</v>
      </c>
      <c r="B413" s="189" t="str">
        <f>_xlfn.XLOOKUP(F413,品番!B:B,品番!G:G)</f>
        <v>A25FG/A27AB</v>
      </c>
      <c r="C413" s="189" t="str">
        <f>_xlfn.XLOOKUP(F413,品番!B:B,品番!C:C)</f>
        <v>コントローラ</v>
      </c>
      <c r="D413" s="189" t="str">
        <f>_xlfn.XLOOKUP(F413,品番!B:B,品番!D:D)</f>
        <v>メイン</v>
      </c>
      <c r="E413" s="179">
        <v>53229</v>
      </c>
      <c r="F413" s="180" t="s">
        <v>128</v>
      </c>
      <c r="G413" s="183">
        <v>4</v>
      </c>
      <c r="H413" s="135"/>
      <c r="I413" s="135"/>
      <c r="K413" s="184"/>
      <c r="L413"/>
      <c r="M413" s="266" t="str" cm="1">
        <f t="array" ref="M413">_xlfn.TEXTJOIN(",", TRUE, _xlfn._xlws.FILTER(適用号機!D:D, (適用号機!B:B=改定!F413)*(適用号機!C:C=改定!G413), ""))</f>
        <v xml:space="preserve">	A25F,A25G	,A27A,A27B</v>
      </c>
      <c r="N413" s="142" t="str">
        <f t="shared" si="8"/>
        <v>05742-00359-04</v>
      </c>
      <c r="O413" s="122" t="s">
        <v>1702</v>
      </c>
    </row>
    <row r="414" spans="1:16">
      <c r="A414" s="140" t="s">
        <v>119</v>
      </c>
      <c r="B414" s="189" t="str">
        <f>_xlfn.XLOOKUP(F414,品番!B:B,品番!G:G)</f>
        <v>A25FG/A27AB</v>
      </c>
      <c r="C414" s="189" t="str">
        <f>_xlfn.XLOOKUP(F414,品番!B:B,品番!C:C)</f>
        <v>コントローラ</v>
      </c>
      <c r="D414" s="189" t="str">
        <f>_xlfn.XLOOKUP(F414,品番!B:B,品番!D:D)</f>
        <v>メイン</v>
      </c>
      <c r="E414" s="179">
        <v>53853</v>
      </c>
      <c r="F414" s="180" t="s">
        <v>128</v>
      </c>
      <c r="G414" s="183">
        <v>5</v>
      </c>
      <c r="H414" s="135" t="s">
        <v>1484</v>
      </c>
      <c r="I414" s="135"/>
      <c r="K414" s="184"/>
      <c r="L414"/>
      <c r="M414" s="266" t="str" cm="1">
        <f t="array" ref="M414">_xlfn.TEXTJOIN(",", TRUE, _xlfn._xlws.FILTER(適用号機!D:D, (適用号機!B:B=改定!F414)*(適用号機!C:C=改定!G414), ""))</f>
        <v>A25F,	A25G,	A27A,	A27B</v>
      </c>
      <c r="N414" s="142" t="str">
        <f t="shared" si="8"/>
        <v>05742-00359-05</v>
      </c>
      <c r="O414" s="122" t="s">
        <v>1702</v>
      </c>
    </row>
    <row r="415" spans="1:16">
      <c r="A415" s="140" t="s">
        <v>119</v>
      </c>
      <c r="B415" s="189" t="str">
        <f>_xlfn.XLOOKUP(F415,品番!B:B,品番!G:G)</f>
        <v>A25FG/A27AB</v>
      </c>
      <c r="C415" s="189" t="str">
        <f>_xlfn.XLOOKUP(F415,品番!B:B,品番!C:C)</f>
        <v>コントローラ</v>
      </c>
      <c r="D415" s="189" t="str">
        <f>_xlfn.XLOOKUP(F415,品番!B:B,品番!D:D)</f>
        <v>メイン</v>
      </c>
      <c r="E415" s="179">
        <v>55201</v>
      </c>
      <c r="F415" s="180" t="s">
        <v>128</v>
      </c>
      <c r="G415" s="183">
        <v>6</v>
      </c>
      <c r="H415" s="135"/>
      <c r="I415" s="135"/>
      <c r="K415" s="184"/>
      <c r="L415"/>
      <c r="M415" s="266" t="str" cm="1">
        <f t="array" ref="M415">_xlfn.TEXTJOIN(",", TRUE, _xlfn._xlws.FILTER(適用号機!D:D, (適用号機!B:B=改定!F415)*(適用号機!C:C=改定!G415), ""))</f>
        <v xml:space="preserve">	A25F,	A25G,	A27A,A27B</v>
      </c>
      <c r="N415" s="142" t="str">
        <f t="shared" si="8"/>
        <v>05742-00359-06</v>
      </c>
      <c r="O415" s="122" t="s">
        <v>1702</v>
      </c>
    </row>
    <row r="416" spans="1:16">
      <c r="A416" s="140" t="s">
        <v>119</v>
      </c>
      <c r="B416" s="189" t="str">
        <f>_xlfn.XLOOKUP(F416,品番!B:B,品番!G:G)</f>
        <v>A25FG/A27AB</v>
      </c>
      <c r="C416" s="189" t="str">
        <f>_xlfn.XLOOKUP(F416,品番!B:B,品番!C:C)</f>
        <v>コントローラ</v>
      </c>
      <c r="D416" s="189" t="str">
        <f>_xlfn.XLOOKUP(F416,品番!B:B,品番!D:D)</f>
        <v>メイン</v>
      </c>
      <c r="E416" s="179">
        <v>60031</v>
      </c>
      <c r="F416" s="180" t="s">
        <v>128</v>
      </c>
      <c r="G416" s="183">
        <v>7</v>
      </c>
      <c r="H416" s="135" t="s">
        <v>387</v>
      </c>
      <c r="I416" s="135"/>
      <c r="M416" s="266" t="str" cm="1">
        <f t="array" ref="M416">_xlfn.TEXTJOIN(",", TRUE, _xlfn._xlws.FILTER(適用号機!D:D, (適用号機!B:B=改定!F416)*(適用号機!C:C=改定!G416), ""))</f>
        <v>A25F,A25G,A27A,	A27B</v>
      </c>
      <c r="N416" s="142" t="str">
        <f t="shared" si="8"/>
        <v>05742-00359-07</v>
      </c>
      <c r="O416" s="122" t="s">
        <v>1702</v>
      </c>
    </row>
    <row r="417" spans="1:15">
      <c r="A417" s="140" t="s">
        <v>119</v>
      </c>
      <c r="B417" s="189" t="str">
        <f>_xlfn.XLOOKUP(F417,品番!B:B,品番!G:G)</f>
        <v>A25FG/A27AB</v>
      </c>
      <c r="C417" s="189" t="str">
        <f>_xlfn.XLOOKUP(F417,品番!B:B,品番!C:C)</f>
        <v>コントローラ</v>
      </c>
      <c r="D417" s="189" t="str">
        <f>_xlfn.XLOOKUP(F417,品番!B:B,品番!D:D)</f>
        <v>メイン</v>
      </c>
      <c r="E417" s="179">
        <v>61312</v>
      </c>
      <c r="F417" s="180" t="s">
        <v>131</v>
      </c>
      <c r="G417" s="183">
        <v>0</v>
      </c>
      <c r="H417" s="135"/>
      <c r="I417" s="135"/>
      <c r="K417" s="184"/>
      <c r="L417" s="122" t="s">
        <v>42</v>
      </c>
      <c r="M417" s="266" t="str" cm="1">
        <f t="array" ref="M417">_xlfn.TEXTJOIN(",", TRUE, _xlfn._xlws.FILTER(適用号機!D:D, (適用号機!B:B=改定!F417)*(適用号機!C:C=改定!G417), ""))</f>
        <v>A25F,A25G,A27A,	A27B</v>
      </c>
      <c r="N417" s="142" t="str">
        <f t="shared" si="8"/>
        <v>05742-00773-00</v>
      </c>
      <c r="O417" s="122" t="s">
        <v>1702</v>
      </c>
    </row>
    <row r="418" spans="1:15">
      <c r="A418" s="140" t="s">
        <v>119</v>
      </c>
      <c r="B418" s="189" t="str">
        <f>_xlfn.XLOOKUP(F418,品番!B:B,品番!G:G)</f>
        <v>A25FG/A27AB</v>
      </c>
      <c r="C418" s="189" t="str">
        <f>_xlfn.XLOOKUP(F418,品番!B:B,品番!C:C)</f>
        <v>コントローラ</v>
      </c>
      <c r="D418" s="189" t="str">
        <f>_xlfn.XLOOKUP(F418,品番!B:B,品番!D:D)</f>
        <v>メイン</v>
      </c>
      <c r="E418" s="179">
        <v>61591</v>
      </c>
      <c r="F418" s="180" t="s">
        <v>131</v>
      </c>
      <c r="G418" s="183">
        <v>1</v>
      </c>
      <c r="H418" s="135" t="s">
        <v>388</v>
      </c>
      <c r="I418" s="135"/>
      <c r="K418" s="184"/>
      <c r="M418" s="266" t="str" cm="1">
        <f t="array" ref="M418">_xlfn.TEXTJOIN(",", TRUE, _xlfn._xlws.FILTER(適用号機!D:D, (適用号機!B:B=改定!F418)*(適用号機!C:C=改定!G418), ""))</f>
        <v>A25F,A25G,A27A,	A27B</v>
      </c>
      <c r="N418" s="142" t="str">
        <f t="shared" si="8"/>
        <v>05742-00773-01</v>
      </c>
      <c r="O418" s="122" t="s">
        <v>1702</v>
      </c>
    </row>
    <row r="419" spans="1:15">
      <c r="A419" s="122" t="s">
        <v>110</v>
      </c>
      <c r="B419" s="189" t="str">
        <f>_xlfn.XLOOKUP(F419,品番!B:B,品番!G:G)</f>
        <v>A25E(US)</v>
      </c>
      <c r="C419" s="189" t="str">
        <f>_xlfn.XLOOKUP(F419,品番!B:B,品番!C:C)</f>
        <v>コントローラ</v>
      </c>
      <c r="D419" s="189" t="str">
        <f>_xlfn.XLOOKUP(F419,品番!B:B,品番!D:D)</f>
        <v>メイン</v>
      </c>
      <c r="E419" s="179">
        <v>40000</v>
      </c>
      <c r="F419" s="180" t="s">
        <v>111</v>
      </c>
      <c r="G419" s="183">
        <v>0</v>
      </c>
      <c r="H419" s="135"/>
      <c r="I419" s="135"/>
      <c r="K419" s="182" t="s">
        <v>187</v>
      </c>
      <c r="L419" t="s">
        <v>106</v>
      </c>
      <c r="M419" s="266" t="str" cm="1">
        <f t="array" ref="M419">_xlfn.TEXTJOIN(",", TRUE, _xlfn._xlws.FILTER(適用号機!D:D, (適用号機!B:B=改定!F419)*(適用号機!C:C=改定!G419), ""))</f>
        <v>A25E,A25EW</v>
      </c>
      <c r="N419" s="142" t="str">
        <f t="shared" si="8"/>
        <v>05742-06450-00</v>
      </c>
      <c r="O419" s="122" t="s">
        <v>1702</v>
      </c>
    </row>
    <row r="420" spans="1:15">
      <c r="A420" s="122" t="s">
        <v>110</v>
      </c>
      <c r="B420" s="189" t="str">
        <f>_xlfn.XLOOKUP(F420,品番!B:B,品番!G:G)</f>
        <v>A25E(US)</v>
      </c>
      <c r="C420" s="189" t="str">
        <f>_xlfn.XLOOKUP(F420,品番!B:B,品番!C:C)</f>
        <v>コントローラ</v>
      </c>
      <c r="D420" s="189" t="str">
        <f>_xlfn.XLOOKUP(F420,品番!B:B,品番!D:D)</f>
        <v>メイン</v>
      </c>
      <c r="E420" s="179">
        <v>40311</v>
      </c>
      <c r="F420" s="180" t="s">
        <v>111</v>
      </c>
      <c r="G420" s="183">
        <v>1</v>
      </c>
      <c r="H420" s="135"/>
      <c r="I420" s="135"/>
      <c r="K420" s="182"/>
      <c r="L420"/>
      <c r="M420" s="266" t="str" cm="1">
        <f t="array" ref="M420">_xlfn.TEXTJOIN(",", TRUE, _xlfn._xlws.FILTER(適用号機!D:D, (適用号機!B:B=改定!F420)*(適用号機!C:C=改定!G420), ""))</f>
        <v>A25E</v>
      </c>
      <c r="N420" s="142" t="str">
        <f t="shared" si="8"/>
        <v>05742-06450-01</v>
      </c>
      <c r="O420" s="122" t="s">
        <v>1702</v>
      </c>
    </row>
    <row r="421" spans="1:15">
      <c r="A421" s="122" t="s">
        <v>110</v>
      </c>
      <c r="B421" s="189" t="str">
        <f>_xlfn.XLOOKUP(F421,品番!B:B,品番!G:G)</f>
        <v>A25E(US)</v>
      </c>
      <c r="C421" s="189" t="str">
        <f>_xlfn.XLOOKUP(F421,品番!B:B,品番!C:C)</f>
        <v>コントローラ</v>
      </c>
      <c r="D421" s="189" t="str">
        <f>_xlfn.XLOOKUP(F421,品番!B:B,品番!D:D)</f>
        <v>メイン</v>
      </c>
      <c r="E421" s="179">
        <v>40385</v>
      </c>
      <c r="F421" s="180" t="s">
        <v>111</v>
      </c>
      <c r="G421" s="183">
        <v>2</v>
      </c>
      <c r="H421" s="135"/>
      <c r="I421" s="135"/>
      <c r="K421" s="182"/>
      <c r="L421"/>
      <c r="M421" s="266" t="str" cm="1">
        <f t="array" ref="M421">_xlfn.TEXTJOIN(",", TRUE, _xlfn._xlws.FILTER(適用号機!D:D, (適用号機!B:B=改定!F421)*(適用号機!C:C=改定!G421), ""))</f>
        <v>A25E</v>
      </c>
      <c r="N421" s="142" t="str">
        <f t="shared" si="8"/>
        <v>05742-06450-02</v>
      </c>
      <c r="O421" s="122" t="s">
        <v>1702</v>
      </c>
    </row>
    <row r="422" spans="1:15">
      <c r="A422" s="122" t="s">
        <v>110</v>
      </c>
      <c r="B422" s="189" t="str">
        <f>_xlfn.XLOOKUP(F422,品番!B:B,品番!G:G)</f>
        <v>A25E(US)</v>
      </c>
      <c r="C422" s="189" t="str">
        <f>_xlfn.XLOOKUP(F422,品番!B:B,品番!C:C)</f>
        <v>コントローラ</v>
      </c>
      <c r="D422" s="189" t="str">
        <f>_xlfn.XLOOKUP(F422,品番!B:B,品番!D:D)</f>
        <v>メイン</v>
      </c>
      <c r="E422" s="179">
        <v>40415</v>
      </c>
      <c r="F422" s="180" t="s">
        <v>111</v>
      </c>
      <c r="G422" s="183">
        <v>3</v>
      </c>
      <c r="H422" s="135"/>
      <c r="I422" s="135"/>
      <c r="K422" s="182"/>
      <c r="L422"/>
      <c r="M422" s="266" t="str" cm="1">
        <f t="array" ref="M422">_xlfn.TEXTJOIN(",", TRUE, _xlfn._xlws.FILTER(適用号機!D:D, (適用号機!B:B=改定!F422)*(適用号機!C:C=改定!G422), ""))</f>
        <v>A25E</v>
      </c>
      <c r="N422" s="142" t="str">
        <f t="shared" si="8"/>
        <v>05742-06450-03</v>
      </c>
      <c r="O422" s="122" t="s">
        <v>1702</v>
      </c>
    </row>
    <row r="423" spans="1:15">
      <c r="A423" s="122" t="s">
        <v>110</v>
      </c>
      <c r="B423" s="189" t="str">
        <f>_xlfn.XLOOKUP(F423,品番!B:B,品番!G:G)</f>
        <v>A25E(US)</v>
      </c>
      <c r="C423" s="189" t="str">
        <f>_xlfn.XLOOKUP(F423,品番!B:B,品番!C:C)</f>
        <v>コントローラ</v>
      </c>
      <c r="D423" s="189" t="str">
        <f>_xlfn.XLOOKUP(F423,品番!B:B,品番!D:D)</f>
        <v>メイン</v>
      </c>
      <c r="E423" s="179">
        <v>40509</v>
      </c>
      <c r="F423" s="180" t="s">
        <v>111</v>
      </c>
      <c r="G423" s="183">
        <v>4</v>
      </c>
      <c r="H423" s="135"/>
      <c r="I423" s="135"/>
      <c r="K423" s="182"/>
      <c r="L423"/>
      <c r="M423" s="266" t="str" cm="1">
        <f t="array" ref="M423">_xlfn.TEXTJOIN(",", TRUE, _xlfn._xlws.FILTER(適用号機!D:D, (適用号機!B:B=改定!F423)*(適用号機!C:C=改定!G423), ""))</f>
        <v>A25E</v>
      </c>
      <c r="N423" s="142" t="str">
        <f t="shared" si="8"/>
        <v>05742-06450-04</v>
      </c>
      <c r="O423" s="122" t="s">
        <v>1702</v>
      </c>
    </row>
    <row r="424" spans="1:15">
      <c r="A424" s="122" t="s">
        <v>110</v>
      </c>
      <c r="B424" s="189" t="str">
        <f>_xlfn.XLOOKUP(F424,品番!B:B,品番!G:G)</f>
        <v>A25E(US)</v>
      </c>
      <c r="C424" s="189" t="str">
        <f>_xlfn.XLOOKUP(F424,品番!B:B,品番!C:C)</f>
        <v>コントローラ</v>
      </c>
      <c r="D424" s="189" t="str">
        <f>_xlfn.XLOOKUP(F424,品番!B:B,品番!D:D)</f>
        <v>メイン</v>
      </c>
      <c r="E424" s="179">
        <v>40708</v>
      </c>
      <c r="F424" s="180" t="s">
        <v>111</v>
      </c>
      <c r="G424" s="183">
        <v>5</v>
      </c>
      <c r="H424" s="135"/>
      <c r="I424" s="135"/>
      <c r="K424" s="182"/>
      <c r="L424"/>
      <c r="M424" s="266" t="str" cm="1">
        <f t="array" ref="M424">_xlfn.TEXTJOIN(",", TRUE, _xlfn._xlws.FILTER(適用号機!D:D, (適用号機!B:B=改定!F424)*(適用号機!C:C=改定!G424), ""))</f>
        <v>A25E</v>
      </c>
      <c r="N424" s="142" t="str">
        <f t="shared" si="8"/>
        <v>05742-06450-05</v>
      </c>
      <c r="O424" s="122" t="s">
        <v>1702</v>
      </c>
    </row>
    <row r="425" spans="1:15">
      <c r="A425" s="122" t="s">
        <v>110</v>
      </c>
      <c r="B425" s="189" t="str">
        <f>_xlfn.XLOOKUP(F425,品番!B:B,品番!G:G)</f>
        <v>A25E(US)</v>
      </c>
      <c r="C425" s="189" t="str">
        <f>_xlfn.XLOOKUP(F425,品番!B:B,品番!C:C)</f>
        <v>コントローラ</v>
      </c>
      <c r="D425" s="189" t="str">
        <f>_xlfn.XLOOKUP(F425,品番!B:B,品番!D:D)</f>
        <v>メイン</v>
      </c>
      <c r="E425" s="179">
        <v>42055</v>
      </c>
      <c r="F425" s="180" t="s">
        <v>111</v>
      </c>
      <c r="G425" s="183">
        <v>6</v>
      </c>
      <c r="H425" s="135" t="s">
        <v>316</v>
      </c>
      <c r="I425" s="122" t="s">
        <v>371</v>
      </c>
      <c r="J425" s="122" t="s">
        <v>372</v>
      </c>
      <c r="M425" s="266" t="str" cm="1">
        <f t="array" ref="M425">_xlfn.TEXTJOIN(",", TRUE, _xlfn._xlws.FILTER(適用号機!D:D, (適用号機!B:B=改定!F425)*(適用号機!C:C=改定!G425), ""))</f>
        <v>A25E</v>
      </c>
      <c r="N425" s="142" t="str">
        <f t="shared" si="8"/>
        <v>05742-06450-06</v>
      </c>
      <c r="O425" s="122" t="s">
        <v>1702</v>
      </c>
    </row>
    <row r="426" spans="1:15">
      <c r="A426" s="142" t="s">
        <v>113</v>
      </c>
      <c r="B426" s="189" t="str">
        <f>_xlfn.XLOOKUP(F426,品番!B:B,品番!G:G)</f>
        <v>A25EW</v>
      </c>
      <c r="C426" s="189" t="str">
        <f>_xlfn.XLOOKUP(F426,品番!B:B,品番!C:C)</f>
        <v>コントローラ</v>
      </c>
      <c r="D426" s="189" t="str">
        <f>_xlfn.XLOOKUP(F426,品番!B:B,品番!D:D)</f>
        <v>メイン</v>
      </c>
      <c r="E426" s="179">
        <v>41802</v>
      </c>
      <c r="F426" s="180" t="s">
        <v>114</v>
      </c>
      <c r="G426" s="183">
        <v>0</v>
      </c>
      <c r="H426" s="135"/>
      <c r="K426" s="182" t="s">
        <v>187</v>
      </c>
      <c r="M426" s="266" t="str" cm="1">
        <f t="array" ref="M426">_xlfn.TEXTJOIN(",", TRUE, _xlfn._xlws.FILTER(適用号機!D:D, (適用号機!B:B=改定!F426)*(適用号機!C:C=改定!G426), ""))</f>
        <v>A25EW</v>
      </c>
      <c r="N426" s="142" t="str">
        <f t="shared" si="8"/>
        <v>05742-07350-00</v>
      </c>
      <c r="O426" s="122" t="s">
        <v>1702</v>
      </c>
    </row>
    <row r="427" spans="1:15">
      <c r="A427" s="142" t="s">
        <v>113</v>
      </c>
      <c r="B427" s="189" t="str">
        <f>_xlfn.XLOOKUP(F427,品番!B:B,品番!G:G)</f>
        <v>A25EW</v>
      </c>
      <c r="C427" s="189" t="str">
        <f>_xlfn.XLOOKUP(F427,品番!B:B,品番!C:C)</f>
        <v>コントローラ</v>
      </c>
      <c r="D427" s="189" t="str">
        <f>_xlfn.XLOOKUP(F427,品番!B:B,品番!D:D)</f>
        <v>メイン</v>
      </c>
      <c r="E427" s="179">
        <v>42327</v>
      </c>
      <c r="F427" s="180" t="s">
        <v>114</v>
      </c>
      <c r="G427" s="183">
        <v>1</v>
      </c>
      <c r="H427" s="135"/>
      <c r="K427" s="182"/>
      <c r="L427"/>
      <c r="M427" s="266" t="str" cm="1">
        <f t="array" ref="M427">_xlfn.TEXTJOIN(",", TRUE, _xlfn._xlws.FILTER(適用号機!D:D, (適用号機!B:B=改定!F427)*(適用号機!C:C=改定!G427), ""))</f>
        <v>A25EW</v>
      </c>
      <c r="N427" s="142" t="str">
        <f t="shared" si="8"/>
        <v>05742-07350-01</v>
      </c>
      <c r="O427" s="122" t="s">
        <v>1702</v>
      </c>
    </row>
    <row r="428" spans="1:15">
      <c r="A428" s="142" t="s">
        <v>113</v>
      </c>
      <c r="B428" s="189" t="str">
        <f>_xlfn.XLOOKUP(F428,品番!B:B,品番!G:G)</f>
        <v>A25EW</v>
      </c>
      <c r="C428" s="189" t="str">
        <f>_xlfn.XLOOKUP(F428,品番!B:B,品番!C:C)</f>
        <v>コントローラ</v>
      </c>
      <c r="D428" s="189" t="str">
        <f>_xlfn.XLOOKUP(F428,品番!B:B,品番!D:D)</f>
        <v>メイン</v>
      </c>
      <c r="E428" s="179">
        <v>55511</v>
      </c>
      <c r="F428" s="180" t="s">
        <v>114</v>
      </c>
      <c r="G428" s="183">
        <v>2</v>
      </c>
      <c r="H428" s="135" t="s">
        <v>316</v>
      </c>
      <c r="I428" s="122" t="s">
        <v>375</v>
      </c>
      <c r="J428" s="122" t="s">
        <v>376</v>
      </c>
      <c r="M428" s="266" t="str" cm="1">
        <f t="array" ref="M428">_xlfn.TEXTJOIN(",", TRUE, _xlfn._xlws.FILTER(適用号機!D:D, (適用号機!B:B=改定!F428)*(適用号機!C:C=改定!G428), ""))</f>
        <v/>
      </c>
      <c r="N428" s="142" t="str">
        <f t="shared" si="8"/>
        <v>05742-07350-02</v>
      </c>
      <c r="O428" s="122" t="s">
        <v>1702</v>
      </c>
    </row>
    <row r="429" spans="1:15">
      <c r="A429" s="142" t="s">
        <v>202</v>
      </c>
      <c r="B429" s="189" t="str">
        <f>_xlfn.XLOOKUP(F429,品番!B:B,品番!G:G)</f>
        <v>L5E</v>
      </c>
      <c r="C429" s="189" t="str">
        <f>_xlfn.XLOOKUP(F429,品番!B:B,品番!C:C)</f>
        <v>コントローラ</v>
      </c>
      <c r="D429" s="189" t="str">
        <f>_xlfn.XLOOKUP(F429,品番!B:B,品番!D:D)</f>
        <v>メイン</v>
      </c>
      <c r="E429" s="179">
        <v>46038</v>
      </c>
      <c r="F429" s="180" t="s">
        <v>203</v>
      </c>
      <c r="G429" s="181">
        <v>0</v>
      </c>
      <c r="K429" s="182" t="s">
        <v>187</v>
      </c>
      <c r="M429" s="266" t="str" cm="1">
        <f t="array" ref="M429">_xlfn.TEXTJOIN(",", TRUE, _xlfn._xlws.FILTER(適用号機!D:D, (適用号機!B:B=改定!F429)*(適用号機!C:C=改定!G429), ""))</f>
        <v>L5E</v>
      </c>
      <c r="N429" s="142" t="str">
        <f t="shared" si="8"/>
        <v>06542-00076-00</v>
      </c>
      <c r="O429" s="122" t="s">
        <v>1702</v>
      </c>
    </row>
    <row r="430" spans="1:15">
      <c r="A430" s="142" t="s">
        <v>202</v>
      </c>
      <c r="B430" s="189" t="str">
        <f>_xlfn.XLOOKUP(F430,品番!B:B,品番!G:G)</f>
        <v>L5E</v>
      </c>
      <c r="C430" s="189" t="str">
        <f>_xlfn.XLOOKUP(F430,品番!B:B,品番!C:C)</f>
        <v>コントローラ</v>
      </c>
      <c r="D430" s="189" t="str">
        <f>_xlfn.XLOOKUP(F430,品番!B:B,品番!D:D)</f>
        <v>メイン</v>
      </c>
      <c r="E430" s="179">
        <v>47871</v>
      </c>
      <c r="F430" s="180" t="s">
        <v>203</v>
      </c>
      <c r="G430" s="181">
        <v>1</v>
      </c>
      <c r="K430" s="182"/>
      <c r="M430" s="266" t="str" cm="1">
        <f t="array" ref="M430">_xlfn.TEXTJOIN(",", TRUE, _xlfn._xlws.FILTER(適用号機!D:D, (適用号機!B:B=改定!F430)*(適用号機!C:C=改定!G430), ""))</f>
        <v>L5E</v>
      </c>
      <c r="N430" s="142" t="str">
        <f t="shared" si="8"/>
        <v>06542-00076-01</v>
      </c>
      <c r="O430" s="122" t="s">
        <v>1702</v>
      </c>
    </row>
    <row r="431" spans="1:15">
      <c r="A431" s="142" t="s">
        <v>202</v>
      </c>
      <c r="B431" s="189" t="str">
        <f>_xlfn.XLOOKUP(F431,品番!B:B,品番!G:G)</f>
        <v>L5E</v>
      </c>
      <c r="C431" s="189" t="str">
        <f>_xlfn.XLOOKUP(F431,品番!B:B,品番!C:C)</f>
        <v>コントローラ</v>
      </c>
      <c r="D431" s="189" t="str">
        <f>_xlfn.XLOOKUP(F431,品番!B:B,品番!D:D)</f>
        <v>メイン</v>
      </c>
      <c r="E431" s="179">
        <v>50149</v>
      </c>
      <c r="F431" s="180" t="s">
        <v>203</v>
      </c>
      <c r="G431" s="181">
        <v>2</v>
      </c>
      <c r="K431" s="182"/>
      <c r="M431" s="266" t="str" cm="1">
        <f t="array" ref="M431">_xlfn.TEXTJOIN(",", TRUE, _xlfn._xlws.FILTER(適用号機!D:D, (適用号機!B:B=改定!F431)*(適用号機!C:C=改定!G431), ""))</f>
        <v>L5E</v>
      </c>
      <c r="N431" s="142" t="str">
        <f t="shared" si="8"/>
        <v>06542-00076-02</v>
      </c>
      <c r="O431" s="122" t="s">
        <v>1702</v>
      </c>
    </row>
    <row r="432" spans="1:15">
      <c r="A432" s="142" t="s">
        <v>202</v>
      </c>
      <c r="B432" s="189" t="str">
        <f>_xlfn.XLOOKUP(F432,品番!B:B,品番!G:G)</f>
        <v>L5E</v>
      </c>
      <c r="C432" s="189" t="str">
        <f>_xlfn.XLOOKUP(F432,品番!B:B,品番!C:C)</f>
        <v>コントローラ</v>
      </c>
      <c r="D432" s="189" t="str">
        <f>_xlfn.XLOOKUP(F432,品番!B:B,品番!D:D)</f>
        <v>メイン</v>
      </c>
      <c r="E432" s="179">
        <v>55511</v>
      </c>
      <c r="F432" s="180" t="s">
        <v>203</v>
      </c>
      <c r="G432" s="181">
        <v>3</v>
      </c>
      <c r="H432" s="135" t="s">
        <v>301</v>
      </c>
      <c r="M432" s="266" t="str" cm="1">
        <f t="array" ref="M432">_xlfn.TEXTJOIN(",", TRUE, _xlfn._xlws.FILTER(適用号機!D:D, (適用号機!B:B=改定!F432)*(適用号機!C:C=改定!G432), ""))</f>
        <v/>
      </c>
      <c r="N432" s="142" t="str">
        <f t="shared" si="8"/>
        <v>06542-00076-03</v>
      </c>
      <c r="O432" s="122" t="s">
        <v>1702</v>
      </c>
    </row>
    <row r="433" spans="1:16">
      <c r="A433" s="142" t="s">
        <v>202</v>
      </c>
      <c r="B433" s="189" t="str">
        <f>_xlfn.XLOOKUP(F433,品番!B:B,品番!G:G)</f>
        <v>L5E</v>
      </c>
      <c r="C433" s="189" t="str">
        <f>_xlfn.XLOOKUP(F433,品番!B:B,品番!C:C)</f>
        <v>コントローラ</v>
      </c>
      <c r="D433" s="189" t="str">
        <f>_xlfn.XLOOKUP(F433,品番!B:B,品番!D:D)</f>
        <v>メイン</v>
      </c>
      <c r="E433" s="179">
        <v>49165</v>
      </c>
      <c r="F433" s="180" t="s">
        <v>204</v>
      </c>
      <c r="G433" s="181">
        <v>0</v>
      </c>
      <c r="H433" s="135"/>
      <c r="K433" s="182" t="s">
        <v>440</v>
      </c>
      <c r="L433" s="122" t="s">
        <v>141</v>
      </c>
      <c r="M433" s="266" t="str" cm="1">
        <f t="array" ref="M433">_xlfn.TEXTJOIN(",", TRUE, _xlfn._xlws.FILTER(適用号機!D:D, (適用号機!B:B=改定!F433)*(適用号機!C:C=改定!G433), ""))</f>
        <v xml:space="preserve">	L5E,	L5E2</v>
      </c>
      <c r="N433" s="142" t="str">
        <f t="shared" si="8"/>
        <v>06542-00132-00</v>
      </c>
      <c r="O433" s="122" t="s">
        <v>1702</v>
      </c>
    </row>
    <row r="434" spans="1:16">
      <c r="A434" s="142" t="s">
        <v>202</v>
      </c>
      <c r="B434" s="189" t="str">
        <f>_xlfn.XLOOKUP(F434,品番!B:B,品番!G:G)</f>
        <v>L5E</v>
      </c>
      <c r="C434" s="189" t="str">
        <f>_xlfn.XLOOKUP(F434,品番!B:B,品番!C:C)</f>
        <v>コントローラ</v>
      </c>
      <c r="D434" s="189" t="str">
        <f>_xlfn.XLOOKUP(F434,品番!B:B,品番!D:D)</f>
        <v>メイン</v>
      </c>
      <c r="E434" s="179">
        <v>49777</v>
      </c>
      <c r="F434" s="180" t="s">
        <v>204</v>
      </c>
      <c r="G434" s="181">
        <v>1</v>
      </c>
      <c r="H434" s="135"/>
      <c r="K434" s="182"/>
      <c r="M434" s="266" t="str" cm="1">
        <f t="array" ref="M434">_xlfn.TEXTJOIN(",", TRUE, _xlfn._xlws.FILTER(適用号機!D:D, (適用号機!B:B=改定!F434)*(適用号機!C:C=改定!G434), ""))</f>
        <v>L5E,L5E2</v>
      </c>
      <c r="N434" s="142" t="str">
        <f t="shared" si="8"/>
        <v>06542-00132-01</v>
      </c>
      <c r="O434" s="122" t="s">
        <v>1702</v>
      </c>
    </row>
    <row r="435" spans="1:16">
      <c r="A435" s="142" t="s">
        <v>202</v>
      </c>
      <c r="B435" s="189" t="str">
        <f>_xlfn.XLOOKUP(F435,品番!B:B,品番!G:G)</f>
        <v>L5E</v>
      </c>
      <c r="C435" s="189" t="str">
        <f>_xlfn.XLOOKUP(F435,品番!B:B,品番!C:C)</f>
        <v>コントローラ</v>
      </c>
      <c r="D435" s="189" t="str">
        <f>_xlfn.XLOOKUP(F435,品番!B:B,品番!D:D)</f>
        <v>メイン</v>
      </c>
      <c r="E435" s="179">
        <v>50149</v>
      </c>
      <c r="F435" s="180" t="s">
        <v>204</v>
      </c>
      <c r="G435" s="181">
        <v>2</v>
      </c>
      <c r="H435" s="135"/>
      <c r="K435" s="182"/>
      <c r="M435" s="266" t="str" cm="1">
        <f t="array" ref="M435">_xlfn.TEXTJOIN(",", TRUE, _xlfn._xlws.FILTER(適用号機!D:D, (適用号機!B:B=改定!F435)*(適用号機!C:C=改定!G435), ""))</f>
        <v>L5E,L5E2</v>
      </c>
      <c r="N435" s="142" t="str">
        <f t="shared" si="8"/>
        <v>06542-00132-02</v>
      </c>
      <c r="O435" s="122" t="s">
        <v>1702</v>
      </c>
    </row>
    <row r="436" spans="1:16">
      <c r="A436" s="142" t="s">
        <v>202</v>
      </c>
      <c r="B436" s="189" t="str">
        <f>_xlfn.XLOOKUP(F436,品番!B:B,品番!G:G)</f>
        <v>L5E</v>
      </c>
      <c r="C436" s="189" t="str">
        <f>_xlfn.XLOOKUP(F436,品番!B:B,品番!C:C)</f>
        <v>コントローラ</v>
      </c>
      <c r="D436" s="189" t="str">
        <f>_xlfn.XLOOKUP(F436,品番!B:B,品番!D:D)</f>
        <v>メイン</v>
      </c>
      <c r="E436" s="179">
        <v>53227</v>
      </c>
      <c r="F436" s="180" t="s">
        <v>204</v>
      </c>
      <c r="G436" s="181">
        <v>3</v>
      </c>
      <c r="H436" s="135"/>
      <c r="K436" s="182"/>
      <c r="M436" s="266" t="str" cm="1">
        <f t="array" ref="M436">_xlfn.TEXTJOIN(",", TRUE, _xlfn._xlws.FILTER(適用号機!D:D, (適用号機!B:B=改定!F436)*(適用号機!C:C=改定!G436), ""))</f>
        <v xml:space="preserve">	L5E,	L5E2</v>
      </c>
      <c r="N436" s="142" t="str">
        <f t="shared" si="8"/>
        <v>06542-00132-03</v>
      </c>
      <c r="O436" s="122" t="s">
        <v>1702</v>
      </c>
    </row>
    <row r="437" spans="1:16">
      <c r="A437" s="142" t="s">
        <v>202</v>
      </c>
      <c r="B437" s="189" t="str">
        <f>_xlfn.XLOOKUP(F437,品番!B:B,品番!G:G)</f>
        <v>L5E</v>
      </c>
      <c r="C437" s="189" t="str">
        <f>_xlfn.XLOOKUP(F437,品番!B:B,品番!C:C)</f>
        <v>コントローラ</v>
      </c>
      <c r="D437" s="189" t="str">
        <f>_xlfn.XLOOKUP(F437,品番!B:B,品番!D:D)</f>
        <v>メイン</v>
      </c>
      <c r="E437" s="179">
        <v>54790</v>
      </c>
      <c r="F437" s="180" t="s">
        <v>204</v>
      </c>
      <c r="G437" s="181">
        <v>4</v>
      </c>
      <c r="H437" s="135"/>
      <c r="K437" s="182"/>
      <c r="M437" s="266" t="str" cm="1">
        <f t="array" ref="M437">_xlfn.TEXTJOIN(",", TRUE, _xlfn._xlws.FILTER(適用号機!D:D, (適用号機!B:B=改定!F437)*(適用号機!C:C=改定!G437), ""))</f>
        <v xml:space="preserve">	L5E,	L5E2</v>
      </c>
      <c r="N437" s="142" t="str">
        <f t="shared" si="8"/>
        <v>06542-00132-04</v>
      </c>
      <c r="O437" s="122" t="s">
        <v>1702</v>
      </c>
      <c r="P437"/>
    </row>
    <row r="438" spans="1:16">
      <c r="A438" s="142" t="s">
        <v>202</v>
      </c>
      <c r="B438" s="189" t="str">
        <f>_xlfn.XLOOKUP(F438,品番!B:B,品番!G:G)</f>
        <v>L5E</v>
      </c>
      <c r="C438" s="189" t="str">
        <f>_xlfn.XLOOKUP(F438,品番!B:B,品番!C:C)</f>
        <v>コントローラ</v>
      </c>
      <c r="D438" s="189" t="str">
        <f>_xlfn.XLOOKUP(F438,品番!B:B,品番!D:D)</f>
        <v>メイン</v>
      </c>
      <c r="E438" s="179">
        <v>55535</v>
      </c>
      <c r="F438" s="180" t="s">
        <v>204</v>
      </c>
      <c r="G438" s="181">
        <v>5</v>
      </c>
      <c r="H438" s="135"/>
      <c r="K438" s="182"/>
      <c r="M438" s="266" t="str" cm="1">
        <f t="array" ref="M438">_xlfn.TEXTJOIN(",", TRUE, _xlfn._xlws.FILTER(適用号機!D:D, (適用号機!B:B=改定!F438)*(適用号機!C:C=改定!G438), ""))</f>
        <v xml:space="preserve">	L5E,	L5E2</v>
      </c>
      <c r="N438" s="142" t="str">
        <f t="shared" si="8"/>
        <v>06542-00132-05</v>
      </c>
      <c r="O438" s="122" t="s">
        <v>1702</v>
      </c>
    </row>
    <row r="439" spans="1:16">
      <c r="A439" s="142" t="s">
        <v>202</v>
      </c>
      <c r="B439" s="189" t="str">
        <f>_xlfn.XLOOKUP(F439,品番!B:B,品番!G:G)</f>
        <v>L5E</v>
      </c>
      <c r="C439" s="189" t="str">
        <f>_xlfn.XLOOKUP(F439,品番!B:B,品番!C:C)</f>
        <v>コントローラ</v>
      </c>
      <c r="D439" s="189" t="str">
        <f>_xlfn.XLOOKUP(F439,品番!B:B,品番!D:D)</f>
        <v>メイン</v>
      </c>
      <c r="E439" s="179">
        <v>56036</v>
      </c>
      <c r="F439" s="180" t="s">
        <v>204</v>
      </c>
      <c r="G439" s="181">
        <v>6</v>
      </c>
      <c r="H439" s="135" t="s">
        <v>441</v>
      </c>
      <c r="M439" s="266" t="str" cm="1">
        <f t="array" ref="M439">_xlfn.TEXTJOIN(",", TRUE, _xlfn._xlws.FILTER(適用号機!D:D, (適用号機!B:B=改定!F439)*(適用号機!C:C=改定!G439), ""))</f>
        <v xml:space="preserve">	L5E,L5E2</v>
      </c>
      <c r="N439" s="142" t="str">
        <f t="shared" si="8"/>
        <v>06542-00132-06</v>
      </c>
      <c r="O439" s="122" t="s">
        <v>1702</v>
      </c>
    </row>
    <row r="440" spans="1:16">
      <c r="A440" s="142" t="s">
        <v>205</v>
      </c>
      <c r="B440" s="189" t="str">
        <f>_xlfn.XLOOKUP(F440,品番!B:B,品番!G:G)</f>
        <v>L6E</v>
      </c>
      <c r="C440" s="189" t="str">
        <f>_xlfn.XLOOKUP(F440,品番!B:B,品番!C:C)</f>
        <v>コントローラ</v>
      </c>
      <c r="D440" s="189" t="str">
        <f>_xlfn.XLOOKUP(F440,品番!B:B,品番!D:D)</f>
        <v>メイン</v>
      </c>
      <c r="E440" s="179">
        <v>46236</v>
      </c>
      <c r="F440" s="180" t="s">
        <v>206</v>
      </c>
      <c r="G440" s="181">
        <v>0</v>
      </c>
      <c r="H440" s="135"/>
      <c r="K440" s="182" t="s">
        <v>442</v>
      </c>
      <c r="L440" s="122" t="s">
        <v>207</v>
      </c>
      <c r="M440" s="266" t="str" cm="1">
        <f t="array" ref="M440">_xlfn.TEXTJOIN(",", TRUE, _xlfn._xlws.FILTER(適用号機!D:D, (適用号機!B:B=改定!F440)*(適用号機!C:C=改定!G440), ""))</f>
        <v>L6E</v>
      </c>
      <c r="N440" s="142" t="str">
        <f t="shared" si="8"/>
        <v>06642-00116-00</v>
      </c>
      <c r="O440" s="122" t="s">
        <v>1702</v>
      </c>
    </row>
    <row r="441" spans="1:16">
      <c r="A441" s="142" t="s">
        <v>205</v>
      </c>
      <c r="B441" s="189" t="str">
        <f>_xlfn.XLOOKUP(F441,品番!B:B,品番!G:G)</f>
        <v>L6E</v>
      </c>
      <c r="C441" s="189" t="str">
        <f>_xlfn.XLOOKUP(F441,品番!B:B,品番!C:C)</f>
        <v>コントローラ</v>
      </c>
      <c r="D441" s="189" t="str">
        <f>_xlfn.XLOOKUP(F441,品番!B:B,品番!D:D)</f>
        <v>メイン</v>
      </c>
      <c r="E441" s="179">
        <v>47083</v>
      </c>
      <c r="F441" s="180" t="s">
        <v>206</v>
      </c>
      <c r="G441" s="181">
        <v>1</v>
      </c>
      <c r="H441" s="135"/>
      <c r="K441" s="182"/>
      <c r="M441" s="266" t="str" cm="1">
        <f t="array" ref="M441">_xlfn.TEXTJOIN(",", TRUE, _xlfn._xlws.FILTER(適用号機!D:D, (適用号機!B:B=改定!F441)*(適用号機!C:C=改定!G441), ""))</f>
        <v>L6E</v>
      </c>
      <c r="N441" s="142" t="str">
        <f t="shared" si="8"/>
        <v>06642-00116-01</v>
      </c>
      <c r="O441" s="122" t="s">
        <v>1702</v>
      </c>
    </row>
    <row r="442" spans="1:16">
      <c r="A442" s="142" t="s">
        <v>205</v>
      </c>
      <c r="B442" s="189" t="str">
        <f>_xlfn.XLOOKUP(F442,品番!B:B,品番!G:G)</f>
        <v>L6E</v>
      </c>
      <c r="C442" s="189" t="str">
        <f>_xlfn.XLOOKUP(F442,品番!B:B,品番!C:C)</f>
        <v>コントローラ</v>
      </c>
      <c r="D442" s="189" t="str">
        <f>_xlfn.XLOOKUP(F442,品番!B:B,品番!D:D)</f>
        <v>メイン</v>
      </c>
      <c r="E442" s="179">
        <v>47519</v>
      </c>
      <c r="F442" s="180" t="s">
        <v>206</v>
      </c>
      <c r="G442" s="181">
        <v>2</v>
      </c>
      <c r="H442" s="135"/>
      <c r="K442" s="182"/>
      <c r="M442" s="266" t="str" cm="1">
        <f t="array" ref="M442">_xlfn.TEXTJOIN(",", TRUE, _xlfn._xlws.FILTER(適用号機!D:D, (適用号機!B:B=改定!F442)*(適用号機!C:C=改定!G442), ""))</f>
        <v/>
      </c>
      <c r="N442" s="142" t="str">
        <f t="shared" si="8"/>
        <v>06642-00116-02</v>
      </c>
      <c r="O442" s="122" t="s">
        <v>1702</v>
      </c>
    </row>
    <row r="443" spans="1:16">
      <c r="A443" s="142" t="s">
        <v>205</v>
      </c>
      <c r="B443" s="189" t="str">
        <f>_xlfn.XLOOKUP(F443,品番!B:B,品番!G:G)</f>
        <v>L6E</v>
      </c>
      <c r="C443" s="189" t="str">
        <f>_xlfn.XLOOKUP(F443,品番!B:B,品番!C:C)</f>
        <v>コントローラ</v>
      </c>
      <c r="D443" s="189" t="str">
        <f>_xlfn.XLOOKUP(F443,品番!B:B,品番!D:D)</f>
        <v>メイン</v>
      </c>
      <c r="E443" s="179">
        <v>55511</v>
      </c>
      <c r="F443" s="180" t="s">
        <v>206</v>
      </c>
      <c r="G443" s="181">
        <v>3</v>
      </c>
      <c r="H443" s="122" t="s">
        <v>444</v>
      </c>
      <c r="I443" s="122" t="s">
        <v>47</v>
      </c>
      <c r="J443" s="122" t="s">
        <v>47</v>
      </c>
      <c r="M443" s="266" t="str" cm="1">
        <f t="array" ref="M443">_xlfn.TEXTJOIN(",", TRUE, _xlfn._xlws.FILTER(適用号機!D:D, (適用号機!B:B=改定!F443)*(適用号機!C:C=改定!G443), ""))</f>
        <v xml:space="preserve">	L6E</v>
      </c>
      <c r="N443" s="142" t="str">
        <f t="shared" si="8"/>
        <v>06642-00116-03</v>
      </c>
      <c r="O443" s="122" t="s">
        <v>1702</v>
      </c>
    </row>
    <row r="444" spans="1:16">
      <c r="A444" s="142" t="s">
        <v>215</v>
      </c>
      <c r="B444" s="189" t="str">
        <f>_xlfn.XLOOKUP(F444,品番!B:B,品番!G:G)</f>
        <v>L6F</v>
      </c>
      <c r="C444" s="189" t="str">
        <f>_xlfn.XLOOKUP(F444,品番!B:B,品番!C:C)</f>
        <v>コントローラ</v>
      </c>
      <c r="D444" s="189" t="str">
        <f>_xlfn.XLOOKUP(F444,品番!B:B,品番!D:D)</f>
        <v>メイン</v>
      </c>
      <c r="E444" s="179">
        <v>49082</v>
      </c>
      <c r="F444" s="180" t="s">
        <v>216</v>
      </c>
      <c r="G444" s="181">
        <v>0</v>
      </c>
      <c r="H444" s="135"/>
      <c r="K444" s="182" t="s">
        <v>187</v>
      </c>
      <c r="M444" s="266" t="str" cm="1">
        <f t="array" ref="M444">_xlfn.TEXTJOIN(",", TRUE, _xlfn._xlws.FILTER(適用号機!D:D, (適用号機!B:B=改定!F444)*(適用号機!C:C=改定!G444), ""))</f>
        <v xml:space="preserve">	L6F</v>
      </c>
      <c r="N444" s="142" t="str">
        <f t="shared" si="8"/>
        <v>06642-00161-00</v>
      </c>
      <c r="O444" s="122" t="s">
        <v>1702</v>
      </c>
    </row>
    <row r="445" spans="1:16">
      <c r="A445" s="142" t="s">
        <v>215</v>
      </c>
      <c r="B445" s="189" t="str">
        <f>_xlfn.XLOOKUP(F445,品番!B:B,品番!G:G)</f>
        <v>L6F</v>
      </c>
      <c r="C445" s="189" t="str">
        <f>_xlfn.XLOOKUP(F445,品番!B:B,品番!C:C)</f>
        <v>コントローラ</v>
      </c>
      <c r="D445" s="189" t="str">
        <f>_xlfn.XLOOKUP(F445,品番!B:B,品番!D:D)</f>
        <v>メイン</v>
      </c>
      <c r="E445" s="179">
        <v>51161</v>
      </c>
      <c r="F445" s="180" t="s">
        <v>216</v>
      </c>
      <c r="G445" s="181">
        <v>1</v>
      </c>
      <c r="H445" s="135"/>
      <c r="K445" s="182"/>
      <c r="M445" s="266" t="str" cm="1">
        <f t="array" ref="M445">_xlfn.TEXTJOIN(",", TRUE, _xlfn._xlws.FILTER(適用号機!D:D, (適用号機!B:B=改定!F445)*(適用号機!C:C=改定!G445), ""))</f>
        <v xml:space="preserve">	L6F</v>
      </c>
      <c r="N445" s="142" t="str">
        <f t="shared" si="8"/>
        <v>06642-00161-01</v>
      </c>
      <c r="O445" s="122" t="s">
        <v>1702</v>
      </c>
      <c r="P445"/>
    </row>
    <row r="446" spans="1:16">
      <c r="A446" s="142" t="s">
        <v>215</v>
      </c>
      <c r="B446" s="189" t="str">
        <f>_xlfn.XLOOKUP(F446,品番!B:B,品番!G:G)</f>
        <v>L6F</v>
      </c>
      <c r="C446" s="189" t="str">
        <f>_xlfn.XLOOKUP(F446,品番!B:B,品番!C:C)</f>
        <v>コントローラ</v>
      </c>
      <c r="D446" s="189" t="str">
        <f>_xlfn.XLOOKUP(F446,品番!B:B,品番!D:D)</f>
        <v>メイン</v>
      </c>
      <c r="E446" s="179">
        <v>51386</v>
      </c>
      <c r="F446" s="180" t="s">
        <v>216</v>
      </c>
      <c r="G446" s="181">
        <v>2</v>
      </c>
      <c r="H446" s="135"/>
      <c r="K446" s="182"/>
      <c r="M446" s="266" t="str" cm="1">
        <f t="array" ref="M446">_xlfn.TEXTJOIN(",", TRUE, _xlfn._xlws.FILTER(適用号機!D:D, (適用号機!B:B=改定!F446)*(適用号機!C:C=改定!G446), ""))</f>
        <v xml:space="preserve">	L6F</v>
      </c>
      <c r="N446" s="142" t="str">
        <f t="shared" si="8"/>
        <v>06642-00161-02</v>
      </c>
      <c r="O446" s="122" t="s">
        <v>1702</v>
      </c>
      <c r="P446"/>
    </row>
    <row r="447" spans="1:16">
      <c r="A447" s="142" t="s">
        <v>215</v>
      </c>
      <c r="B447" s="189" t="str">
        <f>_xlfn.XLOOKUP(F447,品番!B:B,品番!G:G)</f>
        <v>L6F</v>
      </c>
      <c r="C447" s="189" t="str">
        <f>_xlfn.XLOOKUP(F447,品番!B:B,品番!C:C)</f>
        <v>コントローラ</v>
      </c>
      <c r="D447" s="189" t="str">
        <f>_xlfn.XLOOKUP(F447,品番!B:B,品番!D:D)</f>
        <v>メイン</v>
      </c>
      <c r="E447" s="179">
        <v>53227</v>
      </c>
      <c r="F447" s="180" t="s">
        <v>216</v>
      </c>
      <c r="G447" s="181">
        <v>3</v>
      </c>
      <c r="H447" s="135"/>
      <c r="K447" s="182"/>
      <c r="M447" s="266" t="str" cm="1">
        <f t="array" ref="M447">_xlfn.TEXTJOIN(",", TRUE, _xlfn._xlws.FILTER(適用号機!D:D, (適用号機!B:B=改定!F447)*(適用号機!C:C=改定!G447), ""))</f>
        <v xml:space="preserve">	L6F</v>
      </c>
      <c r="N447" s="142" t="str">
        <f t="shared" si="8"/>
        <v>06642-00161-03</v>
      </c>
      <c r="O447" s="122" t="s">
        <v>1702</v>
      </c>
    </row>
    <row r="448" spans="1:16">
      <c r="A448" s="142" t="s">
        <v>215</v>
      </c>
      <c r="B448" s="189" t="str">
        <f>_xlfn.XLOOKUP(F448,品番!B:B,品番!G:G)</f>
        <v>L6F</v>
      </c>
      <c r="C448" s="189" t="str">
        <f>_xlfn.XLOOKUP(F448,品番!B:B,品番!C:C)</f>
        <v>コントローラ</v>
      </c>
      <c r="D448" s="189" t="str">
        <f>_xlfn.XLOOKUP(F448,品番!B:B,品番!D:D)</f>
        <v>メイン</v>
      </c>
      <c r="E448" s="179">
        <v>53907</v>
      </c>
      <c r="F448" s="180" t="s">
        <v>216</v>
      </c>
      <c r="G448" s="181">
        <v>4</v>
      </c>
      <c r="H448" s="135"/>
      <c r="K448" s="182"/>
      <c r="M448" s="266" t="str" cm="1">
        <f t="array" ref="M448">_xlfn.TEXTJOIN(",", TRUE, _xlfn._xlws.FILTER(適用号機!D:D, (適用号機!B:B=改定!F448)*(適用号機!C:C=改定!G448), ""))</f>
        <v>L6F</v>
      </c>
      <c r="N448" s="142" t="str">
        <f t="shared" si="8"/>
        <v>06642-00161-04</v>
      </c>
      <c r="O448" s="122" t="s">
        <v>1702</v>
      </c>
    </row>
    <row r="449" spans="1:16">
      <c r="A449" s="142" t="s">
        <v>215</v>
      </c>
      <c r="B449" s="189" t="str">
        <f>_xlfn.XLOOKUP(F449,品番!B:B,品番!G:G)</f>
        <v>L6F</v>
      </c>
      <c r="C449" s="189" t="str">
        <f>_xlfn.XLOOKUP(F449,品番!B:B,品番!C:C)</f>
        <v>コントローラ</v>
      </c>
      <c r="D449" s="189" t="str">
        <f>_xlfn.XLOOKUP(F449,品番!B:B,品番!D:D)</f>
        <v>メイン</v>
      </c>
      <c r="E449" s="179">
        <v>54790</v>
      </c>
      <c r="F449" s="180" t="s">
        <v>216</v>
      </c>
      <c r="G449" s="181">
        <v>5</v>
      </c>
      <c r="H449" s="135"/>
      <c r="K449" s="182"/>
      <c r="M449" s="266" t="str" cm="1">
        <f t="array" ref="M449">_xlfn.TEXTJOIN(",", TRUE, _xlfn._xlws.FILTER(適用号機!D:D, (適用号機!B:B=改定!F449)*(適用号機!C:C=改定!G449), ""))</f>
        <v xml:space="preserve">	L6F</v>
      </c>
      <c r="N449" s="142" t="str">
        <f t="shared" si="8"/>
        <v>06642-00161-05</v>
      </c>
      <c r="O449" s="122" t="s">
        <v>1702</v>
      </c>
      <c r="P449"/>
    </row>
    <row r="450" spans="1:16">
      <c r="A450" s="142" t="s">
        <v>215</v>
      </c>
      <c r="B450" s="189" t="str">
        <f>_xlfn.XLOOKUP(F450,品番!B:B,品番!G:G)</f>
        <v>L6F</v>
      </c>
      <c r="C450" s="189" t="str">
        <f>_xlfn.XLOOKUP(F450,品番!B:B,品番!C:C)</f>
        <v>コントローラ</v>
      </c>
      <c r="D450" s="189" t="str">
        <f>_xlfn.XLOOKUP(F450,品番!B:B,品番!D:D)</f>
        <v>メイン</v>
      </c>
      <c r="E450" s="179">
        <v>60584</v>
      </c>
      <c r="F450" s="180" t="s">
        <v>216</v>
      </c>
      <c r="G450" s="181">
        <v>6</v>
      </c>
      <c r="H450" s="122" t="s">
        <v>456</v>
      </c>
      <c r="I450" s="122" t="s">
        <v>47</v>
      </c>
      <c r="J450" s="122" t="s">
        <v>47</v>
      </c>
      <c r="M450" s="266" t="str" cm="1">
        <f t="array" ref="M450">_xlfn.TEXTJOIN(",", TRUE, _xlfn._xlws.FILTER(適用号機!D:D, (適用号機!B:B=改定!F450)*(適用号機!C:C=改定!G450), ""))</f>
        <v xml:space="preserve">	L6F</v>
      </c>
      <c r="N450" s="142" t="str">
        <f t="shared" si="8"/>
        <v>06642-00161-06</v>
      </c>
      <c r="O450" s="122" t="s">
        <v>1702</v>
      </c>
    </row>
    <row r="451" spans="1:16">
      <c r="A451" s="142" t="s">
        <v>205</v>
      </c>
      <c r="B451" s="189" t="str">
        <f>_xlfn.XLOOKUP(F451,品番!B:B,品番!G:G)</f>
        <v>L6E</v>
      </c>
      <c r="C451" s="189" t="str">
        <f>_xlfn.XLOOKUP(F451,品番!B:B,品番!C:C)</f>
        <v>コントローラ</v>
      </c>
      <c r="D451" s="189" t="str">
        <f>_xlfn.XLOOKUP(F451,品番!B:B,品番!D:D)</f>
        <v>メイン</v>
      </c>
      <c r="E451" s="179">
        <v>49061</v>
      </c>
      <c r="F451" s="180" t="s">
        <v>208</v>
      </c>
      <c r="G451" s="181">
        <v>0</v>
      </c>
      <c r="K451" s="182" t="s">
        <v>399</v>
      </c>
      <c r="L451" s="122" t="s">
        <v>141</v>
      </c>
      <c r="M451" s="266" t="str" cm="1">
        <f t="array" ref="M451">_xlfn.TEXTJOIN(",", TRUE, _xlfn._xlws.FILTER(適用号機!D:D, (適用号機!B:B=改定!F451)*(適用号機!C:C=改定!G451), ""))</f>
        <v>L6E,	L6E2</v>
      </c>
      <c r="N451" s="142" t="str">
        <f t="shared" si="8"/>
        <v>06642-00175-00</v>
      </c>
      <c r="O451" s="122" t="s">
        <v>1702</v>
      </c>
    </row>
    <row r="452" spans="1:16">
      <c r="A452" s="142" t="s">
        <v>205</v>
      </c>
      <c r="B452" s="189" t="str">
        <f>_xlfn.XLOOKUP(F452,品番!B:B,品番!G:G)</f>
        <v>L6E</v>
      </c>
      <c r="C452" s="189" t="str">
        <f>_xlfn.XLOOKUP(F452,品番!B:B,品番!C:C)</f>
        <v>コントローラ</v>
      </c>
      <c r="D452" s="189" t="str">
        <f>_xlfn.XLOOKUP(F452,品番!B:B,品番!D:D)</f>
        <v>メイン</v>
      </c>
      <c r="E452" s="179">
        <v>55511</v>
      </c>
      <c r="F452" s="180" t="s">
        <v>208</v>
      </c>
      <c r="G452" s="181">
        <v>1</v>
      </c>
      <c r="H452" s="122" t="s">
        <v>445</v>
      </c>
      <c r="I452" s="122" t="s">
        <v>47</v>
      </c>
      <c r="J452" s="122" t="s">
        <v>47</v>
      </c>
      <c r="M452" s="266" t="str" cm="1">
        <f t="array" ref="M452">_xlfn.TEXTJOIN(",", TRUE, _xlfn._xlws.FILTER(適用号機!D:D, (適用号機!B:B=改定!F452)*(適用号機!C:C=改定!G452), ""))</f>
        <v>L6E,	L6E2</v>
      </c>
      <c r="N452" s="142" t="str">
        <f t="shared" si="8"/>
        <v>06642-00175-01</v>
      </c>
      <c r="O452" s="122" t="s">
        <v>1702</v>
      </c>
    </row>
    <row r="453" spans="1:16">
      <c r="A453" s="142" t="s">
        <v>225</v>
      </c>
      <c r="B453" s="189" t="str">
        <f>_xlfn.XLOOKUP(F453,品番!B:B,品番!G:G)</f>
        <v>L8EV</v>
      </c>
      <c r="C453" s="189" t="str">
        <f>_xlfn.XLOOKUP(F453,品番!B:B,品番!C:C)</f>
        <v>コントローラ</v>
      </c>
      <c r="D453" s="189" t="str">
        <f>_xlfn.XLOOKUP(F453,品番!B:B,品番!D:D)</f>
        <v>メイン</v>
      </c>
      <c r="E453" s="179">
        <v>52057</v>
      </c>
      <c r="F453" s="180" t="s">
        <v>469</v>
      </c>
      <c r="G453" s="181">
        <v>0</v>
      </c>
      <c r="H453" s="135"/>
      <c r="K453" s="182" t="s">
        <v>470</v>
      </c>
      <c r="L453" s="122" t="s">
        <v>231</v>
      </c>
      <c r="M453" s="266" t="str" cm="1">
        <f t="array" ref="M453">_xlfn.TEXTJOIN(",", TRUE, _xlfn._xlws.FILTER(適用号機!D:D, (適用号機!B:B=改定!F453)*(適用号機!C:C=改定!G453), ""))</f>
        <v xml:space="preserve">	L8EV</v>
      </c>
      <c r="N453" s="142" t="str">
        <f t="shared" si="8"/>
        <v>06842-00220-00</v>
      </c>
      <c r="O453" s="122" t="s">
        <v>1702</v>
      </c>
      <c r="P453"/>
    </row>
    <row r="454" spans="1:16">
      <c r="A454" s="142" t="s">
        <v>225</v>
      </c>
      <c r="B454" s="189" t="str">
        <f>_xlfn.XLOOKUP(F454,品番!B:B,品番!G:G)</f>
        <v>L8EV</v>
      </c>
      <c r="C454" s="189" t="str">
        <f>_xlfn.XLOOKUP(F454,品番!B:B,品番!C:C)</f>
        <v>コントローラ</v>
      </c>
      <c r="D454" s="189" t="str">
        <f>_xlfn.XLOOKUP(F454,品番!B:B,品番!D:D)</f>
        <v>メイン</v>
      </c>
      <c r="E454" s="179">
        <v>55511</v>
      </c>
      <c r="F454" s="180" t="s">
        <v>230</v>
      </c>
      <c r="G454" s="181">
        <v>1</v>
      </c>
      <c r="H454" s="135" t="s">
        <v>471</v>
      </c>
      <c r="M454" s="266" t="str" cm="1">
        <f t="array" ref="M454">_xlfn.TEXTJOIN(",", TRUE, _xlfn._xlws.FILTER(適用号機!D:D, (適用号機!B:B=改定!F454)*(適用号機!C:C=改定!G454), ""))</f>
        <v xml:space="preserve">	L8EV</v>
      </c>
      <c r="N454" s="142" t="str">
        <f t="shared" si="8"/>
        <v>06842-00220-01</v>
      </c>
      <c r="O454" s="122" t="s">
        <v>1702</v>
      </c>
    </row>
    <row r="455" spans="1:16">
      <c r="A455" s="142" t="s">
        <v>225</v>
      </c>
      <c r="B455" s="189" t="str">
        <f>_xlfn.XLOOKUP(F455,品番!B:B,品番!G:G)</f>
        <v>L8EV</v>
      </c>
      <c r="C455" s="189" t="str">
        <f>_xlfn.XLOOKUP(F455,品番!B:B,品番!C:C)</f>
        <v>コントローラ</v>
      </c>
      <c r="D455" s="189" t="str">
        <f>_xlfn.XLOOKUP(F455,品番!B:B,品番!D:D)</f>
        <v>メイン</v>
      </c>
      <c r="E455" s="179">
        <v>52999</v>
      </c>
      <c r="F455" s="180" t="s">
        <v>466</v>
      </c>
      <c r="G455" s="181">
        <v>0</v>
      </c>
      <c r="H455" s="135"/>
      <c r="K455" s="182" t="s">
        <v>467</v>
      </c>
      <c r="L455" s="122" t="s">
        <v>227</v>
      </c>
      <c r="M455" s="266" t="str" cm="1">
        <f t="array" ref="M455">_xlfn.TEXTJOIN(",", TRUE, _xlfn._xlws.FILTER(適用号機!D:D, (適用号機!B:B=改定!F455)*(適用号機!C:C=改定!G455), ""))</f>
        <v>L8EV2,	L8EV</v>
      </c>
      <c r="N455" s="142" t="str">
        <f t="shared" si="8"/>
        <v>06842-00230-00</v>
      </c>
      <c r="O455" s="122" t="s">
        <v>1702</v>
      </c>
    </row>
    <row r="456" spans="1:16">
      <c r="A456" s="142" t="s">
        <v>225</v>
      </c>
      <c r="B456" s="189" t="str">
        <f>_xlfn.XLOOKUP(F456,品番!B:B,品番!G:G)</f>
        <v>L8EV</v>
      </c>
      <c r="C456" s="189" t="str">
        <f>_xlfn.XLOOKUP(F456,品番!B:B,品番!C:C)</f>
        <v>コントローラ</v>
      </c>
      <c r="D456" s="189" t="str">
        <f>_xlfn.XLOOKUP(F456,品番!B:B,品番!D:D)</f>
        <v>メイン</v>
      </c>
      <c r="E456" s="179">
        <v>53228</v>
      </c>
      <c r="F456" s="180" t="s">
        <v>226</v>
      </c>
      <c r="G456" s="181">
        <v>1</v>
      </c>
      <c r="H456" s="135"/>
      <c r="K456" s="185"/>
      <c r="M456" s="266" t="str" cm="1">
        <f t="array" ref="M456">_xlfn.TEXTJOIN(",", TRUE, _xlfn._xlws.FILTER(適用号機!D:D, (適用号機!B:B=改定!F456)*(適用号機!C:C=改定!G456), ""))</f>
        <v xml:space="preserve">	L8EV2,	L8EV</v>
      </c>
      <c r="N456" s="142" t="str">
        <f t="shared" si="8"/>
        <v>06842-00230-01</v>
      </c>
      <c r="O456" s="122" t="s">
        <v>1702</v>
      </c>
    </row>
    <row r="457" spans="1:16">
      <c r="A457" s="142" t="s">
        <v>225</v>
      </c>
      <c r="B457" s="189" t="str">
        <f>_xlfn.XLOOKUP(F457,品番!B:B,品番!G:G)</f>
        <v>L8EV</v>
      </c>
      <c r="C457" s="189" t="str">
        <f>_xlfn.XLOOKUP(F457,品番!B:B,品番!C:C)</f>
        <v>コントローラ</v>
      </c>
      <c r="D457" s="189" t="str">
        <f>_xlfn.XLOOKUP(F457,品番!B:B,品番!D:D)</f>
        <v>メイン</v>
      </c>
      <c r="E457" s="179">
        <v>53692</v>
      </c>
      <c r="F457" s="180" t="s">
        <v>226</v>
      </c>
      <c r="G457" s="181">
        <v>2</v>
      </c>
      <c r="H457" s="135"/>
      <c r="K457" s="185"/>
      <c r="M457" s="266" t="str" cm="1">
        <f t="array" ref="M457">_xlfn.TEXTJOIN(",", TRUE, _xlfn._xlws.FILTER(適用号機!D:D, (適用号機!B:B=改定!F457)*(適用号機!C:C=改定!G457), ""))</f>
        <v xml:space="preserve">	L8EV,	L8EV2</v>
      </c>
      <c r="N457" s="142" t="str">
        <f t="shared" si="8"/>
        <v>06842-00230-02</v>
      </c>
      <c r="O457" s="122" t="s">
        <v>1702</v>
      </c>
    </row>
    <row r="458" spans="1:16">
      <c r="A458" s="142" t="s">
        <v>225</v>
      </c>
      <c r="B458" s="189" t="str">
        <f>_xlfn.XLOOKUP(F458,品番!B:B,品番!G:G)</f>
        <v>L8EV</v>
      </c>
      <c r="C458" s="189" t="str">
        <f>_xlfn.XLOOKUP(F458,品番!B:B,品番!C:C)</f>
        <v>コントローラ</v>
      </c>
      <c r="D458" s="189" t="str">
        <f>_xlfn.XLOOKUP(F458,品番!B:B,品番!D:D)</f>
        <v>メイン</v>
      </c>
      <c r="E458" s="179">
        <v>54287</v>
      </c>
      <c r="F458" s="180" t="s">
        <v>226</v>
      </c>
      <c r="G458" s="181">
        <v>3</v>
      </c>
      <c r="H458" s="135"/>
      <c r="K458" s="185"/>
      <c r="M458" s="266" t="str" cm="1">
        <f t="array" ref="M458">_xlfn.TEXTJOIN(",", TRUE, _xlfn._xlws.FILTER(適用号機!D:D, (適用号機!B:B=改定!F458)*(適用号機!C:C=改定!G458), ""))</f>
        <v>L8EV2,	L8EV</v>
      </c>
      <c r="N458" s="142" t="str">
        <f t="shared" si="8"/>
        <v>06842-00230-03</v>
      </c>
      <c r="O458" s="122" t="s">
        <v>1702</v>
      </c>
    </row>
    <row r="459" spans="1:16">
      <c r="A459" s="142" t="s">
        <v>225</v>
      </c>
      <c r="B459" s="189" t="str">
        <f>_xlfn.XLOOKUP(F459,品番!B:B,品番!G:G)</f>
        <v>L8EV</v>
      </c>
      <c r="C459" s="189" t="str">
        <f>_xlfn.XLOOKUP(F459,品番!B:B,品番!C:C)</f>
        <v>コントローラ</v>
      </c>
      <c r="D459" s="189" t="str">
        <f>_xlfn.XLOOKUP(F459,品番!B:B,品番!D:D)</f>
        <v>メイン</v>
      </c>
      <c r="E459" s="179">
        <v>54790</v>
      </c>
      <c r="F459" s="180" t="s">
        <v>226</v>
      </c>
      <c r="G459" s="181">
        <v>4</v>
      </c>
      <c r="H459" s="135"/>
      <c r="K459" s="185"/>
      <c r="M459" s="266" t="str" cm="1">
        <f t="array" ref="M459">_xlfn.TEXTJOIN(",", TRUE, _xlfn._xlws.FILTER(適用号機!D:D, (適用号機!B:B=改定!F459)*(適用号機!C:C=改定!G459), ""))</f>
        <v xml:space="preserve">	L8EV,	L8EV2</v>
      </c>
      <c r="N459" s="142" t="str">
        <f t="shared" si="8"/>
        <v>06842-00230-04</v>
      </c>
      <c r="O459" s="122" t="s">
        <v>1702</v>
      </c>
      <c r="P459"/>
    </row>
    <row r="460" spans="1:16">
      <c r="A460" s="142" t="s">
        <v>225</v>
      </c>
      <c r="B460" s="189" t="str">
        <f>_xlfn.XLOOKUP(F460,品番!B:B,品番!G:G)</f>
        <v>L8EV</v>
      </c>
      <c r="C460" s="189" t="str">
        <f>_xlfn.XLOOKUP(F460,品番!B:B,品番!C:C)</f>
        <v>コントローラ</v>
      </c>
      <c r="D460" s="189" t="str">
        <f>_xlfn.XLOOKUP(F460,品番!B:B,品番!D:D)</f>
        <v>メイン</v>
      </c>
      <c r="E460" s="179">
        <v>55535</v>
      </c>
      <c r="F460" s="180" t="s">
        <v>226</v>
      </c>
      <c r="G460" s="181">
        <v>5</v>
      </c>
      <c r="H460" s="135" t="s">
        <v>310</v>
      </c>
      <c r="I460" s="122" t="s">
        <v>47</v>
      </c>
      <c r="J460" s="122" t="s">
        <v>47</v>
      </c>
      <c r="M460" s="266" t="str" cm="1">
        <f t="array" ref="M460">_xlfn.TEXTJOIN(",", TRUE, _xlfn._xlws.FILTER(適用号機!D:D, (適用号機!B:B=改定!F460)*(適用号機!C:C=改定!G460), ""))</f>
        <v xml:space="preserve">	L8EV,L8EV2</v>
      </c>
      <c r="N460" s="142" t="str">
        <f t="shared" si="8"/>
        <v>06842-00230-05</v>
      </c>
      <c r="O460" s="122" t="s">
        <v>1702</v>
      </c>
    </row>
    <row r="461" spans="1:16">
      <c r="A461" s="142" t="s">
        <v>225</v>
      </c>
      <c r="B461" s="189" t="str">
        <f>_xlfn.XLOOKUP(F461,品番!B:B,品番!G:G)</f>
        <v>L8EV</v>
      </c>
      <c r="C461" s="189" t="str">
        <f>_xlfn.XLOOKUP(F461,品番!B:B,品番!C:C)</f>
        <v>コントローラ</v>
      </c>
      <c r="D461" s="189" t="str">
        <f>_xlfn.XLOOKUP(F461,品番!B:B,品番!D:D)</f>
        <v>メイン</v>
      </c>
      <c r="E461" s="179">
        <v>52999</v>
      </c>
      <c r="F461" s="180" t="s">
        <v>228</v>
      </c>
      <c r="G461" s="181">
        <v>0</v>
      </c>
      <c r="H461" s="135" t="s">
        <v>437</v>
      </c>
      <c r="K461" s="182" t="s">
        <v>468</v>
      </c>
      <c r="L461" s="122" t="s">
        <v>229</v>
      </c>
      <c r="M461" s="266" t="str" cm="1">
        <f t="array" ref="M461">_xlfn.TEXTJOIN(",", TRUE, _xlfn._xlws.FILTER(適用号機!D:D, (適用号機!B:B=改定!F461)*(適用号機!C:C=改定!G461), ""))</f>
        <v>L8EV2,	L8EV</v>
      </c>
      <c r="N461" s="142" t="str">
        <f t="shared" si="8"/>
        <v>06842-00234-00</v>
      </c>
      <c r="O461" s="122" t="s">
        <v>1702</v>
      </c>
    </row>
    <row r="462" spans="1:16">
      <c r="A462" s="142" t="s">
        <v>232</v>
      </c>
      <c r="B462" s="189" t="str">
        <f>_xlfn.XLOOKUP(F462,品番!B:B,品番!G:G)</f>
        <v>L85G</v>
      </c>
      <c r="C462" s="189" t="str">
        <f>_xlfn.XLOOKUP(F462,品番!B:B,品番!C:C)</f>
        <v>コントローラ</v>
      </c>
      <c r="D462" s="189" t="str">
        <f>_xlfn.XLOOKUP(F462,品番!B:B,品番!D:D)</f>
        <v>メイン</v>
      </c>
      <c r="E462" s="179">
        <v>54332</v>
      </c>
      <c r="F462" s="180" t="s">
        <v>233</v>
      </c>
      <c r="G462" s="181">
        <v>0</v>
      </c>
      <c r="H462" s="135"/>
      <c r="M462" s="266" t="str" cm="1">
        <f t="array" ref="M462">_xlfn.TEXTJOIN(",", TRUE, _xlfn._xlws.FILTER(適用号機!D:D, (適用号機!B:B=改定!F462)*(適用号機!C:C=改定!G462), ""))</f>
        <v xml:space="preserve">	L85G</v>
      </c>
      <c r="N462" s="142" t="str">
        <f t="shared" si="8"/>
        <v>06842-00258-00</v>
      </c>
      <c r="O462" s="122" t="s">
        <v>1702</v>
      </c>
    </row>
    <row r="463" spans="1:16">
      <c r="A463" s="142" t="s">
        <v>232</v>
      </c>
      <c r="B463" s="189" t="str">
        <f>_xlfn.XLOOKUP(F463,品番!B:B,品番!G:G)</f>
        <v>L85G</v>
      </c>
      <c r="C463" s="189" t="str">
        <f>_xlfn.XLOOKUP(F463,品番!B:B,品番!C:C)</f>
        <v>コントローラ</v>
      </c>
      <c r="D463" s="189" t="str">
        <f>_xlfn.XLOOKUP(F463,品番!B:B,品番!D:D)</f>
        <v>メイン</v>
      </c>
      <c r="E463" s="179">
        <v>61086</v>
      </c>
      <c r="F463" s="180" t="s">
        <v>233</v>
      </c>
      <c r="G463" s="181">
        <v>1</v>
      </c>
      <c r="H463" s="135"/>
      <c r="M463" s="266" t="str" cm="1">
        <f t="array" ref="M463">_xlfn.TEXTJOIN(",", TRUE, _xlfn._xlws.FILTER(適用号機!D:D, (適用号機!B:B=改定!F463)*(適用号機!C:C=改定!G463), ""))</f>
        <v>L85G</v>
      </c>
      <c r="N463" s="142" t="str">
        <f t="shared" si="8"/>
        <v>06842-00258-01</v>
      </c>
      <c r="O463" s="122" t="s">
        <v>1702</v>
      </c>
    </row>
    <row r="464" spans="1:16">
      <c r="A464" s="142" t="s">
        <v>232</v>
      </c>
      <c r="B464" s="189" t="str">
        <f>_xlfn.XLOOKUP(F464,品番!B:B,品番!G:G)</f>
        <v>L85G</v>
      </c>
      <c r="C464" s="189" t="str">
        <f>_xlfn.XLOOKUP(F464,品番!B:B,品番!C:C)</f>
        <v>コントローラ</v>
      </c>
      <c r="D464" s="189" t="str">
        <f>_xlfn.XLOOKUP(F464,品番!B:B,品番!D:D)</f>
        <v>メイン</v>
      </c>
      <c r="E464" s="179">
        <v>61179</v>
      </c>
      <c r="F464" s="180" t="s">
        <v>233</v>
      </c>
      <c r="G464" s="181">
        <v>2</v>
      </c>
      <c r="H464" s="135"/>
      <c r="M464" s="266" t="str" cm="1">
        <f t="array" ref="M464">_xlfn.TEXTJOIN(",", TRUE, _xlfn._xlws.FILTER(適用号機!D:D, (適用号機!B:B=改定!F464)*(適用号機!C:C=改定!G464), ""))</f>
        <v xml:space="preserve">	L85G</v>
      </c>
      <c r="N464" s="142" t="str">
        <f t="shared" si="8"/>
        <v>06842-00258-02</v>
      </c>
      <c r="O464" s="122" t="s">
        <v>1702</v>
      </c>
    </row>
    <row r="465" spans="1:16">
      <c r="A465" s="142" t="s">
        <v>232</v>
      </c>
      <c r="B465" s="189" t="str">
        <f>_xlfn.XLOOKUP(F465,品番!B:B,品番!G:G)</f>
        <v>L85G</v>
      </c>
      <c r="C465" s="189" t="str">
        <f>_xlfn.XLOOKUP(F465,品番!B:B,品番!C:C)</f>
        <v>コントローラ</v>
      </c>
      <c r="D465" s="189" t="str">
        <f>_xlfn.XLOOKUP(F465,品番!B:B,品番!D:D)</f>
        <v>メイン</v>
      </c>
      <c r="E465" s="179">
        <v>61807</v>
      </c>
      <c r="F465" s="180" t="s">
        <v>233</v>
      </c>
      <c r="G465" s="181">
        <v>3</v>
      </c>
      <c r="H465" s="135"/>
      <c r="M465" s="266" t="str" cm="1">
        <f t="array" ref="M465">_xlfn.TEXTJOIN(",", TRUE, _xlfn._xlws.FILTER(適用号機!D:D, (適用号機!B:B=改定!F465)*(適用号機!C:C=改定!G465), ""))</f>
        <v xml:space="preserve">	L85G</v>
      </c>
      <c r="N465" s="142" t="str">
        <f t="shared" si="8"/>
        <v>06842-00258-03</v>
      </c>
      <c r="O465" s="122" t="s">
        <v>1702</v>
      </c>
    </row>
    <row r="466" spans="1:16">
      <c r="A466" s="142" t="s">
        <v>232</v>
      </c>
      <c r="B466" s="189" t="str">
        <f>_xlfn.XLOOKUP(F466,品番!B:B,品番!G:G)</f>
        <v>L85G</v>
      </c>
      <c r="C466" s="189" t="str">
        <f>_xlfn.XLOOKUP(F466,品番!B:B,品番!C:C)</f>
        <v>コントローラ</v>
      </c>
      <c r="D466" s="189" t="str">
        <f>_xlfn.XLOOKUP(F466,品番!B:B,品番!D:D)</f>
        <v>メイン</v>
      </c>
      <c r="E466" s="179">
        <v>62268</v>
      </c>
      <c r="F466" s="180" t="s">
        <v>233</v>
      </c>
      <c r="G466" s="181">
        <v>4</v>
      </c>
      <c r="H466" s="135"/>
      <c r="M466" s="266" t="str" cm="1">
        <f t="array" ref="M466">_xlfn.TEXTJOIN(",", TRUE, _xlfn._xlws.FILTER(適用号機!D:D, (適用号機!B:B=改定!F466)*(適用号機!C:C=改定!G466), ""))</f>
        <v xml:space="preserve">	L85G</v>
      </c>
      <c r="N466" s="142" t="str">
        <f t="shared" ref="N466:N529" si="9">F466 &amp;"-" &amp; TEXT(G466,"00")</f>
        <v>06842-00258-04</v>
      </c>
      <c r="O466" s="122" t="s">
        <v>1702</v>
      </c>
    </row>
    <row r="467" spans="1:16">
      <c r="A467" s="142" t="s">
        <v>232</v>
      </c>
      <c r="B467" s="189" t="str">
        <f>_xlfn.XLOOKUP(F467,品番!B:B,品番!G:G)</f>
        <v>L85G</v>
      </c>
      <c r="C467" s="189" t="str">
        <f>_xlfn.XLOOKUP(F467,品番!B:B,品番!C:C)</f>
        <v>コントローラ</v>
      </c>
      <c r="D467" s="189" t="str">
        <f>_xlfn.XLOOKUP(F467,品番!B:B,品番!D:D)</f>
        <v>メイン</v>
      </c>
      <c r="E467" s="179">
        <v>62729</v>
      </c>
      <c r="F467" s="180" t="s">
        <v>233</v>
      </c>
      <c r="G467" s="181">
        <v>5</v>
      </c>
      <c r="H467" s="135"/>
      <c r="K467" s="182"/>
      <c r="M467" s="266" t="str" cm="1">
        <f t="array" ref="M467">_xlfn.TEXTJOIN(",", TRUE, _xlfn._xlws.FILTER(適用号機!D:D, (適用号機!B:B=改定!F467)*(適用号機!C:C=改定!G467), ""))</f>
        <v xml:space="preserve">	L85G</v>
      </c>
      <c r="N467" s="142" t="str">
        <f t="shared" si="9"/>
        <v>06842-00258-05</v>
      </c>
      <c r="O467" s="122" t="s">
        <v>1702</v>
      </c>
    </row>
    <row r="468" spans="1:16">
      <c r="A468" s="142" t="s">
        <v>217</v>
      </c>
      <c r="B468" s="189" t="str">
        <f>_xlfn.XLOOKUP(F468,品番!B:B,品番!G:G)</f>
        <v>L8E/L9E</v>
      </c>
      <c r="C468" s="189" t="str">
        <f>_xlfn.XLOOKUP(F468,品番!B:B,品番!C:C)</f>
        <v>コントローラ</v>
      </c>
      <c r="D468" s="189" t="str">
        <f>_xlfn.XLOOKUP(F468,品番!B:B,品番!D:D)</f>
        <v>メイン</v>
      </c>
      <c r="E468" s="179">
        <v>42615</v>
      </c>
      <c r="F468" s="180" t="s">
        <v>218</v>
      </c>
      <c r="G468" s="181">
        <v>0</v>
      </c>
      <c r="H468" s="122" t="s">
        <v>47</v>
      </c>
      <c r="K468" s="142" t="s">
        <v>457</v>
      </c>
      <c r="L468" s="122" t="s">
        <v>219</v>
      </c>
      <c r="M468" s="266" t="str" cm="1">
        <f t="array" ref="M468">_xlfn.TEXTJOIN(",", TRUE, _xlfn._xlws.FILTER(適用号機!D:D, (適用号機!B:B=改定!F468)*(適用号機!C:C=改定!G468), ""))</f>
        <v/>
      </c>
      <c r="N468" s="142" t="str">
        <f t="shared" si="9"/>
        <v>06942-00019-00</v>
      </c>
      <c r="O468" s="122" t="s">
        <v>1702</v>
      </c>
    </row>
    <row r="469" spans="1:16">
      <c r="A469" s="142" t="s">
        <v>217</v>
      </c>
      <c r="B469" s="189" t="str">
        <f>_xlfn.XLOOKUP(F469,品番!B:B,品番!G:G)</f>
        <v>L8E/L9E</v>
      </c>
      <c r="C469" s="189" t="str">
        <f>_xlfn.XLOOKUP(F469,品番!B:B,品番!C:C)</f>
        <v>コントローラ</v>
      </c>
      <c r="D469" s="189" t="str">
        <f>_xlfn.XLOOKUP(F469,品番!B:B,品番!D:D)</f>
        <v>メイン</v>
      </c>
      <c r="E469" s="179">
        <v>45058</v>
      </c>
      <c r="F469" s="180" t="s">
        <v>218</v>
      </c>
      <c r="G469" s="181">
        <v>1</v>
      </c>
      <c r="H469" s="122" t="s">
        <v>47</v>
      </c>
      <c r="K469" s="182"/>
      <c r="M469" s="266" t="str" cm="1">
        <f t="array" ref="M469">_xlfn.TEXTJOIN(",", TRUE, _xlfn._xlws.FILTER(適用号機!D:D, (適用号機!B:B=改定!F469)*(適用号機!C:C=改定!G469), ""))</f>
        <v>L8EV,L9ER,L9EV</v>
      </c>
      <c r="N469" s="142" t="str">
        <f t="shared" si="9"/>
        <v>06942-00019-01</v>
      </c>
      <c r="O469" s="122" t="s">
        <v>1702</v>
      </c>
    </row>
    <row r="470" spans="1:16">
      <c r="A470" s="142" t="s">
        <v>217</v>
      </c>
      <c r="B470" s="189" t="str">
        <f>_xlfn.XLOOKUP(F470,品番!B:B,品番!G:G)</f>
        <v>L8E/L9E</v>
      </c>
      <c r="C470" s="189" t="str">
        <f>_xlfn.XLOOKUP(F470,品番!B:B,品番!C:C)</f>
        <v>コントローラ</v>
      </c>
      <c r="D470" s="189" t="str">
        <f>_xlfn.XLOOKUP(F470,品番!B:B,品番!D:D)</f>
        <v>メイン</v>
      </c>
      <c r="E470" s="179">
        <v>45244</v>
      </c>
      <c r="F470" s="180" t="s">
        <v>218</v>
      </c>
      <c r="G470" s="181">
        <v>2</v>
      </c>
      <c r="H470" s="122" t="s">
        <v>47</v>
      </c>
      <c r="K470" s="182"/>
      <c r="M470" s="266" t="str" cm="1">
        <f t="array" ref="M470">_xlfn.TEXTJOIN(",", TRUE, _xlfn._xlws.FILTER(適用号機!D:D, (適用号機!B:B=改定!F470)*(適用号機!C:C=改定!G470), ""))</f>
        <v>L8EV,L9ER,L9EV</v>
      </c>
      <c r="N470" s="142" t="str">
        <f t="shared" si="9"/>
        <v>06942-00019-02</v>
      </c>
      <c r="O470" s="122" t="s">
        <v>1702</v>
      </c>
    </row>
    <row r="471" spans="1:16">
      <c r="A471" s="142" t="s">
        <v>217</v>
      </c>
      <c r="B471" s="189" t="str">
        <f>_xlfn.XLOOKUP(F471,品番!B:B,品番!G:G)</f>
        <v>L8E/L9E</v>
      </c>
      <c r="C471" s="189" t="str">
        <f>_xlfn.XLOOKUP(F471,品番!B:B,品番!C:C)</f>
        <v>コントローラ</v>
      </c>
      <c r="D471" s="189" t="str">
        <f>_xlfn.XLOOKUP(F471,品番!B:B,品番!D:D)</f>
        <v>メイン</v>
      </c>
      <c r="E471" s="179">
        <v>45342</v>
      </c>
      <c r="F471" s="180" t="s">
        <v>218</v>
      </c>
      <c r="G471" s="181">
        <v>3</v>
      </c>
      <c r="H471" s="122" t="s">
        <v>47</v>
      </c>
      <c r="K471" s="182"/>
      <c r="M471" s="266" t="str" cm="1">
        <f t="array" ref="M471">_xlfn.TEXTJOIN(",", TRUE, _xlfn._xlws.FILTER(適用号機!D:D, (適用号機!B:B=改定!F471)*(適用号機!C:C=改定!G471), ""))</f>
        <v>L8EV,L9ER,L9EV</v>
      </c>
      <c r="N471" s="142" t="str">
        <f t="shared" si="9"/>
        <v>06942-00019-03</v>
      </c>
      <c r="O471" s="122" t="s">
        <v>1702</v>
      </c>
    </row>
    <row r="472" spans="1:16">
      <c r="A472" s="142" t="s">
        <v>217</v>
      </c>
      <c r="B472" s="189" t="str">
        <f>_xlfn.XLOOKUP(F472,品番!B:B,品番!G:G)</f>
        <v>L8E/L9E</v>
      </c>
      <c r="C472" s="189" t="str">
        <f>_xlfn.XLOOKUP(F472,品番!B:B,品番!C:C)</f>
        <v>コントローラ</v>
      </c>
      <c r="D472" s="189" t="str">
        <f>_xlfn.XLOOKUP(F472,品番!B:B,品番!D:D)</f>
        <v>メイン</v>
      </c>
      <c r="E472" s="179">
        <v>45444</v>
      </c>
      <c r="F472" s="180" t="s">
        <v>218</v>
      </c>
      <c r="G472" s="181">
        <v>4</v>
      </c>
      <c r="H472" s="122" t="s">
        <v>47</v>
      </c>
      <c r="K472" s="182"/>
      <c r="M472" s="266" t="str" cm="1">
        <f t="array" ref="M472">_xlfn.TEXTJOIN(",", TRUE, _xlfn._xlws.FILTER(適用号機!D:D, (適用号機!B:B=改定!F472)*(適用号機!C:C=改定!G472), ""))</f>
        <v>L8EV,L9ER,L9EV</v>
      </c>
      <c r="N472" s="142" t="str">
        <f t="shared" si="9"/>
        <v>06942-00019-04</v>
      </c>
      <c r="O472" s="122" t="s">
        <v>1702</v>
      </c>
    </row>
    <row r="473" spans="1:16">
      <c r="A473" s="142" t="s">
        <v>217</v>
      </c>
      <c r="B473" s="189" t="str">
        <f>_xlfn.XLOOKUP(F473,品番!B:B,品番!G:G)</f>
        <v>L8E/L9E</v>
      </c>
      <c r="C473" s="189" t="str">
        <f>_xlfn.XLOOKUP(F473,品番!B:B,品番!C:C)</f>
        <v>コントローラ</v>
      </c>
      <c r="D473" s="189" t="str">
        <f>_xlfn.XLOOKUP(F473,品番!B:B,品番!D:D)</f>
        <v>メイン</v>
      </c>
      <c r="E473" s="179">
        <v>45719</v>
      </c>
      <c r="F473" s="180" t="s">
        <v>218</v>
      </c>
      <c r="G473" s="181">
        <v>5</v>
      </c>
      <c r="H473" s="122" t="s">
        <v>47</v>
      </c>
      <c r="K473" s="182"/>
      <c r="M473" s="266" t="str" cm="1">
        <f t="array" ref="M473">_xlfn.TEXTJOIN(",", TRUE, _xlfn._xlws.FILTER(適用号機!D:D, (適用号機!B:B=改定!F473)*(適用号機!C:C=改定!G473), ""))</f>
        <v>L9EV,L8EV,L9ER</v>
      </c>
      <c r="N473" s="142" t="str">
        <f t="shared" si="9"/>
        <v>06942-00019-05</v>
      </c>
      <c r="O473" s="122" t="s">
        <v>1702</v>
      </c>
    </row>
    <row r="474" spans="1:16">
      <c r="A474" s="142" t="s">
        <v>217</v>
      </c>
      <c r="B474" s="189" t="str">
        <f>_xlfn.XLOOKUP(F474,品番!B:B,品番!G:G)</f>
        <v>L8E/L9E</v>
      </c>
      <c r="C474" s="189" t="str">
        <f>_xlfn.XLOOKUP(F474,品番!B:B,品番!C:C)</f>
        <v>コントローラ</v>
      </c>
      <c r="D474" s="189" t="str">
        <f>_xlfn.XLOOKUP(F474,品番!B:B,品番!D:D)</f>
        <v>メイン</v>
      </c>
      <c r="E474" s="179">
        <v>46316</v>
      </c>
      <c r="F474" s="180" t="s">
        <v>218</v>
      </c>
      <c r="G474" s="181">
        <v>6</v>
      </c>
      <c r="H474" s="122" t="s">
        <v>47</v>
      </c>
      <c r="K474" s="182"/>
      <c r="M474" s="266" t="str" cm="1">
        <f t="array" ref="M474">_xlfn.TEXTJOIN(",", TRUE, _xlfn._xlws.FILTER(適用号機!D:D, (適用号機!B:B=改定!F474)*(適用号機!C:C=改定!G474), ""))</f>
        <v>L9EV,L8EV,L9ER</v>
      </c>
      <c r="N474" s="142" t="str">
        <f t="shared" si="9"/>
        <v>06942-00019-06</v>
      </c>
      <c r="O474" s="122" t="s">
        <v>1702</v>
      </c>
    </row>
    <row r="475" spans="1:16">
      <c r="A475" s="142" t="s">
        <v>217</v>
      </c>
      <c r="B475" s="189" t="str">
        <f>_xlfn.XLOOKUP(F475,品番!B:B,品番!G:G)</f>
        <v>L8E/L9E</v>
      </c>
      <c r="C475" s="189" t="str">
        <f>_xlfn.XLOOKUP(F475,品番!B:B,品番!C:C)</f>
        <v>コントローラ</v>
      </c>
      <c r="D475" s="189" t="str">
        <f>_xlfn.XLOOKUP(F475,品番!B:B,品番!D:D)</f>
        <v>メイン</v>
      </c>
      <c r="E475" s="179">
        <v>46947</v>
      </c>
      <c r="F475" s="180" t="s">
        <v>218</v>
      </c>
      <c r="G475" s="181">
        <v>7</v>
      </c>
      <c r="H475" s="122" t="s">
        <v>47</v>
      </c>
      <c r="K475" s="182"/>
      <c r="M475" s="266" t="str" cm="1">
        <f t="array" ref="M475">_xlfn.TEXTJOIN(",", TRUE, _xlfn._xlws.FILTER(適用号機!D:D, (適用号機!B:B=改定!F475)*(適用号機!C:C=改定!G475), ""))</f>
        <v>L8EV,L9EV,L9ER</v>
      </c>
      <c r="N475" s="142" t="str">
        <f t="shared" si="9"/>
        <v>06942-00019-07</v>
      </c>
      <c r="O475" s="122" t="s">
        <v>1702</v>
      </c>
    </row>
    <row r="476" spans="1:16">
      <c r="A476" s="142" t="s">
        <v>217</v>
      </c>
      <c r="B476" s="189" t="str">
        <f>_xlfn.XLOOKUP(F476,品番!B:B,品番!G:G)</f>
        <v>L8E/L9E</v>
      </c>
      <c r="C476" s="189" t="str">
        <f>_xlfn.XLOOKUP(F476,品番!B:B,品番!C:C)</f>
        <v>コントローラ</v>
      </c>
      <c r="D476" s="189" t="str">
        <f>_xlfn.XLOOKUP(F476,品番!B:B,品番!D:D)</f>
        <v>メイン</v>
      </c>
      <c r="E476" s="179">
        <v>47097</v>
      </c>
      <c r="F476" s="180" t="s">
        <v>218</v>
      </c>
      <c r="G476" s="181">
        <v>8</v>
      </c>
      <c r="H476" s="122" t="s">
        <v>47</v>
      </c>
      <c r="K476" s="182"/>
      <c r="M476" s="266" t="str" cm="1">
        <f t="array" ref="M476">_xlfn.TEXTJOIN(",", TRUE, _xlfn._xlws.FILTER(適用号機!D:D, (適用号機!B:B=改定!F476)*(適用号機!C:C=改定!G476), ""))</f>
        <v>L8EV,L9EV,L9ER</v>
      </c>
      <c r="N476" s="142" t="str">
        <f t="shared" si="9"/>
        <v>06942-00019-08</v>
      </c>
      <c r="O476" s="122" t="s">
        <v>1702</v>
      </c>
    </row>
    <row r="477" spans="1:16">
      <c r="A477" s="142" t="s">
        <v>217</v>
      </c>
      <c r="B477" s="189" t="str">
        <f>_xlfn.XLOOKUP(F477,品番!B:B,品番!G:G)</f>
        <v>L8E/L9E</v>
      </c>
      <c r="C477" s="189" t="str">
        <f>_xlfn.XLOOKUP(F477,品番!B:B,品番!C:C)</f>
        <v>コントローラ</v>
      </c>
      <c r="D477" s="189" t="str">
        <f>_xlfn.XLOOKUP(F477,品番!B:B,品番!D:D)</f>
        <v>メイン</v>
      </c>
      <c r="E477" s="179">
        <v>47519</v>
      </c>
      <c r="F477" s="180" t="s">
        <v>218</v>
      </c>
      <c r="G477" s="181">
        <v>9</v>
      </c>
      <c r="H477" s="122" t="s">
        <v>47</v>
      </c>
      <c r="K477" s="182"/>
      <c r="M477" s="266" t="str" cm="1">
        <f t="array" ref="M477">_xlfn.TEXTJOIN(",", TRUE, _xlfn._xlws.FILTER(適用号機!D:D, (適用号機!B:B=改定!F477)*(適用号機!C:C=改定!G477), ""))</f>
        <v/>
      </c>
      <c r="N477" s="142" t="str">
        <f t="shared" si="9"/>
        <v>06942-00019-09</v>
      </c>
      <c r="O477" s="122" t="s">
        <v>1702</v>
      </c>
    </row>
    <row r="478" spans="1:16">
      <c r="A478" s="142" t="s">
        <v>217</v>
      </c>
      <c r="B478" s="189" t="str">
        <f>_xlfn.XLOOKUP(F478,品番!B:B,品番!G:G)</f>
        <v>L8E/L9E</v>
      </c>
      <c r="C478" s="189" t="str">
        <f>_xlfn.XLOOKUP(F478,品番!B:B,品番!C:C)</f>
        <v>コントローラ</v>
      </c>
      <c r="D478" s="189" t="str">
        <f>_xlfn.XLOOKUP(F478,品番!B:B,品番!D:D)</f>
        <v>メイン</v>
      </c>
      <c r="E478" s="179">
        <v>48774</v>
      </c>
      <c r="F478" s="180" t="s">
        <v>218</v>
      </c>
      <c r="G478" s="181">
        <v>10</v>
      </c>
      <c r="H478" s="122" t="s">
        <v>1419</v>
      </c>
      <c r="K478" s="182"/>
      <c r="M478" s="266" t="str" cm="1">
        <f t="array" ref="M478">_xlfn.TEXTJOIN(",", TRUE, _xlfn._xlws.FILTER(適用号機!D:D, (適用号機!B:B=改定!F478)*(適用号機!C:C=改定!G478), ""))</f>
        <v xml:space="preserve">	L8EV,	L9EV,L9ER</v>
      </c>
      <c r="N478" s="142" t="str">
        <f t="shared" si="9"/>
        <v>06942-00019-10</v>
      </c>
      <c r="O478" s="122" t="s">
        <v>1702</v>
      </c>
    </row>
    <row r="479" spans="1:16">
      <c r="A479" s="142" t="s">
        <v>217</v>
      </c>
      <c r="B479" s="189" t="str">
        <f>_xlfn.XLOOKUP(F479,品番!B:B,品番!G:G)</f>
        <v>L8E/L9E</v>
      </c>
      <c r="C479" s="189" t="str">
        <f>_xlfn.XLOOKUP(F479,品番!B:B,品番!C:C)</f>
        <v>コントローラ</v>
      </c>
      <c r="D479" s="189" t="str">
        <f>_xlfn.XLOOKUP(F479,品番!B:B,品番!D:D)</f>
        <v>メイン</v>
      </c>
      <c r="E479" s="179">
        <v>51842</v>
      </c>
      <c r="F479" s="180" t="s">
        <v>218</v>
      </c>
      <c r="G479" s="181">
        <v>11</v>
      </c>
      <c r="H479" s="122" t="s">
        <v>1420</v>
      </c>
      <c r="M479" s="266" t="str" cm="1">
        <f t="array" ref="M479">_xlfn.TEXTJOIN(",", TRUE, _xlfn._xlws.FILTER(適用号機!D:D, (適用号機!B:B=改定!F479)*(適用号機!C:C=改定!G479), ""))</f>
        <v xml:space="preserve">	L9EV,	L8EV,	L9ER</v>
      </c>
      <c r="N479" s="142" t="str">
        <f t="shared" si="9"/>
        <v>06942-00019-11</v>
      </c>
      <c r="O479" s="122" t="s">
        <v>1702</v>
      </c>
      <c r="P479"/>
    </row>
    <row r="480" spans="1:16">
      <c r="A480" s="142" t="s">
        <v>217</v>
      </c>
      <c r="B480" s="189" t="str">
        <f>_xlfn.XLOOKUP(F480,品番!B:B,品番!G:G)</f>
        <v>L8E/L9E</v>
      </c>
      <c r="C480" s="189" t="str">
        <f>_xlfn.XLOOKUP(F480,品番!B:B,品番!C:C)</f>
        <v>コントローラ</v>
      </c>
      <c r="D480" s="189" t="str">
        <f>_xlfn.XLOOKUP(F480,品番!B:B,品番!D:D)</f>
        <v>メイン</v>
      </c>
      <c r="E480" s="179">
        <v>55511</v>
      </c>
      <c r="F480" s="180" t="s">
        <v>218</v>
      </c>
      <c r="G480" s="181">
        <v>12</v>
      </c>
      <c r="H480" s="122" t="s">
        <v>458</v>
      </c>
      <c r="I480" s="122" t="s">
        <v>47</v>
      </c>
      <c r="J480" s="122" t="s">
        <v>47</v>
      </c>
      <c r="M480" s="266" t="str" cm="1">
        <f t="array" ref="M480">_xlfn.TEXTJOIN(",", TRUE, _xlfn._xlws.FILTER(適用号機!D:D, (適用号機!B:B=改定!F480)*(適用号機!C:C=改定!G480), ""))</f>
        <v>L9EV,	L8EV,	L9ER</v>
      </c>
      <c r="N480" s="142" t="str">
        <f t="shared" si="9"/>
        <v>06942-00019-12</v>
      </c>
      <c r="O480" s="122" t="s">
        <v>1702</v>
      </c>
    </row>
    <row r="481" spans="1:16">
      <c r="A481" s="142" t="s">
        <v>217</v>
      </c>
      <c r="B481" s="189" t="str">
        <f>_xlfn.XLOOKUP(F481,品番!B:B,品番!G:G)</f>
        <v>L8E/L9E</v>
      </c>
      <c r="C481" s="189" t="str">
        <f>_xlfn.XLOOKUP(F481,品番!B:B,品番!C:C)</f>
        <v>コントローラ</v>
      </c>
      <c r="D481" s="189" t="str">
        <f>_xlfn.XLOOKUP(F481,品番!B:B,品番!D:D)</f>
        <v>メイン</v>
      </c>
      <c r="E481" s="179">
        <v>42615</v>
      </c>
      <c r="F481" s="180" t="s">
        <v>223</v>
      </c>
      <c r="G481" s="181">
        <v>0</v>
      </c>
      <c r="K481" s="185" t="s">
        <v>464</v>
      </c>
      <c r="L481" s="122" t="s">
        <v>224</v>
      </c>
      <c r="M481" s="266" t="str" cm="1">
        <f t="array" ref="M481">_xlfn.TEXTJOIN(",", TRUE, _xlfn._xlws.FILTER(適用号機!D:D, (適用号機!B:B=改定!F481)*(適用号機!C:C=改定!G481), ""))</f>
        <v/>
      </c>
      <c r="N481" s="142" t="str">
        <f t="shared" si="9"/>
        <v>06942-00021-00</v>
      </c>
      <c r="O481" s="122" t="s">
        <v>1702</v>
      </c>
    </row>
    <row r="482" spans="1:16">
      <c r="A482" s="142" t="s">
        <v>217</v>
      </c>
      <c r="B482" s="189" t="str">
        <f>_xlfn.XLOOKUP(F482,品番!B:B,品番!G:G)</f>
        <v>L8E/L9E</v>
      </c>
      <c r="C482" s="189" t="str">
        <f>_xlfn.XLOOKUP(F482,品番!B:B,品番!C:C)</f>
        <v>コントローラ</v>
      </c>
      <c r="D482" s="189" t="str">
        <f>_xlfn.XLOOKUP(F482,品番!B:B,品番!D:D)</f>
        <v>メイン</v>
      </c>
      <c r="E482" s="179">
        <v>45611</v>
      </c>
      <c r="F482" s="180" t="s">
        <v>223</v>
      </c>
      <c r="G482" s="181">
        <v>1</v>
      </c>
      <c r="H482" s="135" t="s">
        <v>364</v>
      </c>
      <c r="I482" s="122" t="s">
        <v>47</v>
      </c>
      <c r="J482" s="122" t="s">
        <v>47</v>
      </c>
      <c r="M482" s="266" t="str" cm="1">
        <f t="array" ref="M482">_xlfn.TEXTJOIN(",", TRUE, _xlfn._xlws.FILTER(適用号機!D:D, (適用号機!B:B=改定!F482)*(適用号機!C:C=改定!G482), ""))</f>
        <v>L8EV,L8EV2,L9ER,L9EV,L9ER2,L9EV2</v>
      </c>
      <c r="N482" s="142" t="str">
        <f t="shared" si="9"/>
        <v>06942-00021-01</v>
      </c>
      <c r="O482" s="122" t="s">
        <v>1702</v>
      </c>
    </row>
    <row r="483" spans="1:16">
      <c r="A483" s="142" t="s">
        <v>211</v>
      </c>
      <c r="B483" s="189" t="str">
        <f>_xlfn.XLOOKUP(F483,品番!B:B,品番!G:G)</f>
        <v>L9C</v>
      </c>
      <c r="C483" s="189" t="str">
        <f>_xlfn.XLOOKUP(F483,品番!B:B,品番!C:C)</f>
        <v>コントローラ</v>
      </c>
      <c r="D483" s="189" t="str">
        <f>_xlfn.XLOOKUP(F483,品番!B:B,品番!D:D)</f>
        <v>メイン</v>
      </c>
      <c r="E483" s="179">
        <v>45048</v>
      </c>
      <c r="F483" s="180" t="s">
        <v>212</v>
      </c>
      <c r="G483" s="181">
        <v>0</v>
      </c>
      <c r="K483" s="182" t="s">
        <v>450</v>
      </c>
      <c r="L483" s="122" t="s">
        <v>213</v>
      </c>
      <c r="M483" s="266" t="str" cm="1">
        <f t="array" ref="M483">_xlfn.TEXTJOIN(",", TRUE, _xlfn._xlws.FILTER(適用号機!D:D, (適用号機!B:B=改定!F483)*(適用号機!C:C=改定!G483), ""))</f>
        <v>L9C</v>
      </c>
      <c r="N483" s="142" t="str">
        <f t="shared" si="9"/>
        <v>06942-00234-00</v>
      </c>
      <c r="O483" s="122" t="s">
        <v>1702</v>
      </c>
    </row>
    <row r="484" spans="1:16">
      <c r="A484" s="142" t="s">
        <v>211</v>
      </c>
      <c r="B484" s="189" t="str">
        <f>_xlfn.XLOOKUP(F484,品番!B:B,品番!G:G)</f>
        <v>L9C</v>
      </c>
      <c r="C484" s="189" t="str">
        <f>_xlfn.XLOOKUP(F484,品番!B:B,品番!C:C)</f>
        <v>コントローラ</v>
      </c>
      <c r="D484" s="189" t="str">
        <f>_xlfn.XLOOKUP(F484,品番!B:B,品番!D:D)</f>
        <v>メイン</v>
      </c>
      <c r="E484" s="179">
        <v>55511</v>
      </c>
      <c r="F484" s="180" t="s">
        <v>212</v>
      </c>
      <c r="G484" s="181">
        <v>1</v>
      </c>
      <c r="H484" s="135" t="s">
        <v>277</v>
      </c>
      <c r="I484" s="122" t="s">
        <v>451</v>
      </c>
      <c r="J484" s="122" t="s">
        <v>452</v>
      </c>
      <c r="M484" s="266" t="str" cm="1">
        <f t="array" ref="M484">_xlfn.TEXTJOIN(",", TRUE, _xlfn._xlws.FILTER(適用号機!D:D, (適用号機!B:B=改定!F484)*(適用号機!C:C=改定!G484), ""))</f>
        <v/>
      </c>
      <c r="N484" s="142" t="str">
        <f t="shared" si="9"/>
        <v>06942-00234-01</v>
      </c>
      <c r="O484" s="122" t="s">
        <v>1702</v>
      </c>
    </row>
    <row r="485" spans="1:16">
      <c r="A485" s="142" t="s">
        <v>217</v>
      </c>
      <c r="B485" s="189" t="str">
        <f>_xlfn.XLOOKUP(F485,品番!B:B,品番!G:G)</f>
        <v>L8E/L9E</v>
      </c>
      <c r="C485" s="189" t="str">
        <f>_xlfn.XLOOKUP(F485,品番!B:B,品番!C:C)</f>
        <v>コントローラ</v>
      </c>
      <c r="D485" s="189" t="str">
        <f>_xlfn.XLOOKUP(F485,品番!B:B,品番!D:D)</f>
        <v>メイン</v>
      </c>
      <c r="E485" s="179">
        <v>45102</v>
      </c>
      <c r="F485" s="180" t="s">
        <v>220</v>
      </c>
      <c r="G485" s="181">
        <v>0</v>
      </c>
      <c r="K485" s="142" t="s">
        <v>460</v>
      </c>
      <c r="L485" s="122" t="s">
        <v>219</v>
      </c>
      <c r="M485" s="266" t="str" cm="1">
        <f t="array" ref="M485">_xlfn.TEXTJOIN(",", TRUE, _xlfn._xlws.FILTER(適用号機!D:D, (適用号機!B:B=改定!F485)*(適用号機!C:C=改定!G485), ""))</f>
        <v>L8EV,L9ER,L9EV</v>
      </c>
      <c r="N485" s="142" t="str">
        <f t="shared" si="9"/>
        <v>06942-00290-00</v>
      </c>
      <c r="O485" s="122" t="s">
        <v>1702</v>
      </c>
    </row>
    <row r="486" spans="1:16">
      <c r="A486" s="142" t="s">
        <v>217</v>
      </c>
      <c r="B486" s="189" t="str">
        <f>_xlfn.XLOOKUP(F486,品番!B:B,品番!G:G)</f>
        <v>L8E/L9E</v>
      </c>
      <c r="C486" s="189" t="str">
        <f>_xlfn.XLOOKUP(F486,品番!B:B,品番!C:C)</f>
        <v>コントローラ</v>
      </c>
      <c r="D486" s="189" t="str">
        <f>_xlfn.XLOOKUP(F486,品番!B:B,品番!D:D)</f>
        <v>メイン</v>
      </c>
      <c r="E486" s="179">
        <v>45611</v>
      </c>
      <c r="F486" s="180" t="s">
        <v>220</v>
      </c>
      <c r="G486" s="181">
        <v>1</v>
      </c>
      <c r="M486" s="266" t="str" cm="1">
        <f t="array" ref="M486">_xlfn.TEXTJOIN(",", TRUE, _xlfn._xlws.FILTER(適用号機!D:D, (適用号機!B:B=改定!F486)*(適用号機!C:C=改定!G486), ""))</f>
        <v>L8EV,L9ER,L9EV</v>
      </c>
      <c r="N486" s="142" t="str">
        <f t="shared" si="9"/>
        <v>06942-00290-01</v>
      </c>
      <c r="O486" s="122" t="s">
        <v>1702</v>
      </c>
    </row>
    <row r="487" spans="1:16">
      <c r="A487" s="142" t="s">
        <v>217</v>
      </c>
      <c r="B487" s="189" t="str">
        <f>_xlfn.XLOOKUP(F487,品番!B:B,品番!G:G)</f>
        <v>L8E/L9E</v>
      </c>
      <c r="C487" s="189" t="str">
        <f>_xlfn.XLOOKUP(F487,品番!B:B,品番!C:C)</f>
        <v>コントローラ</v>
      </c>
      <c r="D487" s="189" t="str">
        <f>_xlfn.XLOOKUP(F487,品番!B:B,品番!D:D)</f>
        <v>メイン</v>
      </c>
      <c r="E487" s="179">
        <v>45814</v>
      </c>
      <c r="F487" s="180" t="s">
        <v>220</v>
      </c>
      <c r="G487" s="181">
        <v>2</v>
      </c>
      <c r="M487" s="266" t="str" cm="1">
        <f t="array" ref="M487">_xlfn.TEXTJOIN(",", TRUE, _xlfn._xlws.FILTER(適用号機!D:D, (適用号機!B:B=改定!F487)*(適用号機!C:C=改定!G487), ""))</f>
        <v>L8EV,L9EV,L9ER</v>
      </c>
      <c r="N487" s="142" t="str">
        <f t="shared" si="9"/>
        <v>06942-00290-02</v>
      </c>
      <c r="O487" s="122" t="s">
        <v>1702</v>
      </c>
    </row>
    <row r="488" spans="1:16">
      <c r="A488" s="142" t="s">
        <v>217</v>
      </c>
      <c r="B488" s="189" t="str">
        <f>_xlfn.XLOOKUP(F488,品番!B:B,品番!G:G)</f>
        <v>L8E/L9E</v>
      </c>
      <c r="C488" s="189" t="str">
        <f>_xlfn.XLOOKUP(F488,品番!B:B,品番!C:C)</f>
        <v>コントローラ</v>
      </c>
      <c r="D488" s="189" t="str">
        <f>_xlfn.XLOOKUP(F488,品番!B:B,品番!D:D)</f>
        <v>メイン</v>
      </c>
      <c r="E488" s="179">
        <v>46316</v>
      </c>
      <c r="F488" s="180" t="s">
        <v>220</v>
      </c>
      <c r="G488" s="181">
        <v>3</v>
      </c>
      <c r="M488" s="266" t="str" cm="1">
        <f t="array" ref="M488">_xlfn.TEXTJOIN(",", TRUE, _xlfn._xlws.FILTER(適用号機!D:D, (適用号機!B:B=改定!F488)*(適用号機!C:C=改定!G488), ""))</f>
        <v>L9EV,L8EV,L9ER</v>
      </c>
      <c r="N488" s="142" t="str">
        <f t="shared" si="9"/>
        <v>06942-00290-03</v>
      </c>
      <c r="O488" s="122" t="s">
        <v>1702</v>
      </c>
    </row>
    <row r="489" spans="1:16">
      <c r="A489" s="142" t="s">
        <v>217</v>
      </c>
      <c r="B489" s="189" t="str">
        <f>_xlfn.XLOOKUP(F489,品番!B:B,品番!G:G)</f>
        <v>L8E/L9E</v>
      </c>
      <c r="C489" s="189" t="str">
        <f>_xlfn.XLOOKUP(F489,品番!B:B,品番!C:C)</f>
        <v>コントローラ</v>
      </c>
      <c r="D489" s="189" t="str">
        <f>_xlfn.XLOOKUP(F489,品番!B:B,品番!D:D)</f>
        <v>メイン</v>
      </c>
      <c r="E489" s="179">
        <v>46947</v>
      </c>
      <c r="F489" s="180" t="s">
        <v>220</v>
      </c>
      <c r="G489" s="181">
        <v>4</v>
      </c>
      <c r="M489" s="266" t="str" cm="1">
        <f t="array" ref="M489">_xlfn.TEXTJOIN(",", TRUE, _xlfn._xlws.FILTER(適用号機!D:D, (適用号機!B:B=改定!F489)*(適用号機!C:C=改定!G489), ""))</f>
        <v>L8EV,L9EV,L9ER</v>
      </c>
      <c r="N489" s="142" t="str">
        <f t="shared" si="9"/>
        <v>06942-00290-04</v>
      </c>
      <c r="O489" s="122" t="s">
        <v>1702</v>
      </c>
    </row>
    <row r="490" spans="1:16">
      <c r="A490" s="142" t="s">
        <v>217</v>
      </c>
      <c r="B490" s="189" t="str">
        <f>_xlfn.XLOOKUP(F490,品番!B:B,品番!G:G)</f>
        <v>L8E/L9E</v>
      </c>
      <c r="C490" s="189" t="str">
        <f>_xlfn.XLOOKUP(F490,品番!B:B,品番!C:C)</f>
        <v>コントローラ</v>
      </c>
      <c r="D490" s="189" t="str">
        <f>_xlfn.XLOOKUP(F490,品番!B:B,品番!D:D)</f>
        <v>メイン</v>
      </c>
      <c r="E490" s="179">
        <v>47097</v>
      </c>
      <c r="F490" s="180" t="s">
        <v>220</v>
      </c>
      <c r="G490" s="181">
        <v>5</v>
      </c>
      <c r="M490" s="266" t="str" cm="1">
        <f t="array" ref="M490">_xlfn.TEXTJOIN(",", TRUE, _xlfn._xlws.FILTER(適用号機!D:D, (適用号機!B:B=改定!F490)*(適用号機!C:C=改定!G490), ""))</f>
        <v>L8EV,L9EV,L9ER</v>
      </c>
      <c r="N490" s="142" t="str">
        <f t="shared" si="9"/>
        <v>06942-00290-05</v>
      </c>
      <c r="O490" s="122" t="s">
        <v>1702</v>
      </c>
    </row>
    <row r="491" spans="1:16">
      <c r="A491" s="142" t="s">
        <v>217</v>
      </c>
      <c r="B491" s="189" t="str">
        <f>_xlfn.XLOOKUP(F491,品番!B:B,品番!G:G)</f>
        <v>L8E/L9E</v>
      </c>
      <c r="C491" s="189" t="str">
        <f>_xlfn.XLOOKUP(F491,品番!B:B,品番!C:C)</f>
        <v>コントローラ</v>
      </c>
      <c r="D491" s="189" t="str">
        <f>_xlfn.XLOOKUP(F491,品番!B:B,品番!D:D)</f>
        <v>メイン</v>
      </c>
      <c r="E491" s="179">
        <v>47519</v>
      </c>
      <c r="F491" s="180" t="s">
        <v>220</v>
      </c>
      <c r="G491" s="181">
        <v>6</v>
      </c>
      <c r="M491" s="266" t="str" cm="1">
        <f t="array" ref="M491">_xlfn.TEXTJOIN(",", TRUE, _xlfn._xlws.FILTER(適用号機!D:D, (適用号機!B:B=改定!F491)*(適用号機!C:C=改定!G491), ""))</f>
        <v/>
      </c>
      <c r="N491" s="142" t="str">
        <f t="shared" si="9"/>
        <v>06942-00290-06</v>
      </c>
      <c r="O491" s="122" t="s">
        <v>1702</v>
      </c>
    </row>
    <row r="492" spans="1:16">
      <c r="A492" s="142" t="s">
        <v>217</v>
      </c>
      <c r="B492" s="189" t="str">
        <f>_xlfn.XLOOKUP(F492,品番!B:B,品番!G:G)</f>
        <v>L8E/L9E</v>
      </c>
      <c r="C492" s="189" t="str">
        <f>_xlfn.XLOOKUP(F492,品番!B:B,品番!C:C)</f>
        <v>コントローラ</v>
      </c>
      <c r="D492" s="189" t="str">
        <f>_xlfn.XLOOKUP(F492,品番!B:B,品番!D:D)</f>
        <v>メイン</v>
      </c>
      <c r="E492" s="179">
        <v>48774</v>
      </c>
      <c r="F492" s="180" t="s">
        <v>220</v>
      </c>
      <c r="G492" s="181">
        <v>7</v>
      </c>
      <c r="M492" s="266" t="str" cm="1">
        <f t="array" ref="M492">_xlfn.TEXTJOIN(",", TRUE, _xlfn._xlws.FILTER(適用号機!D:D, (適用号機!B:B=改定!F492)*(適用号機!C:C=改定!G492), ""))</f>
        <v xml:space="preserve">	L8EV,	L9EV,L9ER</v>
      </c>
      <c r="N492" s="142" t="str">
        <f t="shared" si="9"/>
        <v>06942-00290-07</v>
      </c>
      <c r="O492" s="122" t="s">
        <v>1702</v>
      </c>
    </row>
    <row r="493" spans="1:16">
      <c r="A493" s="142" t="s">
        <v>217</v>
      </c>
      <c r="B493" s="189" t="str">
        <f>_xlfn.XLOOKUP(F493,品番!B:B,品番!G:G)</f>
        <v>L8E/L9E</v>
      </c>
      <c r="C493" s="189" t="str">
        <f>_xlfn.XLOOKUP(F493,品番!B:B,品番!C:C)</f>
        <v>コントローラ</v>
      </c>
      <c r="D493" s="189" t="str">
        <f>_xlfn.XLOOKUP(F493,品番!B:B,品番!D:D)</f>
        <v>メイン</v>
      </c>
      <c r="E493" s="179">
        <v>51842</v>
      </c>
      <c r="F493" s="180" t="s">
        <v>220</v>
      </c>
      <c r="G493" s="181">
        <v>8</v>
      </c>
      <c r="M493" s="266" t="str" cm="1">
        <f t="array" ref="M493">_xlfn.TEXTJOIN(",", TRUE, _xlfn._xlws.FILTER(適用号機!D:D, (適用号機!B:B=改定!F493)*(適用号機!C:C=改定!G493), ""))</f>
        <v xml:space="preserve">	L9ER,	L9EV</v>
      </c>
      <c r="N493" s="142" t="str">
        <f t="shared" si="9"/>
        <v>06942-00290-08</v>
      </c>
      <c r="O493" s="122" t="s">
        <v>1702</v>
      </c>
      <c r="P493"/>
    </row>
    <row r="494" spans="1:16">
      <c r="A494" s="142" t="s">
        <v>217</v>
      </c>
      <c r="B494" s="189" t="str">
        <f>_xlfn.XLOOKUP(F494,品番!B:B,品番!G:G)</f>
        <v>L8E/L9E</v>
      </c>
      <c r="C494" s="189" t="str">
        <f>_xlfn.XLOOKUP(F494,品番!B:B,品番!C:C)</f>
        <v>コントローラ</v>
      </c>
      <c r="D494" s="189" t="str">
        <f>_xlfn.XLOOKUP(F494,品番!B:B,品番!D:D)</f>
        <v>メイン</v>
      </c>
      <c r="E494" s="179">
        <v>55511</v>
      </c>
      <c r="F494" s="180" t="s">
        <v>220</v>
      </c>
      <c r="G494" s="181">
        <v>9</v>
      </c>
      <c r="H494" s="122" t="s">
        <v>461</v>
      </c>
      <c r="I494" s="122" t="s">
        <v>47</v>
      </c>
      <c r="J494" s="122" t="s">
        <v>47</v>
      </c>
      <c r="M494" s="266" t="str" cm="1">
        <f t="array" ref="M494">_xlfn.TEXTJOIN(",", TRUE, _xlfn._xlws.FILTER(適用号機!D:D, (適用号機!B:B=改定!F494)*(適用号機!C:C=改定!G494), ""))</f>
        <v xml:space="preserve">	L9ER,	L9EV</v>
      </c>
      <c r="N494" s="142" t="str">
        <f t="shared" si="9"/>
        <v>06942-00290-09</v>
      </c>
      <c r="O494" s="122" t="s">
        <v>1702</v>
      </c>
    </row>
    <row r="495" spans="1:16">
      <c r="A495" s="142" t="s">
        <v>211</v>
      </c>
      <c r="B495" s="189" t="str">
        <f>_xlfn.XLOOKUP(F495,品番!B:B,品番!G:G)</f>
        <v>L9C</v>
      </c>
      <c r="C495" s="189" t="str">
        <f>_xlfn.XLOOKUP(F495,品番!B:B,品番!C:C)</f>
        <v>コントローラ</v>
      </c>
      <c r="D495" s="189" t="str">
        <f>_xlfn.XLOOKUP(F495,品番!B:B,品番!D:D)</f>
        <v>メイン</v>
      </c>
      <c r="E495" s="179">
        <v>47627</v>
      </c>
      <c r="F495" s="180" t="s">
        <v>214</v>
      </c>
      <c r="G495" s="181">
        <v>0</v>
      </c>
      <c r="H495" s="135"/>
      <c r="K495" s="182"/>
      <c r="L495" s="122" t="s">
        <v>213</v>
      </c>
      <c r="M495" s="266" t="str" cm="1">
        <f t="array" ref="M495">_xlfn.TEXTJOIN(",", TRUE, _xlfn._xlws.FILTER(適用号機!D:D, (適用号機!B:B=改定!F495)*(適用号機!C:C=改定!G495), ""))</f>
        <v>L9C</v>
      </c>
      <c r="N495" s="142" t="str">
        <f t="shared" si="9"/>
        <v>06942-00365-00</v>
      </c>
      <c r="O495" s="122" t="s">
        <v>1702</v>
      </c>
    </row>
    <row r="496" spans="1:16">
      <c r="A496" s="142" t="s">
        <v>211</v>
      </c>
      <c r="B496" s="189" t="str">
        <f>_xlfn.XLOOKUP(F496,品番!B:B,品番!G:G)</f>
        <v>L9C</v>
      </c>
      <c r="C496" s="189" t="str">
        <f>_xlfn.XLOOKUP(F496,品番!B:B,品番!C:C)</f>
        <v>コントローラ</v>
      </c>
      <c r="D496" s="189" t="str">
        <f>_xlfn.XLOOKUP(F496,品番!B:B,品番!D:D)</f>
        <v>メイン</v>
      </c>
      <c r="E496" s="179">
        <v>55511</v>
      </c>
      <c r="F496" s="180" t="s">
        <v>214</v>
      </c>
      <c r="G496" s="181">
        <v>1</v>
      </c>
      <c r="H496" s="135" t="s">
        <v>453</v>
      </c>
      <c r="I496" s="122" t="s">
        <v>454</v>
      </c>
      <c r="J496" s="122" t="s">
        <v>455</v>
      </c>
      <c r="K496" s="182"/>
      <c r="M496" s="266" t="str" cm="1">
        <f t="array" ref="M496">_xlfn.TEXTJOIN(",", TRUE, _xlfn._xlws.FILTER(適用号機!D:D, (適用号機!B:B=改定!F496)*(適用号機!C:C=改定!G496), ""))</f>
        <v xml:space="preserve">	L9C</v>
      </c>
      <c r="N496" s="142" t="str">
        <f t="shared" si="9"/>
        <v>06942-00365-01</v>
      </c>
      <c r="O496" s="122" t="s">
        <v>1702</v>
      </c>
    </row>
    <row r="497" spans="1:16">
      <c r="A497" s="142" t="s">
        <v>217</v>
      </c>
      <c r="B497" s="189" t="str">
        <f>_xlfn.XLOOKUP(F497,品番!B:B,品番!G:G)</f>
        <v>L8E/L9E</v>
      </c>
      <c r="C497" s="189" t="str">
        <f>_xlfn.XLOOKUP(F497,品番!B:B,品番!C:C)</f>
        <v>コントローラ</v>
      </c>
      <c r="D497" s="189" t="str">
        <f>_xlfn.XLOOKUP(F497,品番!B:B,品番!D:D)</f>
        <v>メイン</v>
      </c>
      <c r="E497" s="179">
        <v>49170</v>
      </c>
      <c r="F497" s="180" t="s">
        <v>221</v>
      </c>
      <c r="G497" s="181">
        <v>0</v>
      </c>
      <c r="K497" s="142" t="s">
        <v>462</v>
      </c>
      <c r="L497" s="122" t="s">
        <v>222</v>
      </c>
      <c r="M497" s="266" t="str" cm="1">
        <f t="array" ref="M497">_xlfn.TEXTJOIN(",", TRUE, _xlfn._xlws.FILTER(適用号機!D:D, (適用号機!B:B=改定!F497)*(適用号機!C:C=改定!G497), ""))</f>
        <v>L8EV2,L8EV,	L9ER,	L9EV,	L9ER2,	L9EV2</v>
      </c>
      <c r="N497" s="142" t="str">
        <f t="shared" si="9"/>
        <v>06942-00371-00</v>
      </c>
      <c r="O497" s="122" t="s">
        <v>1702</v>
      </c>
    </row>
    <row r="498" spans="1:16">
      <c r="A498" s="142" t="s">
        <v>217</v>
      </c>
      <c r="B498" s="189" t="str">
        <f>_xlfn.XLOOKUP(F498,品番!B:B,品番!G:G)</f>
        <v>L8E/L9E</v>
      </c>
      <c r="C498" s="189" t="str">
        <f>_xlfn.XLOOKUP(F498,品番!B:B,品番!C:C)</f>
        <v>コントローラ</v>
      </c>
      <c r="D498" s="189" t="str">
        <f>_xlfn.XLOOKUP(F498,品番!B:B,品番!D:D)</f>
        <v>メイン</v>
      </c>
      <c r="E498" s="179">
        <v>50895</v>
      </c>
      <c r="F498" s="180" t="s">
        <v>221</v>
      </c>
      <c r="G498" s="181">
        <v>1</v>
      </c>
      <c r="M498" s="266" t="str" cm="1">
        <f t="array" ref="M498">_xlfn.TEXTJOIN(",", TRUE, _xlfn._xlws.FILTER(適用号機!D:D, (適用号機!B:B=改定!F498)*(適用号機!C:C=改定!G498), ""))</f>
        <v xml:space="preserve">	L8EV2,L8EV,L9ER,	L9ER2,L9EV,L9EV2</v>
      </c>
      <c r="N498" s="142" t="str">
        <f t="shared" si="9"/>
        <v>06942-00371-01</v>
      </c>
      <c r="O498" s="122" t="s">
        <v>1702</v>
      </c>
      <c r="P498"/>
    </row>
    <row r="499" spans="1:16">
      <c r="A499" s="142" t="s">
        <v>217</v>
      </c>
      <c r="B499" s="189" t="str">
        <f>_xlfn.XLOOKUP(F499,品番!B:B,品番!G:G)</f>
        <v>L8E/L9E</v>
      </c>
      <c r="C499" s="189" t="str">
        <f>_xlfn.XLOOKUP(F499,品番!B:B,品番!C:C)</f>
        <v>コントローラ</v>
      </c>
      <c r="D499" s="189" t="str">
        <f>_xlfn.XLOOKUP(F499,品番!B:B,品番!D:D)</f>
        <v>メイン</v>
      </c>
      <c r="E499" s="179">
        <v>51842</v>
      </c>
      <c r="F499" s="180" t="s">
        <v>221</v>
      </c>
      <c r="G499" s="181">
        <v>2</v>
      </c>
      <c r="M499" s="266" t="str" cm="1">
        <f t="array" ref="M499">_xlfn.TEXTJOIN(",", TRUE, _xlfn._xlws.FILTER(適用号機!D:D, (適用号機!B:B=改定!F499)*(適用号機!C:C=改定!G499), ""))</f>
        <v xml:space="preserve">	L8EV2,	L8EV,L9ER	,	L9ER2	,L9EV,L9EV2</v>
      </c>
      <c r="N499" s="142" t="str">
        <f t="shared" si="9"/>
        <v>06942-00371-02</v>
      </c>
      <c r="O499" s="122" t="s">
        <v>1702</v>
      </c>
      <c r="P499"/>
    </row>
    <row r="500" spans="1:16">
      <c r="A500" s="142" t="s">
        <v>217</v>
      </c>
      <c r="B500" s="189" t="str">
        <f>_xlfn.XLOOKUP(F500,品番!B:B,品番!G:G)</f>
        <v>L8E/L9E</v>
      </c>
      <c r="C500" s="189" t="str">
        <f>_xlfn.XLOOKUP(F500,品番!B:B,品番!C:C)</f>
        <v>コントローラ</v>
      </c>
      <c r="D500" s="189" t="str">
        <f>_xlfn.XLOOKUP(F500,品番!B:B,品番!D:D)</f>
        <v>メイン</v>
      </c>
      <c r="E500" s="179">
        <v>53228</v>
      </c>
      <c r="F500" s="180" t="s">
        <v>221</v>
      </c>
      <c r="G500" s="181">
        <v>3</v>
      </c>
      <c r="M500" s="266" t="str" cm="1">
        <f t="array" ref="M500">_xlfn.TEXTJOIN(",", TRUE, _xlfn._xlws.FILTER(適用号機!D:D, (適用号機!B:B=改定!F500)*(適用号機!C:C=改定!G500), ""))</f>
        <v xml:space="preserve">	L8EV2,	L8EV,L9ER,	L9ER2	,L9EV,	L9EV2	</v>
      </c>
      <c r="N500" s="142" t="str">
        <f t="shared" si="9"/>
        <v>06942-00371-03</v>
      </c>
      <c r="O500" s="122" t="s">
        <v>1702</v>
      </c>
    </row>
    <row r="501" spans="1:16">
      <c r="A501" s="142" t="s">
        <v>217</v>
      </c>
      <c r="B501" s="189" t="str">
        <f>_xlfn.XLOOKUP(F501,品番!B:B,品番!G:G)</f>
        <v>L8E/L9E</v>
      </c>
      <c r="C501" s="189" t="str">
        <f>_xlfn.XLOOKUP(F501,品番!B:B,品番!C:C)</f>
        <v>コントローラ</v>
      </c>
      <c r="D501" s="189" t="str">
        <f>_xlfn.XLOOKUP(F501,品番!B:B,品番!D:D)</f>
        <v>メイン</v>
      </c>
      <c r="E501" s="179">
        <v>54790</v>
      </c>
      <c r="F501" s="180" t="s">
        <v>221</v>
      </c>
      <c r="G501" s="181">
        <v>4</v>
      </c>
      <c r="M501" s="266" t="str" cm="1">
        <f t="array" ref="M501">_xlfn.TEXTJOIN(",", TRUE, _xlfn._xlws.FILTER(適用号機!D:D, (適用号機!B:B=改定!F501)*(適用号機!C:C=改定!G501), ""))</f>
        <v xml:space="preserve">	L9ER,L9ER2,L9EV,	L9EV2</v>
      </c>
      <c r="N501" s="142" t="str">
        <f t="shared" si="9"/>
        <v>06942-00371-04</v>
      </c>
      <c r="O501" s="122" t="s">
        <v>1702</v>
      </c>
      <c r="P501"/>
    </row>
    <row r="502" spans="1:16">
      <c r="A502" s="142" t="s">
        <v>217</v>
      </c>
      <c r="B502" s="189" t="str">
        <f>_xlfn.XLOOKUP(F502,品番!B:B,品番!G:G)</f>
        <v>L8E/L9E</v>
      </c>
      <c r="C502" s="189" t="str">
        <f>_xlfn.XLOOKUP(F502,品番!B:B,品番!C:C)</f>
        <v>コントローラ</v>
      </c>
      <c r="D502" s="189" t="str">
        <f>_xlfn.XLOOKUP(F502,品番!B:B,品番!D:D)</f>
        <v>メイン</v>
      </c>
      <c r="E502" s="179">
        <v>55535</v>
      </c>
      <c r="F502" s="180" t="s">
        <v>221</v>
      </c>
      <c r="G502" s="181">
        <v>5</v>
      </c>
      <c r="H502" s="122" t="s">
        <v>463</v>
      </c>
      <c r="I502" s="122" t="s">
        <v>47</v>
      </c>
      <c r="J502" s="122" t="s">
        <v>47</v>
      </c>
      <c r="M502" s="266" t="str" cm="1">
        <f t="array" ref="M502">_xlfn.TEXTJOIN(",", TRUE, _xlfn._xlws.FILTER(適用号機!D:D, (適用号機!B:B=改定!F502)*(適用号機!C:C=改定!G502), ""))</f>
        <v>L9ER,	L9ER2,	L9EV,	L9EV2</v>
      </c>
      <c r="N502" s="142" t="str">
        <f t="shared" si="9"/>
        <v>06942-00371-05</v>
      </c>
      <c r="O502" s="122" t="s">
        <v>1702</v>
      </c>
    </row>
    <row r="503" spans="1:16">
      <c r="A503" s="142" t="s">
        <v>446</v>
      </c>
      <c r="B503" s="189" t="str">
        <f>_xlfn.XLOOKUP(F503,品番!B:B,品番!G:G)</f>
        <v>L6E/L8C/L9C</v>
      </c>
      <c r="C503" s="189" t="str">
        <f>_xlfn.XLOOKUP(F503,品番!B:B,品番!C:C)</f>
        <v>コントローラ</v>
      </c>
      <c r="D503" s="189" t="str">
        <f>_xlfn.XLOOKUP(F503,品番!B:B,品番!D:D)</f>
        <v>メイン</v>
      </c>
      <c r="E503" s="179">
        <v>33390</v>
      </c>
      <c r="F503" s="180" t="s">
        <v>210</v>
      </c>
      <c r="G503" s="181">
        <v>0</v>
      </c>
      <c r="K503" s="182" t="s">
        <v>187</v>
      </c>
      <c r="M503" s="266" t="str" cm="1">
        <f t="array" ref="M503">_xlfn.TEXTJOIN(",", TRUE, _xlfn._xlws.FILTER(適用号機!D:D, (適用号機!B:B=改定!F503)*(適用号機!C:C=改定!G503), ""))</f>
        <v>L9C</v>
      </c>
      <c r="N503" s="142" t="str">
        <f t="shared" si="9"/>
        <v>06942-05320-00</v>
      </c>
      <c r="O503" s="122" t="s">
        <v>1702</v>
      </c>
    </row>
    <row r="504" spans="1:16">
      <c r="A504" s="142" t="s">
        <v>446</v>
      </c>
      <c r="B504" s="189" t="str">
        <f>_xlfn.XLOOKUP(F504,品番!B:B,品番!G:G)</f>
        <v>L6E/L8C/L9C</v>
      </c>
      <c r="C504" s="189" t="str">
        <f>_xlfn.XLOOKUP(F504,品番!B:B,品番!C:C)</f>
        <v>コントローラ</v>
      </c>
      <c r="D504" s="189" t="str">
        <f>_xlfn.XLOOKUP(F504,品番!B:B,品番!D:D)</f>
        <v>メイン</v>
      </c>
      <c r="E504" s="179">
        <v>33631</v>
      </c>
      <c r="F504" s="180" t="s">
        <v>210</v>
      </c>
      <c r="G504" s="181">
        <v>1</v>
      </c>
      <c r="K504" s="182"/>
      <c r="M504" s="266" t="str" cm="1">
        <f t="array" ref="M504">_xlfn.TEXTJOIN(",", TRUE, _xlfn._xlws.FILTER(適用号機!D:D, (適用号機!B:B=改定!F504)*(適用号機!C:C=改定!G504), ""))</f>
        <v>L8C,L9C</v>
      </c>
      <c r="N504" s="142" t="str">
        <f t="shared" si="9"/>
        <v>06942-05320-01</v>
      </c>
      <c r="O504" s="122" t="s">
        <v>1702</v>
      </c>
    </row>
    <row r="505" spans="1:16">
      <c r="A505" s="142" t="s">
        <v>446</v>
      </c>
      <c r="B505" s="189" t="str">
        <f>_xlfn.XLOOKUP(F505,品番!B:B,品番!G:G)</f>
        <v>L6E/L8C/L9C</v>
      </c>
      <c r="C505" s="189" t="str">
        <f>_xlfn.XLOOKUP(F505,品番!B:B,品番!C:C)</f>
        <v>コントローラ</v>
      </c>
      <c r="D505" s="189" t="str">
        <f>_xlfn.XLOOKUP(F505,品番!B:B,品番!D:D)</f>
        <v>メイン</v>
      </c>
      <c r="E505" s="179">
        <v>40004</v>
      </c>
      <c r="F505" s="180" t="s">
        <v>210</v>
      </c>
      <c r="G505" s="181">
        <v>2</v>
      </c>
      <c r="K505" s="182"/>
      <c r="M505" s="266" t="str" cm="1">
        <f t="array" ref="M505">_xlfn.TEXTJOIN(",", TRUE, _xlfn._xlws.FILTER(適用号機!D:D, (適用号機!B:B=改定!F505)*(適用号機!C:C=改定!G505), ""))</f>
        <v>L8C,L9C</v>
      </c>
      <c r="N505" s="142" t="str">
        <f t="shared" si="9"/>
        <v>06942-05320-02</v>
      </c>
      <c r="O505" s="122" t="s">
        <v>1702</v>
      </c>
    </row>
    <row r="506" spans="1:16">
      <c r="A506" s="142" t="s">
        <v>446</v>
      </c>
      <c r="B506" s="189" t="str">
        <f>_xlfn.XLOOKUP(F506,品番!B:B,品番!G:G)</f>
        <v>L6E/L8C/L9C</v>
      </c>
      <c r="C506" s="189" t="str">
        <f>_xlfn.XLOOKUP(F506,品番!B:B,品番!C:C)</f>
        <v>コントローラ</v>
      </c>
      <c r="D506" s="189" t="str">
        <f>_xlfn.XLOOKUP(F506,品番!B:B,品番!D:D)</f>
        <v>メイン</v>
      </c>
      <c r="E506" s="179">
        <v>40088</v>
      </c>
      <c r="F506" s="180" t="s">
        <v>210</v>
      </c>
      <c r="G506" s="181">
        <v>3</v>
      </c>
      <c r="K506" s="182"/>
      <c r="M506" s="266" t="str" cm="1">
        <f t="array" ref="M506">_xlfn.TEXTJOIN(",", TRUE, _xlfn._xlws.FILTER(適用号機!D:D, (適用号機!B:B=改定!F506)*(適用号機!C:C=改定!G506), ""))</f>
        <v>L8C,L9C</v>
      </c>
      <c r="N506" s="142" t="str">
        <f t="shared" si="9"/>
        <v>06942-05320-03</v>
      </c>
      <c r="O506" s="122" t="s">
        <v>1702</v>
      </c>
    </row>
    <row r="507" spans="1:16">
      <c r="A507" s="142" t="s">
        <v>446</v>
      </c>
      <c r="B507" s="189" t="str">
        <f>_xlfn.XLOOKUP(F507,品番!B:B,品番!G:G)</f>
        <v>L6E/L8C/L9C</v>
      </c>
      <c r="C507" s="189" t="str">
        <f>_xlfn.XLOOKUP(F507,品番!B:B,品番!C:C)</f>
        <v>コントローラ</v>
      </c>
      <c r="D507" s="189" t="str">
        <f>_xlfn.XLOOKUP(F507,品番!B:B,品番!D:D)</f>
        <v>メイン</v>
      </c>
      <c r="E507" s="179">
        <v>40151</v>
      </c>
      <c r="F507" s="180" t="s">
        <v>210</v>
      </c>
      <c r="G507" s="181">
        <v>4</v>
      </c>
      <c r="K507" s="182"/>
      <c r="M507" s="266" t="str" cm="1">
        <f t="array" ref="M507">_xlfn.TEXTJOIN(",", TRUE, _xlfn._xlws.FILTER(適用号機!D:D, (適用号機!B:B=改定!F507)*(適用号機!C:C=改定!G507), ""))</f>
        <v>L8C,L9C</v>
      </c>
      <c r="N507" s="142" t="str">
        <f t="shared" si="9"/>
        <v>06942-05320-04</v>
      </c>
      <c r="O507" s="122" t="s">
        <v>1702</v>
      </c>
    </row>
    <row r="508" spans="1:16">
      <c r="A508" s="142" t="s">
        <v>446</v>
      </c>
      <c r="B508" s="189" t="str">
        <f>_xlfn.XLOOKUP(F508,品番!B:B,品番!G:G)</f>
        <v>L6E/L8C/L9C</v>
      </c>
      <c r="C508" s="189" t="str">
        <f>_xlfn.XLOOKUP(F508,品番!B:B,品番!C:C)</f>
        <v>コントローラ</v>
      </c>
      <c r="D508" s="189" t="str">
        <f>_xlfn.XLOOKUP(F508,品番!B:B,品番!D:D)</f>
        <v>メイン</v>
      </c>
      <c r="E508" s="179">
        <v>40194</v>
      </c>
      <c r="F508" s="180" t="s">
        <v>210</v>
      </c>
      <c r="G508" s="181">
        <v>5</v>
      </c>
      <c r="K508" s="182"/>
      <c r="M508" s="266" t="str" cm="1">
        <f t="array" ref="M508">_xlfn.TEXTJOIN(",", TRUE, _xlfn._xlws.FILTER(適用号機!D:D, (適用号機!B:B=改定!F508)*(適用号機!C:C=改定!G508), ""))</f>
        <v>L8C,L9C</v>
      </c>
      <c r="N508" s="142" t="str">
        <f t="shared" si="9"/>
        <v>06942-05320-05</v>
      </c>
      <c r="O508" s="122" t="s">
        <v>1702</v>
      </c>
    </row>
    <row r="509" spans="1:16">
      <c r="A509" s="142" t="s">
        <v>446</v>
      </c>
      <c r="B509" s="189" t="str">
        <f>_xlfn.XLOOKUP(F509,品番!B:B,品番!G:G)</f>
        <v>L6E/L8C/L9C</v>
      </c>
      <c r="C509" s="189" t="str">
        <f>_xlfn.XLOOKUP(F509,品番!B:B,品番!C:C)</f>
        <v>コントローラ</v>
      </c>
      <c r="D509" s="189" t="str">
        <f>_xlfn.XLOOKUP(F509,品番!B:B,品番!D:D)</f>
        <v>メイン</v>
      </c>
      <c r="E509" s="179">
        <v>40250</v>
      </c>
      <c r="F509" s="180" t="s">
        <v>210</v>
      </c>
      <c r="G509" s="181">
        <v>6</v>
      </c>
      <c r="K509" s="182"/>
      <c r="M509" s="266" t="str" cm="1">
        <f t="array" ref="M509">_xlfn.TEXTJOIN(",", TRUE, _xlfn._xlws.FILTER(適用号機!D:D, (適用号機!B:B=改定!F509)*(適用号機!C:C=改定!G509), ""))</f>
        <v>L6E,L8C,L9C</v>
      </c>
      <c r="N509" s="142" t="str">
        <f t="shared" si="9"/>
        <v>06942-05320-06</v>
      </c>
      <c r="O509" s="122" t="s">
        <v>1702</v>
      </c>
    </row>
    <row r="510" spans="1:16">
      <c r="A510" s="142" t="s">
        <v>446</v>
      </c>
      <c r="B510" s="189" t="str">
        <f>_xlfn.XLOOKUP(F510,品番!B:B,品番!G:G)</f>
        <v>L6E/L8C/L9C</v>
      </c>
      <c r="C510" s="189" t="str">
        <f>_xlfn.XLOOKUP(F510,品番!B:B,品番!C:C)</f>
        <v>コントローラ</v>
      </c>
      <c r="D510" s="189" t="str">
        <f>_xlfn.XLOOKUP(F510,品番!B:B,品番!D:D)</f>
        <v>メイン</v>
      </c>
      <c r="E510" s="179">
        <v>40416</v>
      </c>
      <c r="F510" s="180" t="s">
        <v>210</v>
      </c>
      <c r="G510" s="181">
        <v>7</v>
      </c>
      <c r="K510" s="182"/>
      <c r="M510" s="266" t="str" cm="1">
        <f t="array" ref="M510">_xlfn.TEXTJOIN(",", TRUE, _xlfn._xlws.FILTER(適用号機!D:D, (適用号機!B:B=改定!F510)*(適用号機!C:C=改定!G510), ""))</f>
        <v>L6E,L8C,L9C</v>
      </c>
      <c r="N510" s="142" t="str">
        <f t="shared" si="9"/>
        <v>06942-05320-07</v>
      </c>
      <c r="O510" s="122" t="s">
        <v>1702</v>
      </c>
    </row>
    <row r="511" spans="1:16">
      <c r="A511" s="142" t="s">
        <v>446</v>
      </c>
      <c r="B511" s="189" t="str">
        <f>_xlfn.XLOOKUP(F511,品番!B:B,品番!G:G)</f>
        <v>L6E/L8C/L9C</v>
      </c>
      <c r="C511" s="189" t="str">
        <f>_xlfn.XLOOKUP(F511,品番!B:B,品番!C:C)</f>
        <v>コントローラ</v>
      </c>
      <c r="D511" s="189" t="str">
        <f>_xlfn.XLOOKUP(F511,品番!B:B,品番!D:D)</f>
        <v>メイン</v>
      </c>
      <c r="E511" s="179">
        <v>40708</v>
      </c>
      <c r="F511" s="180" t="s">
        <v>210</v>
      </c>
      <c r="G511" s="181">
        <v>8</v>
      </c>
      <c r="K511" s="182"/>
      <c r="M511" s="266" t="str" cm="1">
        <f t="array" ref="M511">_xlfn.TEXTJOIN(",", TRUE, _xlfn._xlws.FILTER(適用号機!D:D, (適用号機!B:B=改定!F511)*(適用号機!C:C=改定!G511), ""))</f>
        <v>L6E,L8C,L9C</v>
      </c>
      <c r="N511" s="142" t="str">
        <f t="shared" si="9"/>
        <v>06942-05320-08</v>
      </c>
      <c r="O511" s="122" t="s">
        <v>1702</v>
      </c>
    </row>
    <row r="512" spans="1:16">
      <c r="A512" s="142" t="s">
        <v>446</v>
      </c>
      <c r="B512" s="189" t="str">
        <f>_xlfn.XLOOKUP(F512,品番!B:B,品番!G:G)</f>
        <v>L6E/L8C/L9C</v>
      </c>
      <c r="C512" s="189" t="str">
        <f>_xlfn.XLOOKUP(F512,品番!B:B,品番!C:C)</f>
        <v>コントローラ</v>
      </c>
      <c r="D512" s="189" t="str">
        <f>_xlfn.XLOOKUP(F512,品番!B:B,品番!D:D)</f>
        <v>メイン</v>
      </c>
      <c r="E512" s="179">
        <v>41194</v>
      </c>
      <c r="F512" s="180" t="s">
        <v>210</v>
      </c>
      <c r="G512" s="181">
        <v>9</v>
      </c>
      <c r="K512" s="182"/>
      <c r="M512" s="266" t="str" cm="1">
        <f t="array" ref="M512">_xlfn.TEXTJOIN(",", TRUE, _xlfn._xlws.FILTER(適用号機!D:D, (適用号機!B:B=改定!F512)*(適用号機!C:C=改定!G512), ""))</f>
        <v>L6E,L8C,L9C</v>
      </c>
      <c r="N512" s="142" t="str">
        <f t="shared" si="9"/>
        <v>06942-05320-09</v>
      </c>
      <c r="O512" s="122" t="s">
        <v>1702</v>
      </c>
    </row>
    <row r="513" spans="1:16">
      <c r="A513" s="142" t="s">
        <v>446</v>
      </c>
      <c r="B513" s="189" t="str">
        <f>_xlfn.XLOOKUP(F513,品番!B:B,品番!G:G)</f>
        <v>L6E/L8C/L9C</v>
      </c>
      <c r="C513" s="189" t="str">
        <f>_xlfn.XLOOKUP(F513,品番!B:B,品番!C:C)</f>
        <v>コントローラ</v>
      </c>
      <c r="D513" s="189" t="str">
        <f>_xlfn.XLOOKUP(F513,品番!B:B,品番!D:D)</f>
        <v>メイン</v>
      </c>
      <c r="E513" s="179">
        <v>42407</v>
      </c>
      <c r="F513" s="180" t="s">
        <v>210</v>
      </c>
      <c r="G513" s="181">
        <v>10</v>
      </c>
      <c r="K513" s="182"/>
      <c r="M513" s="266" t="str" cm="1">
        <f t="array" ref="M513">_xlfn.TEXTJOIN(",", TRUE, _xlfn._xlws.FILTER(適用号機!D:D, (適用号機!B:B=改定!F513)*(適用号機!C:C=改定!G513), ""))</f>
        <v>L6E,L8C,L9C</v>
      </c>
      <c r="N513" s="142" t="str">
        <f t="shared" si="9"/>
        <v>06942-05320-10</v>
      </c>
      <c r="O513" s="122" t="s">
        <v>1702</v>
      </c>
    </row>
    <row r="514" spans="1:16">
      <c r="A514" s="142" t="s">
        <v>446</v>
      </c>
      <c r="B514" s="189" t="str">
        <f>_xlfn.XLOOKUP(F514,品番!B:B,品番!G:G)</f>
        <v>L6E/L8C/L9C</v>
      </c>
      <c r="C514" s="189" t="str">
        <f>_xlfn.XLOOKUP(F514,品番!B:B,品番!C:C)</f>
        <v>コントローラ</v>
      </c>
      <c r="D514" s="189" t="str">
        <f>_xlfn.XLOOKUP(F514,品番!B:B,品番!D:D)</f>
        <v>メイン</v>
      </c>
      <c r="E514" s="179">
        <v>42850</v>
      </c>
      <c r="F514" s="180" t="s">
        <v>210</v>
      </c>
      <c r="G514" s="181">
        <v>11</v>
      </c>
      <c r="K514" s="182"/>
      <c r="M514" s="266" t="str" cm="1">
        <f t="array" ref="M514">_xlfn.TEXTJOIN(",", TRUE, _xlfn._xlws.FILTER(適用号機!D:D, (適用号機!B:B=改定!F514)*(適用号機!C:C=改定!G514), ""))</f>
        <v>L6E,L8C,L9C</v>
      </c>
      <c r="N514" s="142" t="str">
        <f t="shared" si="9"/>
        <v>06942-05320-11</v>
      </c>
      <c r="O514" s="122" t="s">
        <v>1702</v>
      </c>
    </row>
    <row r="515" spans="1:16">
      <c r="A515" s="142" t="s">
        <v>446</v>
      </c>
      <c r="B515" s="189" t="str">
        <f>_xlfn.XLOOKUP(F515,品番!B:B,品番!G:G)</f>
        <v>L6E/L8C/L9C</v>
      </c>
      <c r="C515" s="189" t="str">
        <f>_xlfn.XLOOKUP(F515,品番!B:B,品番!C:C)</f>
        <v>コントローラ</v>
      </c>
      <c r="D515" s="189" t="str">
        <f>_xlfn.XLOOKUP(F515,品番!B:B,品番!D:D)</f>
        <v>メイン</v>
      </c>
      <c r="E515" s="179">
        <v>43197</v>
      </c>
      <c r="F515" s="180" t="s">
        <v>210</v>
      </c>
      <c r="G515" s="181">
        <v>12</v>
      </c>
      <c r="K515" s="182"/>
      <c r="M515" s="266" t="str" cm="1">
        <f t="array" ref="M515">_xlfn.TEXTJOIN(",", TRUE, _xlfn._xlws.FILTER(適用号機!D:D, (適用号機!B:B=改定!F515)*(適用号機!C:C=改定!G515), ""))</f>
        <v>L6E,L8C,L9C</v>
      </c>
      <c r="N515" s="142" t="str">
        <f t="shared" si="9"/>
        <v>06942-05320-12</v>
      </c>
      <c r="O515" s="122" t="s">
        <v>1702</v>
      </c>
    </row>
    <row r="516" spans="1:16">
      <c r="A516" s="142" t="s">
        <v>446</v>
      </c>
      <c r="B516" s="189" t="str">
        <f>_xlfn.XLOOKUP(F516,品番!B:B,品番!G:G)</f>
        <v>L6E/L8C/L9C</v>
      </c>
      <c r="C516" s="189" t="str">
        <f>_xlfn.XLOOKUP(F516,品番!B:B,品番!C:C)</f>
        <v>コントローラ</v>
      </c>
      <c r="D516" s="189" t="str">
        <f>_xlfn.XLOOKUP(F516,品番!B:B,品番!D:D)</f>
        <v>メイン</v>
      </c>
      <c r="E516" s="179">
        <v>43413</v>
      </c>
      <c r="F516" s="180" t="s">
        <v>210</v>
      </c>
      <c r="G516" s="181">
        <v>13</v>
      </c>
      <c r="K516" s="182"/>
      <c r="M516" s="266" t="str" cm="1">
        <f t="array" ref="M516">_xlfn.TEXTJOIN(",", TRUE, _xlfn._xlws.FILTER(適用号機!D:D, (適用号機!B:B=改定!F516)*(適用号機!C:C=改定!G516), ""))</f>
        <v>L6E,L8C,L9C</v>
      </c>
      <c r="N516" s="142" t="str">
        <f t="shared" si="9"/>
        <v>06942-05320-13</v>
      </c>
      <c r="O516" s="122" t="s">
        <v>1702</v>
      </c>
    </row>
    <row r="517" spans="1:16">
      <c r="A517" s="142" t="s">
        <v>446</v>
      </c>
      <c r="B517" s="189" t="str">
        <f>_xlfn.XLOOKUP(F517,品番!B:B,品番!G:G)</f>
        <v>L6E/L8C/L9C</v>
      </c>
      <c r="C517" s="189" t="str">
        <f>_xlfn.XLOOKUP(F517,品番!B:B,品番!C:C)</f>
        <v>コントローラ</v>
      </c>
      <c r="D517" s="189" t="str">
        <f>_xlfn.XLOOKUP(F517,品番!B:B,品番!D:D)</f>
        <v>メイン</v>
      </c>
      <c r="E517" s="179">
        <v>44430</v>
      </c>
      <c r="F517" s="180" t="s">
        <v>210</v>
      </c>
      <c r="G517" s="181">
        <v>14</v>
      </c>
      <c r="K517" s="182"/>
      <c r="M517" s="266" t="str" cm="1">
        <f t="array" ref="M517">_xlfn.TEXTJOIN(",", TRUE, _xlfn._xlws.FILTER(適用号機!D:D, (適用号機!B:B=改定!F517)*(適用号機!C:C=改定!G517), ""))</f>
        <v>L6E,L8C,L9C</v>
      </c>
      <c r="N517" s="142" t="str">
        <f t="shared" si="9"/>
        <v>06942-05320-14</v>
      </c>
      <c r="O517" s="122" t="s">
        <v>1702</v>
      </c>
    </row>
    <row r="518" spans="1:16">
      <c r="A518" s="142" t="s">
        <v>446</v>
      </c>
      <c r="B518" s="189" t="str">
        <f>_xlfn.XLOOKUP(F518,品番!B:B,品番!G:G)</f>
        <v>L6E/L8C/L9C</v>
      </c>
      <c r="C518" s="189" t="str">
        <f>_xlfn.XLOOKUP(F518,品番!B:B,品番!C:C)</f>
        <v>コントローラ</v>
      </c>
      <c r="D518" s="189" t="str">
        <f>_xlfn.XLOOKUP(F518,品番!B:B,品番!D:D)</f>
        <v>メイン</v>
      </c>
      <c r="E518" s="179">
        <v>55511</v>
      </c>
      <c r="F518" s="180" t="s">
        <v>210</v>
      </c>
      <c r="G518" s="181">
        <v>15</v>
      </c>
      <c r="H518" s="122" t="s">
        <v>447</v>
      </c>
      <c r="I518" s="122" t="s">
        <v>448</v>
      </c>
      <c r="J518" s="122" t="s">
        <v>449</v>
      </c>
      <c r="M518" s="266" t="str" cm="1">
        <f t="array" ref="M518">_xlfn.TEXTJOIN(",", TRUE, _xlfn._xlws.FILTER(適用号機!D:D, (適用号機!B:B=改定!F518)*(適用号機!C:C=改定!G518), ""))</f>
        <v>L6E,L8C</v>
      </c>
      <c r="N518" s="142" t="str">
        <f t="shared" si="9"/>
        <v>06942-05320-15</v>
      </c>
      <c r="O518" s="122" t="s">
        <v>1702</v>
      </c>
    </row>
    <row r="519" spans="1:16">
      <c r="A519" s="142" t="s">
        <v>160</v>
      </c>
      <c r="B519" s="189" t="str">
        <f>_xlfn.XLOOKUP(F519,品番!B:B,品番!G:G)</f>
        <v>C10-3</v>
      </c>
      <c r="C519" s="189" t="str">
        <f>_xlfn.XLOOKUP(F519,品番!B:B,品番!C:C)</f>
        <v>コントローラ</v>
      </c>
      <c r="D519" s="189" t="str">
        <f>_xlfn.XLOOKUP(F519,品番!B:B,品番!D:D)</f>
        <v>メイン</v>
      </c>
      <c r="E519" s="179">
        <v>42494</v>
      </c>
      <c r="F519" s="180" t="s">
        <v>161</v>
      </c>
      <c r="G519" s="183">
        <v>0</v>
      </c>
      <c r="H519" s="135"/>
      <c r="J519"/>
      <c r="K519" s="182"/>
      <c r="M519" s="266" t="str" cm="1">
        <f t="array" ref="M519">_xlfn.TEXTJOIN(",", TRUE, _xlfn._xlws.FILTER(適用号機!D:D, (適用号機!B:B=改定!F519)*(適用号機!C:C=改定!G519), ""))</f>
        <v/>
      </c>
      <c r="N519" s="142" t="str">
        <f t="shared" si="9"/>
        <v>07042-00010-00</v>
      </c>
      <c r="O519" s="122" t="s">
        <v>1702</v>
      </c>
    </row>
    <row r="520" spans="1:16">
      <c r="A520" s="142" t="s">
        <v>160</v>
      </c>
      <c r="B520" s="189" t="str">
        <f>_xlfn.XLOOKUP(F520,品番!B:B,品番!G:G)</f>
        <v>C10-3</v>
      </c>
      <c r="C520" s="189" t="str">
        <f>_xlfn.XLOOKUP(F520,品番!B:B,品番!C:C)</f>
        <v>コントローラ</v>
      </c>
      <c r="D520" s="189" t="str">
        <f>_xlfn.XLOOKUP(F520,品番!B:B,品番!D:D)</f>
        <v>メイン</v>
      </c>
      <c r="E520" s="179">
        <v>43925</v>
      </c>
      <c r="F520" s="180" t="s">
        <v>161</v>
      </c>
      <c r="G520" s="183">
        <v>1</v>
      </c>
      <c r="H520" s="135"/>
      <c r="J520"/>
      <c r="K520" s="182"/>
      <c r="M520" s="266" t="str" cm="1">
        <f t="array" ref="M520">_xlfn.TEXTJOIN(",", TRUE, _xlfn._xlws.FILTER(適用号機!D:D, (適用号機!B:B=改定!F520)*(適用号機!C:C=改定!G520), ""))</f>
        <v>C10-3,C9-3</v>
      </c>
      <c r="N520" s="142" t="str">
        <f t="shared" si="9"/>
        <v>07042-00010-01</v>
      </c>
      <c r="O520" s="122" t="s">
        <v>1702</v>
      </c>
    </row>
    <row r="521" spans="1:16">
      <c r="A521" s="142" t="s">
        <v>160</v>
      </c>
      <c r="B521" s="189" t="str">
        <f>_xlfn.XLOOKUP(F521,品番!B:B,品番!G:G)</f>
        <v>C10-3</v>
      </c>
      <c r="C521" s="189" t="str">
        <f>_xlfn.XLOOKUP(F521,品番!B:B,品番!C:C)</f>
        <v>コントローラ</v>
      </c>
      <c r="D521" s="189" t="str">
        <f>_xlfn.XLOOKUP(F521,品番!B:B,品番!D:D)</f>
        <v>メイン</v>
      </c>
      <c r="E521" s="179">
        <v>44316</v>
      </c>
      <c r="F521" s="180" t="s">
        <v>161</v>
      </c>
      <c r="G521" s="183">
        <v>2</v>
      </c>
      <c r="H521" s="135"/>
      <c r="J521"/>
      <c r="K521" s="182"/>
      <c r="M521" s="266" t="str" cm="1">
        <f t="array" ref="M521">_xlfn.TEXTJOIN(",", TRUE, _xlfn._xlws.FILTER(適用号機!D:D, (適用号機!B:B=改定!F521)*(適用号機!C:C=改定!G521), ""))</f>
        <v>C10-3,C9-3</v>
      </c>
      <c r="N521" s="142" t="str">
        <f t="shared" si="9"/>
        <v>07042-00010-02</v>
      </c>
      <c r="O521" s="122" t="s">
        <v>1702</v>
      </c>
    </row>
    <row r="522" spans="1:16">
      <c r="A522" s="142" t="s">
        <v>160</v>
      </c>
      <c r="B522" s="189" t="str">
        <f>_xlfn.XLOOKUP(F522,品番!B:B,品番!G:G)</f>
        <v>C10-3</v>
      </c>
      <c r="C522" s="189" t="str">
        <f>_xlfn.XLOOKUP(F522,品番!B:B,品番!C:C)</f>
        <v>コントローラ</v>
      </c>
      <c r="D522" s="189" t="str">
        <f>_xlfn.XLOOKUP(F522,品番!B:B,品番!D:D)</f>
        <v>メイン</v>
      </c>
      <c r="E522" s="179">
        <v>45867</v>
      </c>
      <c r="F522" s="180" t="s">
        <v>161</v>
      </c>
      <c r="G522" s="181">
        <v>3</v>
      </c>
      <c r="H522" s="122" t="s">
        <v>417</v>
      </c>
      <c r="I522" s="122" t="s">
        <v>418</v>
      </c>
      <c r="J522" t="s">
        <v>47</v>
      </c>
      <c r="K522" s="182"/>
      <c r="M522" s="266" t="str" cm="1">
        <f t="array" ref="M522">_xlfn.TEXTJOIN(",", TRUE, _xlfn._xlws.FILTER(適用号機!D:D, (適用号機!B:B=改定!F522)*(適用号機!C:C=改定!G522), ""))</f>
        <v xml:space="preserve">	C9-3,C10-3</v>
      </c>
      <c r="N522" s="142" t="str">
        <f t="shared" si="9"/>
        <v>07042-00010-03</v>
      </c>
      <c r="O522" s="122" t="s">
        <v>1702</v>
      </c>
    </row>
    <row r="523" spans="1:16">
      <c r="A523" s="142" t="s">
        <v>164</v>
      </c>
      <c r="B523" s="189" t="str">
        <f>_xlfn.XLOOKUP(F523,品番!B:B,品番!G:G)</f>
        <v>C10-5</v>
      </c>
      <c r="C523" s="189" t="str">
        <f>_xlfn.XLOOKUP(F523,品番!B:B,品番!C:C)</f>
        <v>コントローラ</v>
      </c>
      <c r="D523" s="189" t="str">
        <f>_xlfn.XLOOKUP(F523,品番!B:B,品番!D:D)</f>
        <v>メイン</v>
      </c>
      <c r="E523" s="179">
        <v>62633</v>
      </c>
      <c r="F523" s="180" t="s">
        <v>165</v>
      </c>
      <c r="G523" s="183">
        <v>0</v>
      </c>
      <c r="J523"/>
      <c r="K523" s="182"/>
      <c r="M523" s="266" t="str" cm="1">
        <f t="array" ref="M523">_xlfn.TEXTJOIN(",", TRUE, _xlfn._xlws.FILTER(適用号機!D:D, (適用号機!B:B=改定!F523)*(適用号機!C:C=改定!G523), ""))</f>
        <v xml:space="preserve">	C10-5</v>
      </c>
      <c r="N523" s="142" t="str">
        <f t="shared" si="9"/>
        <v>07042-00026-00</v>
      </c>
      <c r="O523" s="122" t="s">
        <v>1702</v>
      </c>
    </row>
    <row r="524" spans="1:16">
      <c r="A524" s="142" t="s">
        <v>162</v>
      </c>
      <c r="B524" s="189" t="str">
        <f>_xlfn.XLOOKUP(F524,品番!B:B,品番!G:G)</f>
        <v>C10-4</v>
      </c>
      <c r="C524" s="189" t="str">
        <f>_xlfn.XLOOKUP(F524,品番!B:B,品番!C:C)</f>
        <v>コントローラ</v>
      </c>
      <c r="D524" s="189" t="str">
        <f>_xlfn.XLOOKUP(F524,品番!B:B,品番!D:D)</f>
        <v>メイン</v>
      </c>
      <c r="E524" s="179">
        <v>48569</v>
      </c>
      <c r="F524" s="180" t="s">
        <v>163</v>
      </c>
      <c r="G524" s="181">
        <v>0</v>
      </c>
      <c r="J524"/>
      <c r="K524" s="182"/>
      <c r="M524" s="266" t="str" cm="1">
        <f t="array" ref="M524">_xlfn.TEXTJOIN(",", TRUE, _xlfn._xlws.FILTER(適用号機!D:D, (適用号機!B:B=改定!F524)*(適用号機!C:C=改定!G524), ""))</f>
        <v>C9-4,	C10-4</v>
      </c>
      <c r="N524" s="142" t="str">
        <f t="shared" si="9"/>
        <v>07042-00059-00</v>
      </c>
      <c r="O524" s="122" t="s">
        <v>1702</v>
      </c>
    </row>
    <row r="525" spans="1:16">
      <c r="A525" s="142" t="s">
        <v>162</v>
      </c>
      <c r="B525" s="189" t="str">
        <f>_xlfn.XLOOKUP(F525,品番!B:B,品番!G:G)</f>
        <v>C10-4</v>
      </c>
      <c r="C525" s="189" t="str">
        <f>_xlfn.XLOOKUP(F525,品番!B:B,品番!C:C)</f>
        <v>コントローラ</v>
      </c>
      <c r="D525" s="189" t="str">
        <f>_xlfn.XLOOKUP(F525,品番!B:B,品番!D:D)</f>
        <v>メイン</v>
      </c>
      <c r="E525" s="179">
        <v>50296</v>
      </c>
      <c r="F525" s="180" t="s">
        <v>163</v>
      </c>
      <c r="G525" s="181">
        <v>1</v>
      </c>
      <c r="J525"/>
      <c r="K525" s="182"/>
      <c r="M525" s="266" t="str" cm="1">
        <f t="array" ref="M525">_xlfn.TEXTJOIN(",", TRUE, _xlfn._xlws.FILTER(適用号機!D:D, (適用号機!B:B=改定!F525)*(適用号機!C:C=改定!G525), ""))</f>
        <v xml:space="preserve">C9-4,C10-4	</v>
      </c>
      <c r="N525" s="142" t="str">
        <f t="shared" si="9"/>
        <v>07042-00059-01</v>
      </c>
      <c r="O525" s="122" t="s">
        <v>1702</v>
      </c>
    </row>
    <row r="526" spans="1:16">
      <c r="A526" s="142" t="s">
        <v>162</v>
      </c>
      <c r="B526" s="189" t="str">
        <f>_xlfn.XLOOKUP(F526,品番!B:B,品番!G:G)</f>
        <v>C10-4</v>
      </c>
      <c r="C526" s="189" t="str">
        <f>_xlfn.XLOOKUP(F526,品番!B:B,品番!C:C)</f>
        <v>コントローラ</v>
      </c>
      <c r="D526" s="189" t="str">
        <f>_xlfn.XLOOKUP(F526,品番!B:B,品番!D:D)</f>
        <v>メイン</v>
      </c>
      <c r="E526" s="179">
        <v>50883</v>
      </c>
      <c r="F526" s="180" t="s">
        <v>163</v>
      </c>
      <c r="G526" s="181">
        <v>2</v>
      </c>
      <c r="J526"/>
      <c r="K526" s="182"/>
      <c r="M526" s="266" t="str" cm="1">
        <f t="array" ref="M526">_xlfn.TEXTJOIN(",", TRUE, _xlfn._xlws.FILTER(適用号機!D:D, (適用号機!B:B=改定!F526)*(適用号機!C:C=改定!G526), ""))</f>
        <v xml:space="preserve">	C10-4,	C9-4</v>
      </c>
      <c r="N526" s="142" t="str">
        <f t="shared" si="9"/>
        <v>07042-00059-02</v>
      </c>
      <c r="O526" s="122" t="s">
        <v>1702</v>
      </c>
    </row>
    <row r="527" spans="1:16">
      <c r="A527" s="142" t="s">
        <v>162</v>
      </c>
      <c r="B527" s="189" t="str">
        <f>_xlfn.XLOOKUP(F527,品番!B:B,品番!G:G)</f>
        <v>C10-4</v>
      </c>
      <c r="C527" s="189" t="str">
        <f>_xlfn.XLOOKUP(F527,品番!B:B,品番!C:C)</f>
        <v>コントローラ</v>
      </c>
      <c r="D527" s="189" t="str">
        <f>_xlfn.XLOOKUP(F527,品番!B:B,品番!D:D)</f>
        <v>メイン</v>
      </c>
      <c r="E527" s="179">
        <v>51908</v>
      </c>
      <c r="F527" s="180" t="s">
        <v>163</v>
      </c>
      <c r="G527" s="181">
        <v>3</v>
      </c>
      <c r="J527"/>
      <c r="K527" s="182"/>
      <c r="M527" s="266" t="str" cm="1">
        <f t="array" ref="M527">_xlfn.TEXTJOIN(",", TRUE, _xlfn._xlws.FILTER(適用号機!D:D, (適用号機!B:B=改定!F527)*(適用号機!C:C=改定!G527), ""))</f>
        <v xml:space="preserve">	C10-4	,	C9-4</v>
      </c>
      <c r="N527" s="142" t="str">
        <f t="shared" si="9"/>
        <v>07042-00059-03</v>
      </c>
      <c r="O527" s="122" t="s">
        <v>1702</v>
      </c>
      <c r="P527"/>
    </row>
    <row r="528" spans="1:16">
      <c r="A528" s="142" t="s">
        <v>162</v>
      </c>
      <c r="B528" s="189" t="str">
        <f>_xlfn.XLOOKUP(F528,品番!B:B,品番!G:G)</f>
        <v>C10-4</v>
      </c>
      <c r="C528" s="189" t="str">
        <f>_xlfn.XLOOKUP(F528,品番!B:B,品番!C:C)</f>
        <v>コントローラ</v>
      </c>
      <c r="D528" s="189" t="str">
        <f>_xlfn.XLOOKUP(F528,品番!B:B,品番!D:D)</f>
        <v>メイン</v>
      </c>
      <c r="E528" s="179">
        <v>54378</v>
      </c>
      <c r="F528" s="180" t="s">
        <v>163</v>
      </c>
      <c r="G528" s="181">
        <v>4</v>
      </c>
      <c r="H528" s="122" t="s">
        <v>301</v>
      </c>
      <c r="J528" t="s">
        <v>47</v>
      </c>
      <c r="K528" s="182"/>
      <c r="M528" s="266" t="str" cm="1">
        <f t="array" ref="M528">_xlfn.TEXTJOIN(",", TRUE, _xlfn._xlws.FILTER(適用号機!D:D, (適用号機!B:B=改定!F528)*(適用号機!C:C=改定!G528), ""))</f>
        <v xml:space="preserve">	C9-4,	C10-4</v>
      </c>
      <c r="N528" s="142" t="str">
        <f t="shared" si="9"/>
        <v>07042-00059-04</v>
      </c>
      <c r="O528" s="122" t="s">
        <v>1702</v>
      </c>
    </row>
    <row r="529" spans="1:16">
      <c r="A529" s="142" t="s">
        <v>166</v>
      </c>
      <c r="B529" s="189" t="str">
        <f>_xlfn.XLOOKUP(F529,品番!B:B,品番!G:G)</f>
        <v>C9-3</v>
      </c>
      <c r="C529" s="189" t="str">
        <f>_xlfn.XLOOKUP(F529,品番!B:B,品番!C:C)</f>
        <v>コントローラ</v>
      </c>
      <c r="D529" s="189" t="str">
        <f>_xlfn.XLOOKUP(F529,品番!B:B,品番!D:D)</f>
        <v>メイン</v>
      </c>
      <c r="E529" s="179">
        <v>43950</v>
      </c>
      <c r="F529" s="180" t="s">
        <v>167</v>
      </c>
      <c r="G529" s="183">
        <v>0</v>
      </c>
      <c r="J529"/>
      <c r="K529" s="182"/>
      <c r="M529" s="266" t="str" cm="1">
        <f t="array" ref="M529">_xlfn.TEXTJOIN(",", TRUE, _xlfn._xlws.FILTER(適用号機!D:D, (適用号機!B:B=改定!F529)*(適用号機!C:C=改定!G529), ""))</f>
        <v>C9-3</v>
      </c>
      <c r="N529" s="142" t="str">
        <f t="shared" si="9"/>
        <v>07142-00010-00</v>
      </c>
      <c r="O529" s="122" t="s">
        <v>1702</v>
      </c>
    </row>
    <row r="530" spans="1:16">
      <c r="A530" s="142" t="s">
        <v>166</v>
      </c>
      <c r="B530" s="189" t="str">
        <f>_xlfn.XLOOKUP(F530,品番!B:B,品番!G:G)</f>
        <v>C9-3</v>
      </c>
      <c r="C530" s="189" t="str">
        <f>_xlfn.XLOOKUP(F530,品番!B:B,品番!C:C)</f>
        <v>コントローラ</v>
      </c>
      <c r="D530" s="189" t="str">
        <f>_xlfn.XLOOKUP(F530,品番!B:B,品番!D:D)</f>
        <v>メイン</v>
      </c>
      <c r="E530" s="179">
        <v>44470</v>
      </c>
      <c r="F530" s="180" t="s">
        <v>167</v>
      </c>
      <c r="G530" s="181">
        <v>1</v>
      </c>
      <c r="H530" s="122" t="s">
        <v>422</v>
      </c>
      <c r="J530"/>
      <c r="K530" s="182"/>
      <c r="M530" s="266" t="str" cm="1">
        <f t="array" ref="M530">_xlfn.TEXTJOIN(",", TRUE, _xlfn._xlws.FILTER(適用号機!D:D, (適用号機!B:B=改定!F530)*(適用号機!C:C=改定!G530), ""))</f>
        <v>C9-3</v>
      </c>
      <c r="N530" s="142" t="str">
        <f t="shared" ref="N530:N593" si="10">F530 &amp;"-" &amp; TEXT(G530,"00")</f>
        <v>07142-00010-01</v>
      </c>
      <c r="O530" s="122" t="s">
        <v>1702</v>
      </c>
    </row>
    <row r="531" spans="1:16">
      <c r="A531" s="142" t="s">
        <v>170</v>
      </c>
      <c r="B531" s="189" t="str">
        <f>_xlfn.XLOOKUP(F531,品番!B:B,品番!G:G)</f>
        <v>C9-5</v>
      </c>
      <c r="C531" s="189" t="str">
        <f>_xlfn.XLOOKUP(F531,品番!B:B,品番!C:C)</f>
        <v>コントローラ</v>
      </c>
      <c r="D531" s="189" t="str">
        <f>_xlfn.XLOOKUP(F531,品番!B:B,品番!D:D)</f>
        <v>メイン</v>
      </c>
      <c r="E531" s="179">
        <v>61666</v>
      </c>
      <c r="F531" s="180" t="s">
        <v>171</v>
      </c>
      <c r="G531" s="183">
        <v>0</v>
      </c>
      <c r="J531"/>
      <c r="K531" s="182"/>
      <c r="M531" s="266" t="str" cm="1">
        <f t="array" ref="M531">_xlfn.TEXTJOIN(",", TRUE, _xlfn._xlws.FILTER(適用号機!D:D, (適用号機!B:B=改定!F531)*(適用号機!C:C=改定!G531), ""))</f>
        <v xml:space="preserve">	C9-5</v>
      </c>
      <c r="N531" s="142" t="str">
        <f t="shared" si="10"/>
        <v>07142-00040-00</v>
      </c>
      <c r="O531" s="122" t="s">
        <v>1702</v>
      </c>
    </row>
    <row r="532" spans="1:16">
      <c r="A532" s="142" t="s">
        <v>170</v>
      </c>
      <c r="B532" s="189" t="str">
        <f>_xlfn.XLOOKUP(F532,品番!B:B,品番!G:G)</f>
        <v>C9-5</v>
      </c>
      <c r="C532" s="189" t="str">
        <f>_xlfn.XLOOKUP(F532,品番!B:B,品番!C:C)</f>
        <v>コントローラ</v>
      </c>
      <c r="D532" s="189" t="str">
        <f>_xlfn.XLOOKUP(F532,品番!B:B,品番!D:D)</f>
        <v>メイン</v>
      </c>
      <c r="E532" s="179">
        <v>62633</v>
      </c>
      <c r="F532" s="180" t="s">
        <v>171</v>
      </c>
      <c r="G532" s="183">
        <v>1</v>
      </c>
      <c r="J532"/>
      <c r="K532" s="182"/>
      <c r="M532" s="266" t="str" cm="1">
        <f t="array" ref="M532">_xlfn.TEXTJOIN(",", TRUE, _xlfn._xlws.FILTER(適用号機!D:D, (適用号機!B:B=改定!F532)*(適用号機!C:C=改定!G532), ""))</f>
        <v xml:space="preserve">	C9-5</v>
      </c>
      <c r="N532" s="142" t="str">
        <f t="shared" si="10"/>
        <v>07142-00040-01</v>
      </c>
      <c r="O532" s="122" t="s">
        <v>1702</v>
      </c>
    </row>
    <row r="533" spans="1:16">
      <c r="A533" s="142" t="s">
        <v>168</v>
      </c>
      <c r="B533" s="189" t="str">
        <f>_xlfn.XLOOKUP(F533,品番!B:B,品番!G:G)</f>
        <v>C9-4</v>
      </c>
      <c r="C533" s="189" t="str">
        <f>_xlfn.XLOOKUP(F533,品番!B:B,品番!C:C)</f>
        <v>コントローラ</v>
      </c>
      <c r="D533" s="189" t="str">
        <f>_xlfn.XLOOKUP(F533,品番!B:B,品番!D:D)</f>
        <v>メイン</v>
      </c>
      <c r="E533" s="179">
        <v>50567</v>
      </c>
      <c r="F533" s="180" t="s">
        <v>169</v>
      </c>
      <c r="G533" s="181">
        <v>0</v>
      </c>
      <c r="J533"/>
      <c r="K533" s="182" t="s">
        <v>187</v>
      </c>
      <c r="M533" s="266" t="str" cm="1">
        <f t="array" ref="M533">_xlfn.TEXTJOIN(",", TRUE, _xlfn._xlws.FILTER(適用号機!D:D, (適用号機!B:B=改定!F533)*(適用号機!C:C=改定!G533), ""))</f>
        <v>C9-4</v>
      </c>
      <c r="N533" s="142" t="str">
        <f t="shared" si="10"/>
        <v>07142-00057-00</v>
      </c>
      <c r="O533" s="122" t="s">
        <v>1702</v>
      </c>
    </row>
    <row r="534" spans="1:16">
      <c r="A534" s="142" t="s">
        <v>168</v>
      </c>
      <c r="B534" s="189" t="str">
        <f>_xlfn.XLOOKUP(F534,品番!B:B,品番!G:G)</f>
        <v>C9-4</v>
      </c>
      <c r="C534" s="189" t="str">
        <f>_xlfn.XLOOKUP(F534,品番!B:B,品番!C:C)</f>
        <v>コントローラ</v>
      </c>
      <c r="D534" s="189" t="str">
        <f>_xlfn.XLOOKUP(F534,品番!B:B,品番!D:D)</f>
        <v>メイン</v>
      </c>
      <c r="E534" s="179">
        <v>50883</v>
      </c>
      <c r="F534" s="180" t="s">
        <v>169</v>
      </c>
      <c r="G534" s="181">
        <v>1</v>
      </c>
      <c r="J534"/>
      <c r="K534" s="182"/>
      <c r="M534" s="266" t="str" cm="1">
        <f t="array" ref="M534">_xlfn.TEXTJOIN(",", TRUE, _xlfn._xlws.FILTER(適用号機!D:D, (適用号機!B:B=改定!F534)*(適用号機!C:C=改定!G534), ""))</f>
        <v xml:space="preserve">	C9-4</v>
      </c>
      <c r="N534" s="142" t="str">
        <f t="shared" si="10"/>
        <v>07142-00057-01</v>
      </c>
      <c r="O534" s="122" t="s">
        <v>1702</v>
      </c>
      <c r="P534"/>
    </row>
    <row r="535" spans="1:16">
      <c r="A535" s="142" t="s">
        <v>168</v>
      </c>
      <c r="B535" s="189" t="str">
        <f>_xlfn.XLOOKUP(F535,品番!B:B,品番!G:G)</f>
        <v>C9-4</v>
      </c>
      <c r="C535" s="189" t="str">
        <f>_xlfn.XLOOKUP(F535,品番!B:B,品番!C:C)</f>
        <v>コントローラ</v>
      </c>
      <c r="D535" s="189" t="str">
        <f>_xlfn.XLOOKUP(F535,品番!B:B,品番!D:D)</f>
        <v>メイン</v>
      </c>
      <c r="E535" s="179">
        <v>53196</v>
      </c>
      <c r="F535" s="180" t="s">
        <v>169</v>
      </c>
      <c r="G535" s="181">
        <v>2</v>
      </c>
      <c r="J535"/>
      <c r="K535" s="182"/>
      <c r="M535" s="266" t="str" cm="1">
        <f t="array" ref="M535">_xlfn.TEXTJOIN(",", TRUE, _xlfn._xlws.FILTER(適用号機!D:D, (適用号機!B:B=改定!F535)*(適用号機!C:C=改定!G535), ""))</f>
        <v xml:space="preserve">	C9-4</v>
      </c>
      <c r="N535" s="142" t="str">
        <f t="shared" si="10"/>
        <v>07142-00057-02</v>
      </c>
      <c r="O535" s="122" t="s">
        <v>1702</v>
      </c>
    </row>
    <row r="536" spans="1:16">
      <c r="A536" s="142" t="s">
        <v>168</v>
      </c>
      <c r="B536" s="189" t="str">
        <f>_xlfn.XLOOKUP(F536,品番!B:B,品番!G:G)</f>
        <v>C9-4</v>
      </c>
      <c r="C536" s="189" t="str">
        <f>_xlfn.XLOOKUP(F536,品番!B:B,品番!C:C)</f>
        <v>コントローラ</v>
      </c>
      <c r="D536" s="189" t="str">
        <f>_xlfn.XLOOKUP(F536,品番!B:B,品番!D:D)</f>
        <v>メイン</v>
      </c>
      <c r="E536" s="179">
        <v>53624</v>
      </c>
      <c r="F536" s="180" t="s">
        <v>169</v>
      </c>
      <c r="G536" s="181">
        <v>3</v>
      </c>
      <c r="H536" s="122" t="s">
        <v>316</v>
      </c>
      <c r="J536"/>
      <c r="M536" s="266" t="str" cm="1">
        <f t="array" ref="M536">_xlfn.TEXTJOIN(",", TRUE, _xlfn._xlws.FILTER(適用号機!D:D, (適用号機!B:B=改定!F536)*(適用号機!C:C=改定!G536), ""))</f>
        <v xml:space="preserve">	C10-5,	C9-4</v>
      </c>
      <c r="N536" s="142" t="str">
        <f t="shared" si="10"/>
        <v>07142-00057-03</v>
      </c>
      <c r="O536" s="122" t="s">
        <v>1702</v>
      </c>
    </row>
    <row r="537" spans="1:16">
      <c r="B537" s="189">
        <f>_xlfn.XLOOKUP(F537,品番!B:B,品番!G:G)</f>
        <v>0</v>
      </c>
      <c r="C537" s="189" t="str">
        <f>_xlfn.XLOOKUP(F537,品番!B:B,品番!C:C)</f>
        <v>ディスプレイ</v>
      </c>
      <c r="D537" s="189">
        <f>_xlfn.XLOOKUP(F537,品番!B:B,品番!D:D)</f>
        <v>0</v>
      </c>
      <c r="E537" s="179">
        <v>48731</v>
      </c>
      <c r="F537" s="180" t="s">
        <v>25</v>
      </c>
      <c r="G537" s="181">
        <v>0</v>
      </c>
      <c r="H537" s="125"/>
      <c r="K537" s="182"/>
      <c r="M537" s="266" t="str" cm="1">
        <f t="array" ref="M537">_xlfn.TEXTJOIN(",", TRUE, _xlfn._xlws.FILTER(適用号機!D:D, (適用号機!B:B=改定!F537)*(適用号機!C:C=改定!G537), ""))</f>
        <v xml:space="preserve">	C9-4</v>
      </c>
      <c r="N537" s="142" t="str">
        <f t="shared" si="10"/>
        <v>07143-00044-00</v>
      </c>
      <c r="O537" s="122" t="s">
        <v>1702</v>
      </c>
    </row>
    <row r="538" spans="1:16">
      <c r="B538" s="189">
        <f>_xlfn.XLOOKUP(F538,品番!B:B,品番!G:G)</f>
        <v>0</v>
      </c>
      <c r="C538" s="189" t="str">
        <f>_xlfn.XLOOKUP(F538,品番!B:B,品番!C:C)</f>
        <v>ディスプレイ</v>
      </c>
      <c r="D538" s="189">
        <f>_xlfn.XLOOKUP(F538,品番!B:B,品番!D:D)</f>
        <v>0</v>
      </c>
      <c r="E538" s="179">
        <v>50851</v>
      </c>
      <c r="F538" s="180" t="s">
        <v>25</v>
      </c>
      <c r="G538" s="181">
        <v>1</v>
      </c>
      <c r="H538" s="125"/>
      <c r="K538" s="182"/>
      <c r="M538" s="266" t="str" cm="1">
        <f t="array" ref="M538">_xlfn.TEXTJOIN(",", TRUE, _xlfn._xlws.FILTER(適用号機!D:D, (適用号機!B:B=改定!F538)*(適用号機!C:C=改定!G538), ""))</f>
        <v xml:space="preserve">	C9-4</v>
      </c>
      <c r="N538" s="142" t="str">
        <f t="shared" si="10"/>
        <v>07143-00044-01</v>
      </c>
      <c r="O538" s="122" t="s">
        <v>1702</v>
      </c>
    </row>
    <row r="539" spans="1:16">
      <c r="B539" s="189">
        <f>_xlfn.XLOOKUP(F539,品番!B:B,品番!G:G)</f>
        <v>0</v>
      </c>
      <c r="C539" s="189" t="str">
        <f>_xlfn.XLOOKUP(F539,品番!B:B,品番!C:C)</f>
        <v>ディスプレイ</v>
      </c>
      <c r="D539" s="189">
        <f>_xlfn.XLOOKUP(F539,品番!B:B,品番!D:D)</f>
        <v>0</v>
      </c>
      <c r="E539" s="179">
        <v>47167</v>
      </c>
      <c r="F539" s="180" t="s">
        <v>25</v>
      </c>
      <c r="G539" s="181">
        <v>2</v>
      </c>
      <c r="H539" s="125"/>
      <c r="K539" s="182"/>
      <c r="M539" s="266" t="str" cm="1">
        <f t="array" ref="M539">_xlfn.TEXTJOIN(",", TRUE, _xlfn._xlws.FILTER(適用号機!D:D, (適用号機!B:B=改定!F539)*(適用号機!C:C=改定!G539), ""))</f>
        <v>C9-4</v>
      </c>
      <c r="N539" s="142" t="str">
        <f t="shared" si="10"/>
        <v>07143-00044-02</v>
      </c>
      <c r="O539" s="122" t="s">
        <v>1702</v>
      </c>
    </row>
    <row r="540" spans="1:16">
      <c r="B540" s="189">
        <f>_xlfn.XLOOKUP(F540,品番!B:B,品番!G:G)</f>
        <v>0</v>
      </c>
      <c r="C540" s="189" t="str">
        <f>_xlfn.XLOOKUP(F540,品番!B:B,品番!C:C)</f>
        <v>ディスプレイ</v>
      </c>
      <c r="D540" s="189">
        <f>_xlfn.XLOOKUP(F540,品番!B:B,品番!D:D)</f>
        <v>0</v>
      </c>
      <c r="E540" s="179">
        <v>62604</v>
      </c>
      <c r="F540" s="180" t="s">
        <v>25</v>
      </c>
      <c r="G540" s="181">
        <v>3</v>
      </c>
      <c r="H540" s="125"/>
      <c r="K540" s="182"/>
      <c r="L540" s="122" t="s">
        <v>262</v>
      </c>
      <c r="M540" s="266" t="str" cm="1">
        <f t="array" ref="M540">_xlfn.TEXTJOIN(",", TRUE, _xlfn._xlws.FILTER(適用号機!D:D, (適用号機!B:B=改定!F540)*(適用号機!C:C=改定!G540), ""))</f>
        <v xml:space="preserve">	C9-4</v>
      </c>
      <c r="N540" s="142" t="str">
        <f t="shared" si="10"/>
        <v>07143-00044-03</v>
      </c>
      <c r="O540" s="122" t="s">
        <v>1702</v>
      </c>
    </row>
    <row r="541" spans="1:16">
      <c r="A541" s="122" t="s">
        <v>11</v>
      </c>
      <c r="B541" s="189" t="str">
        <f>_xlfn.XLOOKUP(F541,品番!B:B,品番!G:G)</f>
        <v>5.7'ディスプレイ</v>
      </c>
      <c r="C541" s="189" t="str">
        <f>_xlfn.XLOOKUP(F541,品番!B:B,品番!C:C)</f>
        <v>ディスプレイ</v>
      </c>
      <c r="D541" s="189">
        <f>_xlfn.XLOOKUP(F541,品番!B:B,品番!D:D)</f>
        <v>0</v>
      </c>
      <c r="E541" s="179">
        <v>33457</v>
      </c>
      <c r="F541" s="180" t="s">
        <v>12</v>
      </c>
      <c r="G541" s="181">
        <v>0</v>
      </c>
      <c r="I541" s="122" t="s">
        <v>47</v>
      </c>
      <c r="J541" s="122" t="s">
        <v>47</v>
      </c>
      <c r="K541" s="182"/>
      <c r="M541" s="266" t="str" cm="1">
        <f t="array" ref="M541">_xlfn.TEXTJOIN(",", TRUE, _xlfn._xlws.FILTER(適用号機!D:D, (適用号機!B:B=改定!F541)*(適用号機!C:C=改定!G541), ""))</f>
        <v>A12A,A12B</v>
      </c>
      <c r="N541" s="142" t="str">
        <f t="shared" si="10"/>
        <v>17301-43650-00</v>
      </c>
      <c r="O541" s="122" t="s">
        <v>1702</v>
      </c>
    </row>
    <row r="542" spans="1:16">
      <c r="B542" s="189" t="str">
        <f>_xlfn.XLOOKUP(F542,品番!B:B,品番!G:G)</f>
        <v>5.7'ディスプレイ</v>
      </c>
      <c r="C542" s="189" t="str">
        <f>_xlfn.XLOOKUP(F542,品番!B:B,品番!C:C)</f>
        <v>ディスプレイ</v>
      </c>
      <c r="D542" s="189">
        <f>_xlfn.XLOOKUP(F542,品番!B:B,品番!D:D)</f>
        <v>0</v>
      </c>
      <c r="E542" s="179">
        <v>42659</v>
      </c>
      <c r="F542" s="180" t="s">
        <v>12</v>
      </c>
      <c r="G542" s="181">
        <v>1</v>
      </c>
      <c r="H542" s="125"/>
      <c r="K542" s="182"/>
      <c r="M542" s="266" t="str" cm="1">
        <f t="array" ref="M542">_xlfn.TEXTJOIN(",", TRUE, _xlfn._xlws.FILTER(適用号機!D:D, (適用号機!B:B=改定!F542)*(適用号機!C:C=改定!G542), ""))</f>
        <v>A12A,A12B,A14I,A5F,A7F,A7G,F14F,L9EV</v>
      </c>
      <c r="N542" s="142" t="str">
        <f t="shared" si="10"/>
        <v>17301-43650-01</v>
      </c>
      <c r="O542" s="122" t="s">
        <v>1702</v>
      </c>
    </row>
    <row r="543" spans="1:16">
      <c r="B543" s="189" t="str">
        <f>_xlfn.XLOOKUP(F543,品番!B:B,品番!G:G)</f>
        <v>5.7'ディスプレイ</v>
      </c>
      <c r="C543" s="189" t="str">
        <f>_xlfn.XLOOKUP(F543,品番!B:B,品番!C:C)</f>
        <v>ディスプレイ</v>
      </c>
      <c r="D543" s="189">
        <f>_xlfn.XLOOKUP(F543,品番!B:B,品番!D:D)</f>
        <v>0</v>
      </c>
      <c r="E543" s="179">
        <v>43461</v>
      </c>
      <c r="F543" s="180" t="s">
        <v>12</v>
      </c>
      <c r="G543" s="181">
        <v>2</v>
      </c>
      <c r="H543" s="125">
        <v>1.7</v>
      </c>
      <c r="K543" s="182"/>
      <c r="M543" s="266" t="str" cm="1">
        <f t="array" ref="M543">_xlfn.TEXTJOIN(",", TRUE, _xlfn._xlws.FILTER(適用号機!D:D, (適用号機!B:B=改定!F543)*(適用号機!C:C=改定!G543), ""))</f>
        <v>A5F,A7G,A7F,A12A,A12B,F14F,A14FW,C9-3,L9EV,A14I</v>
      </c>
      <c r="N543" s="142" t="str">
        <f t="shared" si="10"/>
        <v>17301-43650-02</v>
      </c>
      <c r="O543" s="122" t="s">
        <v>1702</v>
      </c>
    </row>
    <row r="544" spans="1:16">
      <c r="B544" s="189">
        <f>_xlfn.XLOOKUP(F544,品番!B:B,品番!G:G)</f>
        <v>0</v>
      </c>
      <c r="C544" s="189" t="str">
        <f>_xlfn.XLOOKUP(F544,品番!B:B,品番!C:C)</f>
        <v>ディスプレイ</v>
      </c>
      <c r="D544" s="189">
        <f>_xlfn.XLOOKUP(F544,品番!B:B,品番!D:D)</f>
        <v>0</v>
      </c>
      <c r="E544" s="179" t="s">
        <v>15</v>
      </c>
      <c r="F544" s="180" t="s">
        <v>14</v>
      </c>
      <c r="G544" s="181">
        <v>0</v>
      </c>
      <c r="I544" s="122" t="s">
        <v>47</v>
      </c>
      <c r="J544" s="122" t="s">
        <v>47</v>
      </c>
      <c r="K544" s="182"/>
      <c r="M544" s="266" t="str" cm="1">
        <f t="array" ref="M544">_xlfn.TEXTJOIN(",", TRUE, _xlfn._xlws.FILTER(適用号機!D:D, (適用号機!B:B=改定!F544)*(適用号機!C:C=改定!G544), ""))</f>
        <v/>
      </c>
      <c r="N544" s="142" t="str">
        <f t="shared" si="10"/>
        <v>17301-43651-00</v>
      </c>
      <c r="O544" s="122" t="s">
        <v>1702</v>
      </c>
    </row>
    <row r="545" spans="2:16">
      <c r="B545" s="189">
        <f>_xlfn.XLOOKUP(F545,品番!B:B,品番!G:G)</f>
        <v>0</v>
      </c>
      <c r="C545" s="189" t="str">
        <f>_xlfn.XLOOKUP(F545,品番!B:B,品番!C:C)</f>
        <v>ディスプレイ</v>
      </c>
      <c r="D545" s="189">
        <f>_xlfn.XLOOKUP(F545,品番!B:B,品番!D:D)</f>
        <v>0</v>
      </c>
      <c r="E545" s="179">
        <v>42834</v>
      </c>
      <c r="F545" s="180" t="s">
        <v>14</v>
      </c>
      <c r="G545" s="181">
        <v>1</v>
      </c>
      <c r="H545" s="125"/>
      <c r="K545" s="182"/>
      <c r="M545" s="266" t="str" cm="1">
        <f t="array" ref="M545">_xlfn.TEXTJOIN(",", TRUE, _xlfn._xlws.FILTER(適用号機!D:D, (適用号機!B:B=改定!F545)*(適用号機!C:C=改定!G545), ""))</f>
        <v>A14H,A14FW,C9-3,A14I,A25E</v>
      </c>
      <c r="N545" s="142" t="str">
        <f t="shared" si="10"/>
        <v>17301-43651-01</v>
      </c>
      <c r="O545" s="122" t="s">
        <v>1702</v>
      </c>
    </row>
    <row r="546" spans="2:16">
      <c r="B546" s="189">
        <f>_xlfn.XLOOKUP(F546,品番!B:B,品番!G:G)</f>
        <v>0</v>
      </c>
      <c r="C546" s="189" t="str">
        <f>_xlfn.XLOOKUP(F546,品番!B:B,品番!C:C)</f>
        <v>ディスプレイ</v>
      </c>
      <c r="D546" s="189">
        <f>_xlfn.XLOOKUP(F546,品番!B:B,品番!D:D)</f>
        <v>0</v>
      </c>
      <c r="E546" s="179">
        <v>43461</v>
      </c>
      <c r="F546" s="180" t="s">
        <v>14</v>
      </c>
      <c r="G546" s="181">
        <v>2</v>
      </c>
      <c r="H546" s="125">
        <v>1.7</v>
      </c>
      <c r="K546" s="182"/>
      <c r="M546" s="266" t="str" cm="1">
        <f t="array" ref="M546">_xlfn.TEXTJOIN(",", TRUE, _xlfn._xlws.FILTER(適用号機!D:D, (適用号機!B:B=改定!F546)*(適用号機!C:C=改定!G546), ""))</f>
        <v>A14H,A12A,A14FW,C9-3,A25E</v>
      </c>
      <c r="N546" s="142" t="str">
        <f t="shared" si="10"/>
        <v>17301-43651-02</v>
      </c>
      <c r="O546" s="122" t="s">
        <v>1702</v>
      </c>
    </row>
    <row r="547" spans="2:16">
      <c r="B547" s="189">
        <f>_xlfn.XLOOKUP(F547,品番!B:B,品番!G:G)</f>
        <v>0</v>
      </c>
      <c r="C547" s="189" t="str">
        <f>_xlfn.XLOOKUP(F547,品番!B:B,品番!C:C)</f>
        <v>ディスプレイ</v>
      </c>
      <c r="D547" s="189">
        <f>_xlfn.XLOOKUP(F547,品番!B:B,品番!D:D)</f>
        <v>0</v>
      </c>
      <c r="E547" s="179" t="s">
        <v>261</v>
      </c>
      <c r="F547" s="180" t="s">
        <v>17</v>
      </c>
      <c r="G547" s="181">
        <v>0</v>
      </c>
      <c r="I547" s="122" t="s">
        <v>47</v>
      </c>
      <c r="J547" s="122" t="s">
        <v>47</v>
      </c>
      <c r="K547" s="182"/>
      <c r="M547" s="266" t="str" cm="1">
        <f t="array" ref="M547">_xlfn.TEXTJOIN(",", TRUE, _xlfn._xlws.FILTER(適用号機!D:D, (適用号機!B:B=改定!F547)*(適用号機!C:C=改定!G547), ""))</f>
        <v/>
      </c>
      <c r="N547" s="142" t="str">
        <f t="shared" si="10"/>
        <v>17301-43660-00</v>
      </c>
      <c r="O547" s="122" t="s">
        <v>1702</v>
      </c>
    </row>
    <row r="548" spans="2:16">
      <c r="B548" s="189">
        <f>_xlfn.XLOOKUP(F548,品番!B:B,品番!G:G)</f>
        <v>0</v>
      </c>
      <c r="C548" s="189" t="str">
        <f>_xlfn.XLOOKUP(F548,品番!B:B,品番!C:C)</f>
        <v>ディスプレイ</v>
      </c>
      <c r="D548" s="189">
        <f>_xlfn.XLOOKUP(F548,品番!B:B,品番!D:D)</f>
        <v>0</v>
      </c>
      <c r="E548" s="179">
        <v>45171</v>
      </c>
      <c r="F548" s="180" t="s">
        <v>17</v>
      </c>
      <c r="G548" s="181">
        <v>1</v>
      </c>
      <c r="H548" s="125"/>
      <c r="K548" s="182"/>
      <c r="M548" s="266" t="str" cm="1">
        <f t="array" ref="M548">_xlfn.TEXTJOIN(",", TRUE, _xlfn._xlws.FILTER(適用号機!D:D, (適用号機!B:B=改定!F548)*(適用号機!C:C=改定!G548), ""))</f>
        <v/>
      </c>
      <c r="N548" s="142" t="str">
        <f t="shared" si="10"/>
        <v>17301-43660-01</v>
      </c>
      <c r="O548" s="122" t="s">
        <v>1702</v>
      </c>
    </row>
    <row r="549" spans="2:16">
      <c r="B549" s="189">
        <f>_xlfn.XLOOKUP(F549,品番!B:B,品番!G:G)</f>
        <v>0</v>
      </c>
      <c r="C549" s="189" t="str">
        <f>_xlfn.XLOOKUP(F549,品番!B:B,品番!C:C)</f>
        <v>ディスプレイ</v>
      </c>
      <c r="D549" s="189">
        <f>_xlfn.XLOOKUP(F549,品番!B:B,品番!D:D)</f>
        <v>0</v>
      </c>
      <c r="E549" s="179">
        <v>45521</v>
      </c>
      <c r="F549" s="180" t="s">
        <v>17</v>
      </c>
      <c r="G549" s="181">
        <v>2</v>
      </c>
      <c r="H549" s="125"/>
      <c r="K549" s="182"/>
      <c r="M549" s="266" t="str" cm="1">
        <f t="array" ref="M549">_xlfn.TEXTJOIN(",", TRUE, _xlfn._xlws.FILTER(適用号機!D:D, (適用号機!B:B=改定!F549)*(適用号機!C:C=改定!G549), ""))</f>
        <v>L8EV,L9ER,L9EV</v>
      </c>
      <c r="N549" s="142" t="str">
        <f t="shared" si="10"/>
        <v>17301-43660-02</v>
      </c>
      <c r="O549" s="122" t="s">
        <v>1702</v>
      </c>
    </row>
    <row r="550" spans="2:16">
      <c r="B550" s="189">
        <f>_xlfn.XLOOKUP(F550,品番!B:B,品番!G:G)</f>
        <v>0</v>
      </c>
      <c r="C550" s="189" t="str">
        <f>_xlfn.XLOOKUP(F550,品番!B:B,品番!C:C)</f>
        <v>ディスプレイ</v>
      </c>
      <c r="D550" s="189">
        <f>_xlfn.XLOOKUP(F550,品番!B:B,品番!D:D)</f>
        <v>0</v>
      </c>
      <c r="E550" s="179">
        <v>46104</v>
      </c>
      <c r="F550" s="180" t="s">
        <v>17</v>
      </c>
      <c r="G550" s="181">
        <v>3</v>
      </c>
      <c r="H550" s="125"/>
      <c r="K550" s="182"/>
      <c r="M550" s="266" t="str" cm="1">
        <f t="array" ref="M550">_xlfn.TEXTJOIN(",", TRUE, _xlfn._xlws.FILTER(適用号機!D:D, (適用号機!B:B=改定!F550)*(適用号機!C:C=改定!G550), ""))</f>
        <v/>
      </c>
      <c r="N550" s="142" t="str">
        <f t="shared" si="10"/>
        <v>17301-43660-03</v>
      </c>
      <c r="O550" s="122" t="s">
        <v>1702</v>
      </c>
    </row>
    <row r="551" spans="2:16">
      <c r="B551" s="189">
        <f>_xlfn.XLOOKUP(F551,品番!B:B,品番!G:G)</f>
        <v>0</v>
      </c>
      <c r="C551" s="189" t="str">
        <f>_xlfn.XLOOKUP(F551,品番!B:B,品番!C:C)</f>
        <v>ディスプレイ</v>
      </c>
      <c r="D551" s="189">
        <f>_xlfn.XLOOKUP(F551,品番!B:B,品番!D:D)</f>
        <v>0</v>
      </c>
      <c r="E551" s="179">
        <v>46656</v>
      </c>
      <c r="F551" s="180" t="s">
        <v>17</v>
      </c>
      <c r="G551" s="181">
        <v>4</v>
      </c>
      <c r="H551" s="125"/>
      <c r="K551" s="182"/>
      <c r="M551" s="266" t="str" cm="1">
        <f t="array" ref="M551">_xlfn.TEXTJOIN(",", TRUE, _xlfn._xlws.FILTER(適用号機!D:D, (適用号機!B:B=改定!F551)*(適用号機!C:C=改定!G551), ""))</f>
        <v>A5F,A6E,A7G,A7F,A12A,A12B,F14F,A14FW,L9ER,L9EV,L8EV,A14I</v>
      </c>
      <c r="N551" s="142" t="str">
        <f t="shared" si="10"/>
        <v>17301-43660-04</v>
      </c>
      <c r="O551" s="122" t="s">
        <v>1702</v>
      </c>
    </row>
    <row r="552" spans="2:16">
      <c r="B552" s="189">
        <f>_xlfn.XLOOKUP(F552,品番!B:B,品番!G:G)</f>
        <v>0</v>
      </c>
      <c r="C552" s="189" t="str">
        <f>_xlfn.XLOOKUP(F552,品番!B:B,品番!C:C)</f>
        <v>ディスプレイ</v>
      </c>
      <c r="D552" s="189">
        <f>_xlfn.XLOOKUP(F552,品番!B:B,品番!D:D)</f>
        <v>0</v>
      </c>
      <c r="E552" s="179">
        <v>46839</v>
      </c>
      <c r="F552" s="180" t="s">
        <v>17</v>
      </c>
      <c r="G552" s="181">
        <v>5</v>
      </c>
      <c r="H552" s="125"/>
      <c r="K552" s="182"/>
      <c r="M552" s="266" t="str" cm="1">
        <f t="array" ref="M552">_xlfn.TEXTJOIN(",", TRUE, _xlfn._xlws.FILTER(適用号機!D:D, (適用号機!B:B=改定!F552)*(適用号機!C:C=改定!G552), ""))</f>
        <v>L5E,A5F,A6E,A7G,A7F,A12A,A12B,F14F,A14FW,L9ER,L9EV,L8EV,A14I</v>
      </c>
      <c r="N552" s="142" t="str">
        <f t="shared" si="10"/>
        <v>17301-43660-05</v>
      </c>
      <c r="O552" s="122" t="s">
        <v>1702</v>
      </c>
    </row>
    <row r="553" spans="2:16">
      <c r="B553" s="189">
        <f>_xlfn.XLOOKUP(F553,品番!B:B,品番!G:G)</f>
        <v>0</v>
      </c>
      <c r="C553" s="189" t="str">
        <f>_xlfn.XLOOKUP(F553,品番!B:B,品番!C:C)</f>
        <v>ディスプレイ</v>
      </c>
      <c r="D553" s="189">
        <f>_xlfn.XLOOKUP(F553,品番!B:B,品番!D:D)</f>
        <v>0</v>
      </c>
      <c r="E553" s="179">
        <v>47472</v>
      </c>
      <c r="F553" s="180" t="s">
        <v>17</v>
      </c>
      <c r="G553" s="181">
        <v>6</v>
      </c>
      <c r="H553" s="125"/>
      <c r="K553" s="182"/>
      <c r="M553" s="266" t="str" cm="1">
        <f t="array" ref="M553">_xlfn.TEXTJOIN(",", TRUE, _xlfn._xlws.FILTER(適用号機!D:D, (適用号機!B:B=改定!F553)*(適用号機!C:C=改定!G553), ""))</f>
        <v>L5E,	A5F,	A6E,	A7G,	A7F,	A12A,A12B,	F14F,	A9F,	A14FW,	L9ER,	L9EV,L8EV,	A14I</v>
      </c>
      <c r="N553" s="142" t="str">
        <f t="shared" si="10"/>
        <v>17301-43660-06</v>
      </c>
      <c r="O553" s="122" t="s">
        <v>1702</v>
      </c>
    </row>
    <row r="554" spans="2:16">
      <c r="B554" s="189">
        <f>_xlfn.XLOOKUP(F554,品番!B:B,品番!G:G)</f>
        <v>0</v>
      </c>
      <c r="C554" s="189" t="str">
        <f>_xlfn.XLOOKUP(F554,品番!B:B,品番!C:C)</f>
        <v>ディスプレイ</v>
      </c>
      <c r="D554" s="189">
        <f>_xlfn.XLOOKUP(F554,品番!B:B,品番!D:D)</f>
        <v>0</v>
      </c>
      <c r="E554" s="179">
        <v>49660</v>
      </c>
      <c r="F554" s="180" t="s">
        <v>17</v>
      </c>
      <c r="G554" s="181">
        <v>7</v>
      </c>
      <c r="H554" s="125"/>
      <c r="K554" s="182"/>
      <c r="M554" s="266" t="str" cm="1">
        <f t="array" ref="M554">_xlfn.TEXTJOIN(",", TRUE, _xlfn._xlws.FILTER(適用号機!D:D, (適用号機!B:B=改定!F554)*(適用号機!C:C=改定!G554), ""))</f>
        <v/>
      </c>
      <c r="N554" s="142" t="str">
        <f t="shared" si="10"/>
        <v>17301-43660-07</v>
      </c>
      <c r="O554" s="122" t="s">
        <v>1702</v>
      </c>
    </row>
    <row r="555" spans="2:16">
      <c r="B555" s="189">
        <f>_xlfn.XLOOKUP(F555,品番!B:B,品番!G:G)</f>
        <v>0</v>
      </c>
      <c r="C555" s="189" t="str">
        <f>_xlfn.XLOOKUP(F555,品番!B:B,品番!C:C)</f>
        <v>ディスプレイ</v>
      </c>
      <c r="D555" s="189">
        <f>_xlfn.XLOOKUP(F555,品番!B:B,品番!D:D)</f>
        <v>0</v>
      </c>
      <c r="E555" s="179">
        <v>47167</v>
      </c>
      <c r="F555" s="180" t="s">
        <v>17</v>
      </c>
      <c r="G555" s="181">
        <v>8</v>
      </c>
      <c r="H555" s="125"/>
      <c r="K555" s="182"/>
      <c r="M555" s="266" t="str" cm="1">
        <f t="array" ref="M555">_xlfn.TEXTJOIN(",", TRUE, _xlfn._xlws.FILTER(適用号機!D:D, (適用号機!B:B=改定!F555)*(適用号機!C:C=改定!G555), ""))</f>
        <v/>
      </c>
      <c r="N555" s="142" t="str">
        <f t="shared" si="10"/>
        <v>17301-43660-08</v>
      </c>
      <c r="O555" s="122" t="s">
        <v>1702</v>
      </c>
    </row>
    <row r="556" spans="2:16">
      <c r="B556" s="189">
        <f>_xlfn.XLOOKUP(F556,品番!B:B,品番!G:G)</f>
        <v>0</v>
      </c>
      <c r="C556" s="189" t="str">
        <f>_xlfn.XLOOKUP(F556,品番!B:B,品番!C:C)</f>
        <v>ディスプレイ</v>
      </c>
      <c r="D556" s="189">
        <f>_xlfn.XLOOKUP(F556,品番!B:B,品番!D:D)</f>
        <v>0</v>
      </c>
      <c r="E556" s="179">
        <v>54923</v>
      </c>
      <c r="F556" s="180" t="s">
        <v>17</v>
      </c>
      <c r="G556" s="181">
        <v>9</v>
      </c>
      <c r="H556" s="125">
        <v>1.33</v>
      </c>
      <c r="K556" s="182"/>
      <c r="M556" s="266" t="str" cm="1">
        <f t="array" ref="M556">_xlfn.TEXTJOIN(",", TRUE, _xlfn._xlws.FILTER(適用号機!D:D, (適用号機!B:B=改定!F556)*(適用号機!C:C=改定!G556), ""))</f>
        <v/>
      </c>
      <c r="N556" s="142" t="str">
        <f t="shared" si="10"/>
        <v>17301-43660-09</v>
      </c>
      <c r="O556" s="122" t="s">
        <v>1702</v>
      </c>
      <c r="P556"/>
    </row>
    <row r="557" spans="2:16">
      <c r="B557" s="189">
        <f>_xlfn.XLOOKUP(F557,品番!B:B,品番!G:G)</f>
        <v>0</v>
      </c>
      <c r="C557" s="189" t="str">
        <f>_xlfn.XLOOKUP(F557,品番!B:B,品番!C:C)</f>
        <v>ディスプレイ</v>
      </c>
      <c r="D557" s="189">
        <f>_xlfn.XLOOKUP(F557,品番!B:B,品番!D:D)</f>
        <v>0</v>
      </c>
      <c r="E557" s="179" t="s">
        <v>261</v>
      </c>
      <c r="F557" s="180" t="s">
        <v>18</v>
      </c>
      <c r="G557" s="181">
        <v>0</v>
      </c>
      <c r="H557" s="125"/>
      <c r="K557" s="182"/>
      <c r="M557" s="266" t="str" cm="1">
        <f t="array" ref="M557">_xlfn.TEXTJOIN(",", TRUE, _xlfn._xlws.FILTER(適用号機!D:D, (適用号機!B:B=改定!F557)*(適用号機!C:C=改定!G557), ""))</f>
        <v/>
      </c>
      <c r="N557" s="142" t="str">
        <f t="shared" si="10"/>
        <v>17301-43661-00</v>
      </c>
      <c r="O557" s="122" t="s">
        <v>1702</v>
      </c>
    </row>
    <row r="558" spans="2:16">
      <c r="B558" s="189">
        <f>_xlfn.XLOOKUP(F558,品番!B:B,品番!G:G)</f>
        <v>0</v>
      </c>
      <c r="C558" s="189" t="str">
        <f>_xlfn.XLOOKUP(F558,品番!B:B,品番!C:C)</f>
        <v>ディスプレイ</v>
      </c>
      <c r="D558" s="189">
        <f>_xlfn.XLOOKUP(F558,品番!B:B,品番!D:D)</f>
        <v>0</v>
      </c>
      <c r="E558" s="179">
        <v>45171</v>
      </c>
      <c r="F558" s="180" t="s">
        <v>18</v>
      </c>
      <c r="G558" s="181">
        <v>1</v>
      </c>
      <c r="H558" s="125"/>
      <c r="K558" s="182"/>
      <c r="M558" s="266" t="str" cm="1">
        <f t="array" ref="M558">_xlfn.TEXTJOIN(",", TRUE, _xlfn._xlws.FILTER(適用号機!D:D, (適用号機!B:B=改定!F558)*(適用号機!C:C=改定!G558), ""))</f>
        <v>L8EV,L9ER,L9EV</v>
      </c>
      <c r="N558" s="142" t="str">
        <f t="shared" si="10"/>
        <v>17301-43661-01</v>
      </c>
      <c r="O558" s="122" t="s">
        <v>1702</v>
      </c>
    </row>
    <row r="559" spans="2:16">
      <c r="B559" s="189">
        <f>_xlfn.XLOOKUP(F559,品番!B:B,品番!G:G)</f>
        <v>0</v>
      </c>
      <c r="C559" s="189" t="str">
        <f>_xlfn.XLOOKUP(F559,品番!B:B,品番!C:C)</f>
        <v>ディスプレイ</v>
      </c>
      <c r="D559" s="189">
        <f>_xlfn.XLOOKUP(F559,品番!B:B,品番!D:D)</f>
        <v>0</v>
      </c>
      <c r="E559" s="179">
        <v>45521</v>
      </c>
      <c r="F559" s="180" t="s">
        <v>18</v>
      </c>
      <c r="G559" s="181">
        <v>2</v>
      </c>
      <c r="H559" s="125"/>
      <c r="K559" s="182"/>
      <c r="M559" s="266" t="str" cm="1">
        <f t="array" ref="M559">_xlfn.TEXTJOIN(",", TRUE, _xlfn._xlws.FILTER(適用号機!D:D, (適用号機!B:B=改定!F559)*(適用号機!C:C=改定!G559), ""))</f>
        <v>L8EV,L9ER,L9EV</v>
      </c>
      <c r="N559" s="142" t="str">
        <f t="shared" si="10"/>
        <v>17301-43661-02</v>
      </c>
      <c r="O559" s="122" t="s">
        <v>1702</v>
      </c>
    </row>
    <row r="560" spans="2:16">
      <c r="B560" s="189">
        <f>_xlfn.XLOOKUP(F560,品番!B:B,品番!G:G)</f>
        <v>0</v>
      </c>
      <c r="C560" s="189" t="str">
        <f>_xlfn.XLOOKUP(F560,品番!B:B,品番!C:C)</f>
        <v>ディスプレイ</v>
      </c>
      <c r="D560" s="189">
        <f>_xlfn.XLOOKUP(F560,品番!B:B,品番!D:D)</f>
        <v>0</v>
      </c>
      <c r="E560" s="179">
        <v>46104</v>
      </c>
      <c r="F560" s="180" t="s">
        <v>18</v>
      </c>
      <c r="G560" s="181">
        <v>3</v>
      </c>
      <c r="H560" s="125"/>
      <c r="K560" s="182"/>
      <c r="M560" s="266" t="str" cm="1">
        <f t="array" ref="M560">_xlfn.TEXTJOIN(",", TRUE, _xlfn._xlws.FILTER(適用号機!D:D, (適用号機!B:B=改定!F560)*(適用号機!C:C=改定!G560), ""))</f>
        <v/>
      </c>
      <c r="N560" s="142" t="str">
        <f t="shared" si="10"/>
        <v>17301-43661-03</v>
      </c>
      <c r="O560" s="122" t="s">
        <v>1702</v>
      </c>
    </row>
    <row r="561" spans="2:16">
      <c r="B561" s="189">
        <f>_xlfn.XLOOKUP(F561,品番!B:B,品番!G:G)</f>
        <v>0</v>
      </c>
      <c r="C561" s="189" t="str">
        <f>_xlfn.XLOOKUP(F561,品番!B:B,品番!C:C)</f>
        <v>ディスプレイ</v>
      </c>
      <c r="D561" s="189">
        <f>_xlfn.XLOOKUP(F561,品番!B:B,品番!D:D)</f>
        <v>0</v>
      </c>
      <c r="E561" s="179">
        <v>46538</v>
      </c>
      <c r="F561" s="180" t="s">
        <v>18</v>
      </c>
      <c r="G561" s="181">
        <v>4</v>
      </c>
      <c r="H561" s="125"/>
      <c r="K561" s="182"/>
      <c r="L561" s="122" t="s">
        <v>845</v>
      </c>
      <c r="M561" s="266" t="str" cm="1">
        <f t="array" ref="M561">_xlfn.TEXTJOIN(",", TRUE, _xlfn._xlws.FILTER(適用号機!D:D, (適用号機!B:B=改定!F561)*(適用号機!C:C=改定!G561), ""))</f>
        <v>A14H,A12B,A12A,A14FW,L9ER,L9EV,L5E,L8EV,L8EV2,A14I</v>
      </c>
      <c r="N561" s="142" t="str">
        <f t="shared" si="10"/>
        <v>17301-43661-04</v>
      </c>
      <c r="O561" s="122" t="s">
        <v>1702</v>
      </c>
    </row>
    <row r="562" spans="2:16">
      <c r="B562" s="189">
        <f>_xlfn.XLOOKUP(F562,品番!B:B,品番!G:G)</f>
        <v>0</v>
      </c>
      <c r="C562" s="189" t="str">
        <f>_xlfn.XLOOKUP(F562,品番!B:B,品番!C:C)</f>
        <v>ディスプレイ</v>
      </c>
      <c r="D562" s="189">
        <f>_xlfn.XLOOKUP(F562,品番!B:B,品番!D:D)</f>
        <v>0</v>
      </c>
      <c r="E562" s="179">
        <v>46839</v>
      </c>
      <c r="F562" s="180" t="s">
        <v>18</v>
      </c>
      <c r="G562" s="181">
        <v>5</v>
      </c>
      <c r="H562" s="125"/>
      <c r="K562" s="182"/>
      <c r="M562" s="266" t="str" cm="1">
        <f t="array" ref="M562">_xlfn.TEXTJOIN(",", TRUE, _xlfn._xlws.FILTER(適用号機!D:D, (適用号機!B:B=改定!F562)*(適用号機!C:C=改定!G562), ""))</f>
        <v>A14H,A12B,A12A,A14FW,L9ER,L9EV,L5E,L8EV,L8EV2,A14I</v>
      </c>
      <c r="N562" s="142" t="str">
        <f t="shared" si="10"/>
        <v>17301-43661-05</v>
      </c>
      <c r="O562" s="122" t="s">
        <v>1702</v>
      </c>
    </row>
    <row r="563" spans="2:16">
      <c r="B563" s="189">
        <f>_xlfn.XLOOKUP(F563,品番!B:B,品番!G:G)</f>
        <v>0</v>
      </c>
      <c r="C563" s="189" t="str">
        <f>_xlfn.XLOOKUP(F563,品番!B:B,品番!C:C)</f>
        <v>ディスプレイ</v>
      </c>
      <c r="D563" s="189">
        <f>_xlfn.XLOOKUP(F563,品番!B:B,品番!D:D)</f>
        <v>0</v>
      </c>
      <c r="E563" s="179">
        <v>47472</v>
      </c>
      <c r="F563" s="180" t="s">
        <v>18</v>
      </c>
      <c r="G563" s="181">
        <v>6</v>
      </c>
      <c r="H563" s="125"/>
      <c r="K563" s="182"/>
      <c r="M563" s="266" t="str" cm="1">
        <f t="array" ref="M563">_xlfn.TEXTJOIN(",", TRUE, _xlfn._xlws.FILTER(適用号機!D:D, (適用号機!B:B=改定!F563)*(適用号機!C:C=改定!G563), ""))</f>
        <v>A14H,	A14I,	L5E,	A12B,	A12A,	A14FW,	L6F,L9ER,	L9EV,	L8EV2,	L8EV,L9EV2,	A14I</v>
      </c>
      <c r="N563" s="142" t="str">
        <f t="shared" si="10"/>
        <v>17301-43661-06</v>
      </c>
      <c r="O563" s="122" t="s">
        <v>1702</v>
      </c>
    </row>
    <row r="564" spans="2:16">
      <c r="B564" s="189">
        <f>_xlfn.XLOOKUP(F564,品番!B:B,品番!G:G)</f>
        <v>0</v>
      </c>
      <c r="C564" s="189" t="str">
        <f>_xlfn.XLOOKUP(F564,品番!B:B,品番!C:C)</f>
        <v>ディスプレイ</v>
      </c>
      <c r="D564" s="189">
        <f>_xlfn.XLOOKUP(F564,品番!B:B,品番!D:D)</f>
        <v>0</v>
      </c>
      <c r="E564" s="179">
        <v>49660</v>
      </c>
      <c r="F564" s="180" t="s">
        <v>18</v>
      </c>
      <c r="G564" s="181">
        <v>7</v>
      </c>
      <c r="H564" s="125"/>
      <c r="K564" s="182"/>
      <c r="M564" s="266" t="str" cm="1">
        <f t="array" ref="M564">_xlfn.TEXTJOIN(",", TRUE, _xlfn._xlws.FILTER(適用号機!D:D, (適用号機!B:B=改定!F564)*(適用号機!C:C=改定!G564), ""))</f>
        <v/>
      </c>
      <c r="N564" s="142" t="str">
        <f t="shared" si="10"/>
        <v>17301-43661-07</v>
      </c>
      <c r="O564" s="122" t="s">
        <v>1702</v>
      </c>
    </row>
    <row r="565" spans="2:16">
      <c r="B565" s="189">
        <f>_xlfn.XLOOKUP(F565,品番!B:B,品番!G:G)</f>
        <v>0</v>
      </c>
      <c r="C565" s="189" t="str">
        <f>_xlfn.XLOOKUP(F565,品番!B:B,品番!C:C)</f>
        <v>ディスプレイ</v>
      </c>
      <c r="D565" s="189">
        <f>_xlfn.XLOOKUP(F565,品番!B:B,品番!D:D)</f>
        <v>0</v>
      </c>
      <c r="E565" s="179">
        <v>47167</v>
      </c>
      <c r="F565" s="180" t="s">
        <v>18</v>
      </c>
      <c r="G565" s="181">
        <v>8</v>
      </c>
      <c r="H565" s="125"/>
      <c r="K565" s="182"/>
      <c r="M565" s="266" t="str" cm="1">
        <f t="array" ref="M565">_xlfn.TEXTJOIN(",", TRUE, _xlfn._xlws.FILTER(適用号機!D:D, (適用号機!B:B=改定!F565)*(適用号機!C:C=改定!G565), ""))</f>
        <v/>
      </c>
      <c r="N565" s="142" t="str">
        <f t="shared" si="10"/>
        <v>17301-43661-08</v>
      </c>
      <c r="O565" s="122" t="s">
        <v>1702</v>
      </c>
    </row>
    <row r="566" spans="2:16">
      <c r="B566" s="189">
        <f>_xlfn.XLOOKUP(F566,品番!B:B,品番!G:G)</f>
        <v>0</v>
      </c>
      <c r="C566" s="189" t="str">
        <f>_xlfn.XLOOKUP(F566,品番!B:B,品番!C:C)</f>
        <v>ディスプレイ</v>
      </c>
      <c r="D566" s="189">
        <f>_xlfn.XLOOKUP(F566,品番!B:B,品番!D:D)</f>
        <v>0</v>
      </c>
      <c r="E566" s="179">
        <v>54923</v>
      </c>
      <c r="F566" s="180" t="s">
        <v>18</v>
      </c>
      <c r="G566" s="181">
        <v>9</v>
      </c>
      <c r="H566" s="125">
        <v>1.33</v>
      </c>
      <c r="K566" s="182"/>
      <c r="M566" s="266" t="str" cm="1">
        <f t="array" ref="M566">_xlfn.TEXTJOIN(",", TRUE, _xlfn._xlws.FILTER(適用号機!D:D, (適用号機!B:B=改定!F566)*(適用号機!C:C=改定!G566), ""))</f>
        <v/>
      </c>
      <c r="N566" s="142" t="str">
        <f t="shared" si="10"/>
        <v>17301-43661-09</v>
      </c>
      <c r="O566" s="122" t="s">
        <v>1702</v>
      </c>
    </row>
    <row r="567" spans="2:16">
      <c r="B567" s="189">
        <f>_xlfn.XLOOKUP(F567,品番!B:B,品番!G:G)</f>
        <v>0</v>
      </c>
      <c r="C567" s="189" t="str">
        <f>_xlfn.XLOOKUP(F567,品番!B:B,品番!C:C)</f>
        <v>ディスプレイ</v>
      </c>
      <c r="D567" s="189">
        <f>_xlfn.XLOOKUP(F567,品番!B:B,品番!D:D)</f>
        <v>0</v>
      </c>
      <c r="E567" s="179">
        <v>49074</v>
      </c>
      <c r="F567" s="180" t="s">
        <v>19</v>
      </c>
      <c r="G567" s="181">
        <v>0</v>
      </c>
      <c r="H567" s="125"/>
      <c r="K567" s="182"/>
      <c r="M567" s="266" t="str" cm="1">
        <f t="array" ref="M567">_xlfn.TEXTJOIN(",", TRUE, _xlfn._xlws.FILTER(適用号機!D:D, (適用号機!B:B=改定!F567)*(適用号機!C:C=改定!G567), ""))</f>
        <v>A14I,	L5E,A5F,	A6E,A7G,A7F,A9F,	F10E,	A12A,	A12B,F14F,	A14FW,	L9ER,	L9EV,L8EV</v>
      </c>
      <c r="N567" s="142" t="str">
        <f t="shared" si="10"/>
        <v>17301-43664-00</v>
      </c>
      <c r="O567" s="122" t="s">
        <v>1702</v>
      </c>
    </row>
    <row r="568" spans="2:16">
      <c r="B568" s="189">
        <f>_xlfn.XLOOKUP(F568,品番!B:B,品番!G:G)</f>
        <v>0</v>
      </c>
      <c r="C568" s="189" t="str">
        <f>_xlfn.XLOOKUP(F568,品番!B:B,品番!C:C)</f>
        <v>ディスプレイ</v>
      </c>
      <c r="D568" s="189">
        <f>_xlfn.XLOOKUP(F568,品番!B:B,品番!D:D)</f>
        <v>0</v>
      </c>
      <c r="E568" s="179">
        <v>49660</v>
      </c>
      <c r="F568" s="180" t="s">
        <v>19</v>
      </c>
      <c r="G568" s="181">
        <v>1</v>
      </c>
      <c r="H568" s="125"/>
      <c r="K568" s="182"/>
      <c r="M568" s="266" t="str" cm="1">
        <f t="array" ref="M568">_xlfn.TEXTJOIN(",", TRUE, _xlfn._xlws.FILTER(適用号機!D:D, (適用号機!B:B=改定!F568)*(適用号機!C:C=改定!G568), ""))</f>
        <v>A14I,L5E,A5F,A6E,A7G,A7F,A9F,F10E,A12A,A12B,F14F,A14FW,L9ER,L9EV,L8EV</v>
      </c>
      <c r="N568" s="142" t="str">
        <f t="shared" si="10"/>
        <v>17301-43664-01</v>
      </c>
      <c r="O568" s="122" t="s">
        <v>1702</v>
      </c>
    </row>
    <row r="569" spans="2:16">
      <c r="B569" s="189">
        <f>_xlfn.XLOOKUP(F569,品番!B:B,品番!G:G)</f>
        <v>0</v>
      </c>
      <c r="C569" s="189" t="str">
        <f>_xlfn.XLOOKUP(F569,品番!B:B,品番!C:C)</f>
        <v>ディスプレイ</v>
      </c>
      <c r="D569" s="189">
        <f>_xlfn.XLOOKUP(F569,品番!B:B,品番!D:D)</f>
        <v>0</v>
      </c>
      <c r="E569" s="179">
        <v>50119</v>
      </c>
      <c r="F569" s="180" t="s">
        <v>19</v>
      </c>
      <c r="G569" s="181">
        <v>2</v>
      </c>
      <c r="H569" s="125"/>
      <c r="K569" s="182"/>
      <c r="M569" s="266" t="str" cm="1">
        <f t="array" ref="M569">_xlfn.TEXTJOIN(",", TRUE, _xlfn._xlws.FILTER(適用号機!D:D, (適用号機!B:B=改定!F569)*(適用号機!C:C=改定!G569), ""))</f>
        <v xml:space="preserve">	A14I,	L5E,	A5F,	A6E,	A7G,A7F,	A9F,	F10E,A12A,	A12B,	F14F,	A14FW,L9ER,	L9EV	,L8EV</v>
      </c>
      <c r="N569" s="142" t="str">
        <f t="shared" si="10"/>
        <v>17301-43664-02</v>
      </c>
      <c r="O569" s="122" t="s">
        <v>1702</v>
      </c>
    </row>
    <row r="570" spans="2:16">
      <c r="B570" s="189">
        <f>_xlfn.XLOOKUP(F570,品番!B:B,品番!G:G)</f>
        <v>0</v>
      </c>
      <c r="C570" s="189" t="str">
        <f>_xlfn.XLOOKUP(F570,品番!B:B,品番!C:C)</f>
        <v>ディスプレイ</v>
      </c>
      <c r="D570" s="189">
        <f>_xlfn.XLOOKUP(F570,品番!B:B,品番!D:D)</f>
        <v>0</v>
      </c>
      <c r="E570" s="179">
        <v>50924</v>
      </c>
      <c r="F570" s="180" t="s">
        <v>19</v>
      </c>
      <c r="G570" s="181">
        <v>3</v>
      </c>
      <c r="H570" s="125"/>
      <c r="K570" s="182"/>
      <c r="M570" s="266" t="str" cm="1">
        <f t="array" ref="M570">_xlfn.TEXTJOIN(",", TRUE, _xlfn._xlws.FILTER(適用号機!D:D, (適用号機!B:B=改定!F570)*(適用号機!C:C=改定!G570), ""))</f>
        <v xml:space="preserve">	A14I,	L5E,	A5F,	A6E,	A7G,A7F,	A9F,	F10E,A12A,	A12B,	F14F,	A14FW,L9ER,	L9EV	,L8EV</v>
      </c>
      <c r="N570" s="142" t="str">
        <f t="shared" si="10"/>
        <v>17301-43664-03</v>
      </c>
      <c r="O570" s="122" t="s">
        <v>1702</v>
      </c>
      <c r="P570"/>
    </row>
    <row r="571" spans="2:16">
      <c r="B571" s="189">
        <f>_xlfn.XLOOKUP(F571,品番!B:B,品番!G:G)</f>
        <v>0</v>
      </c>
      <c r="C571" s="189" t="str">
        <f>_xlfn.XLOOKUP(F571,品番!B:B,品番!C:C)</f>
        <v>ディスプレイ</v>
      </c>
      <c r="D571" s="189">
        <f>_xlfn.XLOOKUP(F571,品番!B:B,品番!D:D)</f>
        <v>0</v>
      </c>
      <c r="E571" s="179">
        <v>51129</v>
      </c>
      <c r="F571" s="180" t="s">
        <v>19</v>
      </c>
      <c r="G571" s="181">
        <v>4</v>
      </c>
      <c r="H571" s="125"/>
      <c r="K571" s="182"/>
      <c r="M571" s="266" t="str" cm="1">
        <f t="array" ref="M571">_xlfn.TEXTJOIN(",", TRUE, _xlfn._xlws.FILTER(適用号機!D:D, (適用号機!B:B=改定!F571)*(適用号機!C:C=改定!G571), ""))</f>
        <v xml:space="preserve">	A14I,	L5E,	A5F,	A6E,	A7G,A7F,	A9F,	F10E,A12A,	A12B,	F14F,	A14FW,L9ER,	L9EV	,L8EV</v>
      </c>
      <c r="N571" s="142" t="str">
        <f t="shared" si="10"/>
        <v>17301-43664-04</v>
      </c>
      <c r="O571" s="122" t="s">
        <v>1702</v>
      </c>
      <c r="P571"/>
    </row>
    <row r="572" spans="2:16">
      <c r="B572" s="189">
        <f>_xlfn.XLOOKUP(F572,品番!B:B,品番!G:G)</f>
        <v>0</v>
      </c>
      <c r="C572" s="189" t="str">
        <f>_xlfn.XLOOKUP(F572,品番!B:B,品番!C:C)</f>
        <v>ディスプレイ</v>
      </c>
      <c r="D572" s="189">
        <f>_xlfn.XLOOKUP(F572,品番!B:B,品番!D:D)</f>
        <v>0</v>
      </c>
      <c r="E572" s="179">
        <v>50879</v>
      </c>
      <c r="F572" s="180" t="s">
        <v>19</v>
      </c>
      <c r="G572" s="181">
        <v>5</v>
      </c>
      <c r="H572" s="125"/>
      <c r="K572" s="182"/>
      <c r="M572" s="266" t="str" cm="1">
        <f t="array" ref="M572">_xlfn.TEXTJOIN(",", TRUE, _xlfn._xlws.FILTER(適用号機!D:D, (適用号機!B:B=改定!F572)*(適用号機!C:C=改定!G572), ""))</f>
        <v xml:space="preserve">	A14I,	L5E,	A5F,	A6E,	A7G,A7F,	A9F,	F10E,A12A,	A12B,	F14F,	A14FW,L9ER,	L9EV	,L8EV</v>
      </c>
      <c r="N572" s="142" t="str">
        <f t="shared" si="10"/>
        <v>17301-43664-05</v>
      </c>
      <c r="O572" s="122" t="s">
        <v>1702</v>
      </c>
    </row>
    <row r="573" spans="2:16">
      <c r="B573" s="189">
        <f>_xlfn.XLOOKUP(F573,品番!B:B,品番!G:G)</f>
        <v>0</v>
      </c>
      <c r="C573" s="189" t="str">
        <f>_xlfn.XLOOKUP(F573,品番!B:B,品番!C:C)</f>
        <v>ディスプレイ</v>
      </c>
      <c r="D573" s="189">
        <f>_xlfn.XLOOKUP(F573,品番!B:B,品番!D:D)</f>
        <v>0</v>
      </c>
      <c r="E573" s="179">
        <v>51498</v>
      </c>
      <c r="F573" s="180" t="s">
        <v>19</v>
      </c>
      <c r="G573" s="181">
        <v>6</v>
      </c>
      <c r="H573" s="125"/>
      <c r="K573" s="182"/>
      <c r="M573" s="266" t="str" cm="1">
        <f t="array" ref="M573">_xlfn.TEXTJOIN(",", TRUE, _xlfn._xlws.FILTER(適用号機!D:D, (適用号機!B:B=改定!F573)*(適用号機!C:C=改定!G573), ""))</f>
        <v xml:space="preserve">	A14I,	L5E,	A5F,	A6E,	A7G,A7F,	A9F,	F10E,A12A,	A12B,	F14F,	A14FW,L9ER,	L9EV	,L8EV</v>
      </c>
      <c r="N573" s="142" t="str">
        <f t="shared" si="10"/>
        <v>17301-43664-06</v>
      </c>
      <c r="O573" s="122" t="s">
        <v>1702</v>
      </c>
    </row>
    <row r="574" spans="2:16">
      <c r="B574" s="189">
        <f>_xlfn.XLOOKUP(F574,品番!B:B,品番!G:G)</f>
        <v>0</v>
      </c>
      <c r="C574" s="189" t="str">
        <f>_xlfn.XLOOKUP(F574,品番!B:B,品番!C:C)</f>
        <v>ディスプレイ</v>
      </c>
      <c r="D574" s="189">
        <f>_xlfn.XLOOKUP(F574,品番!B:B,品番!D:D)</f>
        <v>0</v>
      </c>
      <c r="E574" s="179">
        <v>47167</v>
      </c>
      <c r="F574" s="180" t="s">
        <v>19</v>
      </c>
      <c r="G574" s="181">
        <v>7</v>
      </c>
      <c r="H574" s="125"/>
      <c r="K574" s="182"/>
      <c r="M574" s="266" t="str" cm="1">
        <f t="array" ref="M574">_xlfn.TEXTJOIN(",", TRUE, _xlfn._xlws.FILTER(適用号機!D:D, (適用号機!B:B=改定!F574)*(適用号機!C:C=改定!G574), ""))</f>
        <v>A14I,L5E,A5F,A6E,	A7G,	A7G,	A9F,	F10E,	A12A,	A12B,	F14F,A14FW,	L9ER,L9EV,L8EV</v>
      </c>
      <c r="N574" s="142" t="str">
        <f t="shared" si="10"/>
        <v>17301-43664-07</v>
      </c>
      <c r="O574" s="122" t="s">
        <v>1702</v>
      </c>
    </row>
    <row r="575" spans="2:16">
      <c r="B575" s="189">
        <f>_xlfn.XLOOKUP(F575,品番!B:B,品番!G:G)</f>
        <v>0</v>
      </c>
      <c r="C575" s="189" t="str">
        <f>_xlfn.XLOOKUP(F575,品番!B:B,品番!C:C)</f>
        <v>ディスプレイ</v>
      </c>
      <c r="D575" s="189">
        <f>_xlfn.XLOOKUP(F575,品番!B:B,品番!D:D)</f>
        <v>0</v>
      </c>
      <c r="E575" s="179">
        <v>52999</v>
      </c>
      <c r="F575" s="180" t="s">
        <v>19</v>
      </c>
      <c r="G575" s="181">
        <v>8</v>
      </c>
      <c r="H575" s="125"/>
      <c r="K575" s="182"/>
      <c r="M575" s="266" t="str" cm="1">
        <f t="array" ref="M575">_xlfn.TEXTJOIN(",", TRUE, _xlfn._xlws.FILTER(適用号機!D:D, (適用号機!B:B=改定!F575)*(適用号機!C:C=改定!G575), ""))</f>
        <v xml:space="preserve">	A14I,	L5E,	A5F,	A6E,	A7G,A7F,	A9F,	F10E,A12A,	A12B,	F14F,	A14FW,L9ER,	L9EV	,L8EV</v>
      </c>
      <c r="N575" s="142" t="str">
        <f t="shared" si="10"/>
        <v>17301-43664-08</v>
      </c>
      <c r="O575" s="122" t="s">
        <v>1702</v>
      </c>
    </row>
    <row r="576" spans="2:16">
      <c r="B576" s="189">
        <f>_xlfn.XLOOKUP(F576,品番!B:B,品番!G:G)</f>
        <v>0</v>
      </c>
      <c r="C576" s="189" t="str">
        <f>_xlfn.XLOOKUP(F576,品番!B:B,品番!C:C)</f>
        <v>ディスプレイ</v>
      </c>
      <c r="D576" s="189">
        <f>_xlfn.XLOOKUP(F576,品番!B:B,品番!D:D)</f>
        <v>0</v>
      </c>
      <c r="E576" s="179">
        <v>53855</v>
      </c>
      <c r="F576" s="180" t="s">
        <v>19</v>
      </c>
      <c r="G576" s="181">
        <v>9</v>
      </c>
      <c r="H576" s="125"/>
      <c r="K576" s="182"/>
      <c r="M576" s="266" t="str" cm="1">
        <f t="array" ref="M576">_xlfn.TEXTJOIN(",", TRUE, _xlfn._xlws.FILTER(適用号機!D:D, (適用号機!B:B=改定!F576)*(適用号機!C:C=改定!G576), ""))</f>
        <v xml:space="preserve">	A14I,	L5E,	A5F,	A6E,	A7G,A7F,	A9F,	F10E,A12A,	A12B,	F14F,	A14FW,L9ER,	L9EV	,L8EV</v>
      </c>
      <c r="N576" s="142" t="str">
        <f t="shared" si="10"/>
        <v>17301-43664-09</v>
      </c>
      <c r="O576" s="122" t="s">
        <v>1702</v>
      </c>
    </row>
    <row r="577" spans="2:16">
      <c r="B577" s="189">
        <f>_xlfn.XLOOKUP(F577,品番!B:B,品番!G:G)</f>
        <v>0</v>
      </c>
      <c r="C577" s="189" t="str">
        <f>_xlfn.XLOOKUP(F577,品番!B:B,品番!C:C)</f>
        <v>ディスプレイ</v>
      </c>
      <c r="D577" s="189">
        <f>_xlfn.XLOOKUP(F577,品番!B:B,品番!D:D)</f>
        <v>0</v>
      </c>
      <c r="E577" s="179">
        <v>54923</v>
      </c>
      <c r="F577" s="180" t="s">
        <v>19</v>
      </c>
      <c r="G577" s="181">
        <v>10</v>
      </c>
      <c r="H577" s="125"/>
      <c r="K577" s="182"/>
      <c r="M577" s="266" t="str" cm="1">
        <f t="array" ref="M577">_xlfn.TEXTJOIN(",", TRUE, _xlfn._xlws.FILTER(適用号機!D:D, (適用号機!B:B=改定!F577)*(適用号機!C:C=改定!G577), ""))</f>
        <v xml:space="preserve">	A14I,	L5E,	A5F,	A6E,	A7G,A7F,	A9F,	F10E,A12A,	A12B,	F14F,	A14FW,L9ER,	L9EV	,L8EV</v>
      </c>
      <c r="N577" s="142" t="str">
        <f t="shared" si="10"/>
        <v>17301-43664-10</v>
      </c>
      <c r="O577" s="122" t="s">
        <v>1702</v>
      </c>
    </row>
    <row r="578" spans="2:16">
      <c r="B578" s="189">
        <f>_xlfn.XLOOKUP(F578,品番!B:B,品番!G:G)</f>
        <v>0</v>
      </c>
      <c r="C578" s="189" t="str">
        <f>_xlfn.XLOOKUP(F578,品番!B:B,品番!C:C)</f>
        <v>ディスプレイ</v>
      </c>
      <c r="D578" s="189">
        <f>_xlfn.XLOOKUP(F578,品番!B:B,品番!D:D)</f>
        <v>0</v>
      </c>
      <c r="E578" s="179">
        <v>55660</v>
      </c>
      <c r="F578" s="180" t="s">
        <v>19</v>
      </c>
      <c r="G578" s="181">
        <v>11</v>
      </c>
      <c r="H578" s="125"/>
      <c r="K578" s="182"/>
      <c r="M578" s="266" t="str" cm="1">
        <f t="array" ref="M578">_xlfn.TEXTJOIN(",", TRUE, _xlfn._xlws.FILTER(適用号機!D:D, (適用号機!B:B=改定!F578)*(適用号機!C:C=改定!G578), ""))</f>
        <v xml:space="preserve">	A14I,	L5E,	A5F,	A6E,	A7G,A7F,	A9F,	F10E,A12A,	A12B,	F14F,	A14FW,L9ER,	L9EV	,L8EV</v>
      </c>
      <c r="N578" s="142" t="str">
        <f t="shared" si="10"/>
        <v>17301-43664-11</v>
      </c>
      <c r="O578" s="122" t="s">
        <v>1702</v>
      </c>
    </row>
    <row r="579" spans="2:16">
      <c r="B579" s="189">
        <f>_xlfn.XLOOKUP(F579,品番!B:B,品番!G:G)</f>
        <v>0</v>
      </c>
      <c r="C579" s="189" t="str">
        <f>_xlfn.XLOOKUP(F579,品番!B:B,品番!C:C)</f>
        <v>ディスプレイ</v>
      </c>
      <c r="D579" s="189">
        <f>_xlfn.XLOOKUP(F579,品番!B:B,品番!D:D)</f>
        <v>0</v>
      </c>
      <c r="E579" s="179">
        <v>56577</v>
      </c>
      <c r="F579" s="180" t="s">
        <v>19</v>
      </c>
      <c r="G579" s="181">
        <v>12</v>
      </c>
      <c r="H579" s="125">
        <v>1.65</v>
      </c>
      <c r="K579" s="182"/>
      <c r="M579" s="266" t="str" cm="1">
        <f t="array" ref="M579">_xlfn.TEXTJOIN(",", TRUE, _xlfn._xlws.FILTER(適用号機!D:D, (適用号機!B:B=改定!F579)*(適用号機!C:C=改定!G579), ""))</f>
        <v xml:space="preserve">	A14I,	L5E,	A5F,	A6E,	A7G,A7F,	A9F,	F10E,A12A,	A12B,	F14F,	A14FW,L9ER,	L9EV	,L8EV</v>
      </c>
      <c r="N579" s="142" t="str">
        <f t="shared" si="10"/>
        <v>17301-43664-12</v>
      </c>
      <c r="O579" s="122" t="s">
        <v>1702</v>
      </c>
    </row>
    <row r="580" spans="2:16">
      <c r="B580" s="189">
        <f>_xlfn.XLOOKUP(F580,品番!B:B,品番!G:G)</f>
        <v>0</v>
      </c>
      <c r="C580" s="189" t="str">
        <f>_xlfn.XLOOKUP(F580,品番!B:B,品番!C:C)</f>
        <v>ディスプレイ</v>
      </c>
      <c r="D580" s="189">
        <f>_xlfn.XLOOKUP(F580,品番!B:B,品番!D:D)</f>
        <v>0</v>
      </c>
      <c r="E580" s="179">
        <v>49074</v>
      </c>
      <c r="F580" s="180" t="s">
        <v>21</v>
      </c>
      <c r="G580" s="181">
        <v>0</v>
      </c>
      <c r="H580" s="125"/>
      <c r="K580" s="182"/>
      <c r="M580" s="266" t="str" cm="1">
        <f t="array" ref="M580">_xlfn.TEXTJOIN(",", TRUE, _xlfn._xlws.FILTER(適用号機!D:D, (適用号機!B:B=改定!F580)*(適用号機!C:C=改定!G580), ""))</f>
        <v xml:space="preserve">	A14I,	A14H,	A14J,	L5E,	L5E2,	A12B,	A12A,	A14FW,	L6F,	L9ER,	L9EV,	L8EV,L8EV2,	L9EV2,	L9ER2</v>
      </c>
      <c r="N580" s="142" t="str">
        <f t="shared" si="10"/>
        <v>17301-43665-00</v>
      </c>
      <c r="O580" s="122" t="s">
        <v>1702</v>
      </c>
    </row>
    <row r="581" spans="2:16">
      <c r="B581" s="189">
        <f>_xlfn.XLOOKUP(F581,品番!B:B,品番!G:G)</f>
        <v>0</v>
      </c>
      <c r="C581" s="189" t="str">
        <f>_xlfn.XLOOKUP(F581,品番!B:B,品番!C:C)</f>
        <v>ディスプレイ</v>
      </c>
      <c r="D581" s="189">
        <f>_xlfn.XLOOKUP(F581,品番!B:B,品番!D:D)</f>
        <v>0</v>
      </c>
      <c r="E581" s="179">
        <v>49660</v>
      </c>
      <c r="F581" s="180" t="s">
        <v>21</v>
      </c>
      <c r="G581" s="181">
        <v>1</v>
      </c>
      <c r="H581" s="125"/>
      <c r="K581" s="182"/>
      <c r="M581" s="266" t="str" cm="1">
        <f t="array" ref="M581">_xlfn.TEXTJOIN(",", TRUE, _xlfn._xlws.FILTER(適用号機!D:D, (適用号機!B:B=改定!F581)*(適用号機!C:C=改定!G581), ""))</f>
        <v>A14I,A14H,A14J,L5E,L5E2,A12B,A12A,A14FW,L6F,L9ER,L9EV,L8EV,L8EV2,L9EV2,L9ER2</v>
      </c>
      <c r="N581" s="142" t="str">
        <f t="shared" si="10"/>
        <v>17301-43665-01</v>
      </c>
      <c r="O581" s="122" t="s">
        <v>1702</v>
      </c>
    </row>
    <row r="582" spans="2:16">
      <c r="B582" s="189">
        <f>_xlfn.XLOOKUP(F582,品番!B:B,品番!G:G)</f>
        <v>0</v>
      </c>
      <c r="C582" s="189" t="str">
        <f>_xlfn.XLOOKUP(F582,品番!B:B,品番!C:C)</f>
        <v>ディスプレイ</v>
      </c>
      <c r="D582" s="189">
        <f>_xlfn.XLOOKUP(F582,品番!B:B,品番!D:D)</f>
        <v>0</v>
      </c>
      <c r="E582" s="179">
        <v>50119</v>
      </c>
      <c r="F582" s="180" t="s">
        <v>21</v>
      </c>
      <c r="G582" s="181">
        <v>2</v>
      </c>
      <c r="H582" s="125"/>
      <c r="K582" s="182"/>
      <c r="M582" s="266" t="str" cm="1">
        <f t="array" ref="M582">_xlfn.TEXTJOIN(",", TRUE, _xlfn._xlws.FILTER(適用号機!D:D, (適用号機!B:B=改定!F582)*(適用号機!C:C=改定!G582), ""))</f>
        <v>A14I,	A14H,	A14J,L5E,	L5E2,	A12B,	A12A	,	A14FW,L6F,	L9ER,	L9EV,	L8EV2,	L8EV,L9EV2,	L9ER2</v>
      </c>
      <c r="N582" s="142" t="str">
        <f t="shared" si="10"/>
        <v>17301-43665-02</v>
      </c>
      <c r="O582" s="122" t="s">
        <v>1702</v>
      </c>
    </row>
    <row r="583" spans="2:16">
      <c r="B583" s="189">
        <f>_xlfn.XLOOKUP(F583,品番!B:B,品番!G:G)</f>
        <v>0</v>
      </c>
      <c r="C583" s="189" t="str">
        <f>_xlfn.XLOOKUP(F583,品番!B:B,品番!C:C)</f>
        <v>ディスプレイ</v>
      </c>
      <c r="D583" s="189">
        <f>_xlfn.XLOOKUP(F583,品番!B:B,品番!D:D)</f>
        <v>0</v>
      </c>
      <c r="E583" s="179">
        <v>50924</v>
      </c>
      <c r="F583" s="180" t="s">
        <v>21</v>
      </c>
      <c r="G583" s="181">
        <v>3</v>
      </c>
      <c r="H583" s="125"/>
      <c r="K583" s="182"/>
      <c r="M583" s="266" t="str" cm="1">
        <f t="array" ref="M583">_xlfn.TEXTJOIN(",", TRUE, _xlfn._xlws.FILTER(適用号機!D:D, (適用号機!B:B=改定!F583)*(適用号機!C:C=改定!G583), ""))</f>
        <v>A14I,	A14H,	A14J,L5E,	L5E2,	A12B,	A12A	,	A14FW,L6F,	L9ER,	L9EV,	L8EV2,L8EV,L9EV2,	L9ER2</v>
      </c>
      <c r="N583" s="142" t="str">
        <f t="shared" si="10"/>
        <v>17301-43665-03</v>
      </c>
      <c r="O583" s="122" t="s">
        <v>1702</v>
      </c>
      <c r="P583"/>
    </row>
    <row r="584" spans="2:16">
      <c r="B584" s="189">
        <f>_xlfn.XLOOKUP(F584,品番!B:B,品番!G:G)</f>
        <v>0</v>
      </c>
      <c r="C584" s="189" t="str">
        <f>_xlfn.XLOOKUP(F584,品番!B:B,品番!C:C)</f>
        <v>ディスプレイ</v>
      </c>
      <c r="D584" s="189">
        <f>_xlfn.XLOOKUP(F584,品番!B:B,品番!D:D)</f>
        <v>0</v>
      </c>
      <c r="E584" s="179">
        <v>51129</v>
      </c>
      <c r="F584" s="180" t="s">
        <v>21</v>
      </c>
      <c r="G584" s="181">
        <v>4</v>
      </c>
      <c r="H584" s="125"/>
      <c r="K584" s="182"/>
      <c r="M584" s="266" t="str" cm="1">
        <f t="array" ref="M584">_xlfn.TEXTJOIN(",", TRUE, _xlfn._xlws.FILTER(適用号機!D:D, (適用号機!B:B=改定!F584)*(適用号機!C:C=改定!G584), ""))</f>
        <v>A14I,	A14H,	A14J,L5E,	L5E2,	A12B,	A12A	,	A14FW,L6F,	L9ER,	L9EV,	L8EV2,	L8EV,L9EV2,	L9ER2</v>
      </c>
      <c r="N584" s="142" t="str">
        <f t="shared" si="10"/>
        <v>17301-43665-04</v>
      </c>
      <c r="O584" s="122" t="s">
        <v>1702</v>
      </c>
      <c r="P584"/>
    </row>
    <row r="585" spans="2:16">
      <c r="B585" s="189">
        <f>_xlfn.XLOOKUP(F585,品番!B:B,品番!G:G)</f>
        <v>0</v>
      </c>
      <c r="C585" s="189" t="str">
        <f>_xlfn.XLOOKUP(F585,品番!B:B,品番!C:C)</f>
        <v>ディスプレイ</v>
      </c>
      <c r="D585" s="189">
        <f>_xlfn.XLOOKUP(F585,品番!B:B,品番!D:D)</f>
        <v>0</v>
      </c>
      <c r="E585" s="179">
        <v>50879</v>
      </c>
      <c r="F585" s="180" t="s">
        <v>21</v>
      </c>
      <c r="G585" s="181">
        <v>5</v>
      </c>
      <c r="H585" s="125"/>
      <c r="K585" s="182"/>
      <c r="M585" s="266" t="str" cm="1">
        <f t="array" ref="M585">_xlfn.TEXTJOIN(",", TRUE, _xlfn._xlws.FILTER(適用号機!D:D, (適用号機!B:B=改定!F585)*(適用号機!C:C=改定!G585), ""))</f>
        <v>A14I,	A14H,	A14J,L5E,	L5E2,	A12B,	A12A	,	A14FW,L6F,	L9ER,	L9EV,	L8EV2,	L8EV	,L9EV2,	L9ER2</v>
      </c>
      <c r="N585" s="142" t="str">
        <f t="shared" si="10"/>
        <v>17301-43665-05</v>
      </c>
      <c r="O585" s="122" t="s">
        <v>1702</v>
      </c>
    </row>
    <row r="586" spans="2:16">
      <c r="B586" s="189">
        <f>_xlfn.XLOOKUP(F586,品番!B:B,品番!G:G)</f>
        <v>0</v>
      </c>
      <c r="C586" s="189" t="str">
        <f>_xlfn.XLOOKUP(F586,品番!B:B,品番!C:C)</f>
        <v>ディスプレイ</v>
      </c>
      <c r="D586" s="189">
        <f>_xlfn.XLOOKUP(F586,品番!B:B,品番!D:D)</f>
        <v>0</v>
      </c>
      <c r="E586" s="179">
        <v>51498</v>
      </c>
      <c r="F586" s="180" t="s">
        <v>21</v>
      </c>
      <c r="G586" s="181">
        <v>6</v>
      </c>
      <c r="H586" s="125"/>
      <c r="K586" s="182"/>
      <c r="M586" s="266" t="str" cm="1">
        <f t="array" ref="M586">_xlfn.TEXTJOIN(",", TRUE, _xlfn._xlws.FILTER(適用号機!D:D, (適用号機!B:B=改定!F586)*(適用号機!C:C=改定!G586), ""))</f>
        <v>A14I,	A14H,	A14J,L5E,	L5E2,	A12B,	A12A	,	A14FW,L6F,	L9ER,	L9EV,	L8EV2,	L8EV,L9EV2,	L9ER2</v>
      </c>
      <c r="N586" s="142" t="str">
        <f t="shared" si="10"/>
        <v>17301-43665-06</v>
      </c>
      <c r="O586" s="122" t="s">
        <v>1702</v>
      </c>
    </row>
    <row r="587" spans="2:16">
      <c r="B587" s="189">
        <f>_xlfn.XLOOKUP(F587,品番!B:B,品番!G:G)</f>
        <v>0</v>
      </c>
      <c r="C587" s="189" t="str">
        <f>_xlfn.XLOOKUP(F587,品番!B:B,品番!C:C)</f>
        <v>ディスプレイ</v>
      </c>
      <c r="D587" s="189">
        <f>_xlfn.XLOOKUP(F587,品番!B:B,品番!D:D)</f>
        <v>0</v>
      </c>
      <c r="E587" s="179">
        <v>47167</v>
      </c>
      <c r="F587" s="180" t="s">
        <v>21</v>
      </c>
      <c r="G587" s="181">
        <v>7</v>
      </c>
      <c r="H587" s="125"/>
      <c r="K587" s="182"/>
      <c r="M587" s="266" t="str" cm="1">
        <f t="array" ref="M587">_xlfn.TEXTJOIN(",", TRUE, _xlfn._xlws.FILTER(適用号機!D:D, (適用号機!B:B=改定!F587)*(適用号機!C:C=改定!G587), ""))</f>
        <v>A14I,A14H,	A14J,	L5E,L5E2,	A12B,	A12A,A14FW,	L6F,	L9ER,L9EV,	L8EV2,	L8EV,	L9ER2</v>
      </c>
      <c r="N587" s="142" t="str">
        <f t="shared" si="10"/>
        <v>17301-43665-07</v>
      </c>
      <c r="O587" s="122" t="s">
        <v>1702</v>
      </c>
    </row>
    <row r="588" spans="2:16">
      <c r="B588" s="189">
        <f>_xlfn.XLOOKUP(F588,品番!B:B,品番!G:G)</f>
        <v>0</v>
      </c>
      <c r="C588" s="189" t="str">
        <f>_xlfn.XLOOKUP(F588,品番!B:B,品番!C:C)</f>
        <v>ディスプレイ</v>
      </c>
      <c r="D588" s="189">
        <f>_xlfn.XLOOKUP(F588,品番!B:B,品番!D:D)</f>
        <v>0</v>
      </c>
      <c r="E588" s="179">
        <v>52999</v>
      </c>
      <c r="F588" s="180" t="s">
        <v>21</v>
      </c>
      <c r="G588" s="181">
        <v>8</v>
      </c>
      <c r="H588" s="125"/>
      <c r="K588" s="182"/>
      <c r="M588" s="266" t="str" cm="1">
        <f t="array" ref="M588">_xlfn.TEXTJOIN(",", TRUE, _xlfn._xlws.FILTER(適用号機!D:D, (適用号機!B:B=改定!F588)*(適用号機!C:C=改定!G588), ""))</f>
        <v>A14I,	A14H,	A14J,L5E,	L5E2,	A12B,	A12A	,	A14FW,L6F,	L9ER,	L9EV,L8EV,	L8EV2,L9EV2,	L9ER2</v>
      </c>
      <c r="N588" s="142" t="str">
        <f t="shared" si="10"/>
        <v>17301-43665-08</v>
      </c>
      <c r="O588" s="122" t="s">
        <v>1702</v>
      </c>
    </row>
    <row r="589" spans="2:16">
      <c r="B589" s="189">
        <f>_xlfn.XLOOKUP(F589,品番!B:B,品番!G:G)</f>
        <v>0</v>
      </c>
      <c r="C589" s="189" t="str">
        <f>_xlfn.XLOOKUP(F589,品番!B:B,品番!C:C)</f>
        <v>ディスプレイ</v>
      </c>
      <c r="D589" s="189">
        <f>_xlfn.XLOOKUP(F589,品番!B:B,品番!D:D)</f>
        <v>0</v>
      </c>
      <c r="E589" s="179">
        <v>53855</v>
      </c>
      <c r="F589" s="180" t="s">
        <v>21</v>
      </c>
      <c r="G589" s="181">
        <v>9</v>
      </c>
      <c r="H589" s="125"/>
      <c r="K589" s="182"/>
      <c r="M589" s="266" t="str" cm="1">
        <f t="array" ref="M589">_xlfn.TEXTJOIN(",", TRUE, _xlfn._xlws.FILTER(適用号機!D:D, (適用号機!B:B=改定!F589)*(適用号機!C:C=改定!G589), ""))</f>
        <v>A14I,	A14H,	A14J,L5E,	L5E2,	A12B,	A12A	,	A14FW,L6F,	L9ER,	L9EV,L8EV,	L8EV2,L9EV2,	L9ER2</v>
      </c>
      <c r="N589" s="142" t="str">
        <f t="shared" si="10"/>
        <v>17301-43665-09</v>
      </c>
      <c r="O589" s="122" t="s">
        <v>1702</v>
      </c>
    </row>
    <row r="590" spans="2:16">
      <c r="B590" s="189">
        <f>_xlfn.XLOOKUP(F590,品番!B:B,品番!G:G)</f>
        <v>0</v>
      </c>
      <c r="C590" s="189" t="str">
        <f>_xlfn.XLOOKUP(F590,品番!B:B,品番!C:C)</f>
        <v>ディスプレイ</v>
      </c>
      <c r="D590" s="189">
        <f>_xlfn.XLOOKUP(F590,品番!B:B,品番!D:D)</f>
        <v>0</v>
      </c>
      <c r="E590" s="179">
        <v>54923</v>
      </c>
      <c r="F590" s="180" t="s">
        <v>21</v>
      </c>
      <c r="G590" s="181">
        <v>10</v>
      </c>
      <c r="H590" s="125"/>
      <c r="K590" s="182"/>
      <c r="M590" s="266" t="str" cm="1">
        <f t="array" ref="M590">_xlfn.TEXTJOIN(",", TRUE, _xlfn._xlws.FILTER(適用号機!D:D, (適用号機!B:B=改定!F590)*(適用号機!C:C=改定!G590), ""))</f>
        <v>A14I,	A14H,	A14J,L5E,	L5E2,	A12B,	A12A	,	A14FW,L6F,	L9ER,	L9EV,L8EV,	L8EV2,L9EV2,	L9ER2</v>
      </c>
      <c r="N590" s="142" t="str">
        <f t="shared" si="10"/>
        <v>17301-43665-10</v>
      </c>
      <c r="O590" s="122" t="s">
        <v>1702</v>
      </c>
    </row>
    <row r="591" spans="2:16">
      <c r="B591" s="189">
        <f>_xlfn.XLOOKUP(F591,品番!B:B,品番!G:G)</f>
        <v>0</v>
      </c>
      <c r="C591" s="189" t="str">
        <f>_xlfn.XLOOKUP(F591,品番!B:B,品番!C:C)</f>
        <v>ディスプレイ</v>
      </c>
      <c r="D591" s="189">
        <f>_xlfn.XLOOKUP(F591,品番!B:B,品番!D:D)</f>
        <v>0</v>
      </c>
      <c r="E591" s="179">
        <v>55660</v>
      </c>
      <c r="F591" s="180" t="s">
        <v>21</v>
      </c>
      <c r="G591" s="181">
        <v>11</v>
      </c>
      <c r="H591" s="125"/>
      <c r="K591" s="182"/>
      <c r="M591" s="266" t="str" cm="1">
        <f t="array" ref="M591">_xlfn.TEXTJOIN(",", TRUE, _xlfn._xlws.FILTER(適用号機!D:D, (適用号機!B:B=改定!F591)*(適用号機!C:C=改定!G591), ""))</f>
        <v>A14I,	A14H,	A14J,L5E,	L5E2,	A12B,	A12A	,	A14FW,L6F,	L9ER,	L9EV,L8EV,	L8EV2,L9EV2,	L9ER2</v>
      </c>
      <c r="N591" s="142" t="str">
        <f t="shared" si="10"/>
        <v>17301-43665-11</v>
      </c>
      <c r="O591" s="122" t="s">
        <v>1702</v>
      </c>
    </row>
    <row r="592" spans="2:16">
      <c r="B592" s="189">
        <f>_xlfn.XLOOKUP(F592,品番!B:B,品番!G:G)</f>
        <v>0</v>
      </c>
      <c r="C592" s="189" t="str">
        <f>_xlfn.XLOOKUP(F592,品番!B:B,品番!C:C)</f>
        <v>ディスプレイ</v>
      </c>
      <c r="D592" s="189">
        <f>_xlfn.XLOOKUP(F592,品番!B:B,品番!D:D)</f>
        <v>0</v>
      </c>
      <c r="E592" s="179">
        <v>56577</v>
      </c>
      <c r="F592" s="180" t="s">
        <v>21</v>
      </c>
      <c r="G592" s="181">
        <v>12</v>
      </c>
      <c r="H592" s="125">
        <v>1.65</v>
      </c>
      <c r="K592" s="182"/>
      <c r="M592" s="266" t="str" cm="1">
        <f t="array" ref="M592">_xlfn.TEXTJOIN(",", TRUE, _xlfn._xlws.FILTER(適用号機!D:D, (適用号機!B:B=改定!F592)*(適用号機!C:C=改定!G592), ""))</f>
        <v>A14I,	A14H,	A14J,	A12B,	A12A	,	A14FW</v>
      </c>
      <c r="N592" s="142" t="str">
        <f t="shared" si="10"/>
        <v>17301-43665-12</v>
      </c>
      <c r="O592" s="122" t="s">
        <v>1702</v>
      </c>
    </row>
    <row r="593" spans="1:16">
      <c r="B593" s="189">
        <f>_xlfn.XLOOKUP(F593,品番!B:B,品番!G:G)</f>
        <v>0</v>
      </c>
      <c r="C593" s="189" t="str">
        <f>_xlfn.XLOOKUP(F593,品番!B:B,品番!C:C)</f>
        <v>ディスプレイ</v>
      </c>
      <c r="D593" s="189">
        <f>_xlfn.XLOOKUP(F593,品番!B:B,品番!D:D)</f>
        <v>0</v>
      </c>
      <c r="E593" s="179">
        <v>43314</v>
      </c>
      <c r="F593" s="180" t="s">
        <v>23</v>
      </c>
      <c r="G593" s="181">
        <v>0</v>
      </c>
      <c r="H593" s="125"/>
      <c r="K593" s="182"/>
      <c r="M593" s="266" t="str" cm="1">
        <f t="array" ref="M593">_xlfn.TEXTJOIN(",", TRUE, _xlfn._xlws.FILTER(適用号機!D:D, (適用号機!B:B=改定!F593)*(適用号機!C:C=改定!G593), ""))</f>
        <v/>
      </c>
      <c r="N593" s="142" t="str">
        <f t="shared" si="10"/>
        <v>17301-43666-00</v>
      </c>
      <c r="O593" s="122" t="s">
        <v>1702</v>
      </c>
    </row>
    <row r="594" spans="1:16">
      <c r="B594" s="189">
        <f>_xlfn.XLOOKUP(F594,品番!B:B,品番!G:G)</f>
        <v>0</v>
      </c>
      <c r="C594" s="189" t="str">
        <f>_xlfn.XLOOKUP(F594,品番!B:B,品番!C:C)</f>
        <v>ディスプレイ</v>
      </c>
      <c r="D594" s="189">
        <f>_xlfn.XLOOKUP(F594,品番!B:B,品番!D:D)</f>
        <v>0</v>
      </c>
      <c r="E594" s="179">
        <v>49660</v>
      </c>
      <c r="F594" s="180" t="s">
        <v>23</v>
      </c>
      <c r="G594" s="181">
        <v>1</v>
      </c>
      <c r="H594" s="125"/>
      <c r="K594" s="182"/>
      <c r="M594" s="266" t="str" cm="1">
        <f t="array" ref="M594">_xlfn.TEXTJOIN(",", TRUE, _xlfn._xlws.FILTER(適用号機!D:D, (適用号機!B:B=改定!F594)*(適用号機!C:C=改定!G594), ""))</f>
        <v/>
      </c>
      <c r="N594" s="142" t="str">
        <f t="shared" ref="N594:N608" si="11">F594 &amp;"-" &amp; TEXT(G594,"00")</f>
        <v>17301-43666-01</v>
      </c>
      <c r="O594" s="122" t="s">
        <v>1702</v>
      </c>
    </row>
    <row r="595" spans="1:16">
      <c r="B595" s="189">
        <f>_xlfn.XLOOKUP(F595,品番!B:B,品番!G:G)</f>
        <v>0</v>
      </c>
      <c r="C595" s="189" t="str">
        <f>_xlfn.XLOOKUP(F595,品番!B:B,品番!C:C)</f>
        <v>ディスプレイ</v>
      </c>
      <c r="D595" s="189">
        <f>_xlfn.XLOOKUP(F595,品番!B:B,品番!D:D)</f>
        <v>0</v>
      </c>
      <c r="E595" s="179">
        <v>50119</v>
      </c>
      <c r="F595" s="180" t="s">
        <v>23</v>
      </c>
      <c r="G595" s="181">
        <v>2</v>
      </c>
      <c r="H595" s="125"/>
      <c r="K595" s="182"/>
      <c r="M595" s="266" t="str" cm="1">
        <f t="array" ref="M595">_xlfn.TEXTJOIN(",", TRUE, _xlfn._xlws.FILTER(適用号機!D:D, (適用号機!B:B=改定!F595)*(適用号機!C:C=改定!G595), ""))</f>
        <v/>
      </c>
      <c r="N595" s="142" t="str">
        <f t="shared" si="11"/>
        <v>17301-43666-02</v>
      </c>
      <c r="O595" s="122" t="s">
        <v>1702</v>
      </c>
    </row>
    <row r="596" spans="1:16">
      <c r="B596" s="189">
        <f>_xlfn.XLOOKUP(F596,品番!B:B,品番!G:G)</f>
        <v>0</v>
      </c>
      <c r="C596" s="189" t="str">
        <f>_xlfn.XLOOKUP(F596,品番!B:B,品番!C:C)</f>
        <v>ディスプレイ</v>
      </c>
      <c r="D596" s="189">
        <f>_xlfn.XLOOKUP(F596,品番!B:B,品番!D:D)</f>
        <v>0</v>
      </c>
      <c r="E596" s="179">
        <v>50924</v>
      </c>
      <c r="F596" s="180" t="s">
        <v>23</v>
      </c>
      <c r="G596" s="181">
        <v>3</v>
      </c>
      <c r="H596" s="125"/>
      <c r="K596" s="182"/>
      <c r="M596" s="266" t="str" cm="1">
        <f t="array" ref="M596">_xlfn.TEXTJOIN(",", TRUE, _xlfn._xlws.FILTER(適用号機!D:D, (適用号機!B:B=改定!F596)*(適用号機!C:C=改定!G596), ""))</f>
        <v/>
      </c>
      <c r="N596" s="142" t="str">
        <f t="shared" si="11"/>
        <v>17301-43666-03</v>
      </c>
      <c r="O596" s="122" t="s">
        <v>1702</v>
      </c>
      <c r="P596"/>
    </row>
    <row r="597" spans="1:16">
      <c r="B597" s="189">
        <f>_xlfn.XLOOKUP(F597,品番!B:B,品番!G:G)</f>
        <v>0</v>
      </c>
      <c r="C597" s="189" t="str">
        <f>_xlfn.XLOOKUP(F597,品番!B:B,品番!C:C)</f>
        <v>ディスプレイ</v>
      </c>
      <c r="D597" s="189">
        <f>_xlfn.XLOOKUP(F597,品番!B:B,品番!D:D)</f>
        <v>0</v>
      </c>
      <c r="E597" s="179">
        <v>51129</v>
      </c>
      <c r="F597" s="180" t="s">
        <v>23</v>
      </c>
      <c r="G597" s="181">
        <v>4</v>
      </c>
      <c r="H597" s="125"/>
      <c r="K597" s="182"/>
      <c r="M597" s="266" t="str" cm="1">
        <f t="array" ref="M597">_xlfn.TEXTJOIN(",", TRUE, _xlfn._xlws.FILTER(適用号機!D:D, (適用号機!B:B=改定!F597)*(適用号機!C:C=改定!G597), ""))</f>
        <v/>
      </c>
      <c r="N597" s="142" t="str">
        <f t="shared" si="11"/>
        <v>17301-43666-04</v>
      </c>
      <c r="O597" s="122" t="s">
        <v>1702</v>
      </c>
      <c r="P597"/>
    </row>
    <row r="598" spans="1:16">
      <c r="B598" s="189">
        <f>_xlfn.XLOOKUP(F598,品番!B:B,品番!G:G)</f>
        <v>0</v>
      </c>
      <c r="C598" s="189" t="str">
        <f>_xlfn.XLOOKUP(F598,品番!B:B,品番!C:C)</f>
        <v>ディスプレイ</v>
      </c>
      <c r="D598" s="189">
        <f>_xlfn.XLOOKUP(F598,品番!B:B,品番!D:D)</f>
        <v>0</v>
      </c>
      <c r="E598" s="179">
        <v>50879</v>
      </c>
      <c r="F598" s="180" t="s">
        <v>23</v>
      </c>
      <c r="G598" s="181">
        <v>5</v>
      </c>
      <c r="H598" s="125"/>
      <c r="K598" s="182"/>
      <c r="M598" s="266" t="str" cm="1">
        <f t="array" ref="M598">_xlfn.TEXTJOIN(",", TRUE, _xlfn._xlws.FILTER(適用号機!D:D, (適用号機!B:B=改定!F598)*(適用号機!C:C=改定!G598), ""))</f>
        <v/>
      </c>
      <c r="N598" s="142" t="str">
        <f t="shared" si="11"/>
        <v>17301-43666-05</v>
      </c>
      <c r="O598" s="122" t="s">
        <v>1702</v>
      </c>
    </row>
    <row r="599" spans="1:16">
      <c r="B599" s="189">
        <f>_xlfn.XLOOKUP(F599,品番!B:B,品番!G:G)</f>
        <v>0</v>
      </c>
      <c r="C599" s="189" t="str">
        <f>_xlfn.XLOOKUP(F599,品番!B:B,品番!C:C)</f>
        <v>ディスプレイ</v>
      </c>
      <c r="D599" s="189">
        <f>_xlfn.XLOOKUP(F599,品番!B:B,品番!D:D)</f>
        <v>0</v>
      </c>
      <c r="E599" s="179">
        <v>51498</v>
      </c>
      <c r="F599" s="180" t="s">
        <v>23</v>
      </c>
      <c r="G599" s="181">
        <v>6</v>
      </c>
      <c r="H599" s="125"/>
      <c r="K599" s="182"/>
      <c r="M599" s="266" t="str" cm="1">
        <f t="array" ref="M599">_xlfn.TEXTJOIN(",", TRUE, _xlfn._xlws.FILTER(適用号機!D:D, (適用号機!B:B=改定!F599)*(適用号機!C:C=改定!G599), ""))</f>
        <v/>
      </c>
      <c r="N599" s="142" t="str">
        <f t="shared" si="11"/>
        <v>17301-43666-06</v>
      </c>
      <c r="O599" s="122" t="s">
        <v>1702</v>
      </c>
    </row>
    <row r="600" spans="1:16">
      <c r="B600" s="189">
        <f>_xlfn.XLOOKUP(F600,品番!B:B,品番!G:G)</f>
        <v>0</v>
      </c>
      <c r="C600" s="189" t="str">
        <f>_xlfn.XLOOKUP(F600,品番!B:B,品番!C:C)</f>
        <v>ディスプレイ</v>
      </c>
      <c r="D600" s="189">
        <f>_xlfn.XLOOKUP(F600,品番!B:B,品番!D:D)</f>
        <v>0</v>
      </c>
      <c r="E600" s="179">
        <v>47167</v>
      </c>
      <c r="F600" s="180" t="s">
        <v>23</v>
      </c>
      <c r="G600" s="181">
        <v>7</v>
      </c>
      <c r="H600" s="125"/>
      <c r="K600" s="182"/>
      <c r="M600" s="266" t="str" cm="1">
        <f t="array" ref="M600">_xlfn.TEXTJOIN(",", TRUE, _xlfn._xlws.FILTER(適用号機!D:D, (適用号機!B:B=改定!F600)*(適用号機!C:C=改定!G600), ""))</f>
        <v/>
      </c>
      <c r="N600" s="142" t="str">
        <f t="shared" si="11"/>
        <v>17301-43666-07</v>
      </c>
      <c r="O600" s="122" t="s">
        <v>1702</v>
      </c>
    </row>
    <row r="601" spans="1:16">
      <c r="B601" s="189">
        <f>_xlfn.XLOOKUP(F601,品番!B:B,品番!G:G)</f>
        <v>0</v>
      </c>
      <c r="C601" s="189" t="str">
        <f>_xlfn.XLOOKUP(F601,品番!B:B,品番!C:C)</f>
        <v>ディスプレイ</v>
      </c>
      <c r="D601" s="189">
        <f>_xlfn.XLOOKUP(F601,品番!B:B,品番!D:D)</f>
        <v>0</v>
      </c>
      <c r="E601" s="179">
        <v>52999</v>
      </c>
      <c r="F601" s="180" t="s">
        <v>23</v>
      </c>
      <c r="G601" s="181">
        <v>8</v>
      </c>
      <c r="H601" s="125"/>
      <c r="K601" s="182"/>
      <c r="M601" s="266" t="str" cm="1">
        <f t="array" ref="M601">_xlfn.TEXTJOIN(",", TRUE, _xlfn._xlws.FILTER(適用号機!D:D, (適用号機!B:B=改定!F601)*(適用号機!C:C=改定!G601), ""))</f>
        <v/>
      </c>
      <c r="N601" s="142" t="str">
        <f t="shared" si="11"/>
        <v>17301-43666-08</v>
      </c>
      <c r="O601" s="122" t="s">
        <v>1702</v>
      </c>
    </row>
    <row r="602" spans="1:16">
      <c r="B602" s="189">
        <f>_xlfn.XLOOKUP(F602,品番!B:B,品番!G:G)</f>
        <v>0</v>
      </c>
      <c r="C602" s="189" t="str">
        <f>_xlfn.XLOOKUP(F602,品番!B:B,品番!C:C)</f>
        <v>ディスプレイ</v>
      </c>
      <c r="D602" s="189">
        <f>_xlfn.XLOOKUP(F602,品番!B:B,品番!D:D)</f>
        <v>0</v>
      </c>
      <c r="E602" s="179">
        <v>53855</v>
      </c>
      <c r="F602" s="180" t="s">
        <v>23</v>
      </c>
      <c r="G602" s="181">
        <v>9</v>
      </c>
      <c r="H602" s="125"/>
      <c r="K602" s="182"/>
      <c r="M602" s="266" t="str" cm="1">
        <f t="array" ref="M602">_xlfn.TEXTJOIN(",", TRUE, _xlfn._xlws.FILTER(適用号機!D:D, (適用号機!B:B=改定!F602)*(適用号機!C:C=改定!G602), ""))</f>
        <v/>
      </c>
      <c r="N602" s="142" t="str">
        <f t="shared" si="11"/>
        <v>17301-43666-09</v>
      </c>
      <c r="O602" s="122" t="s">
        <v>1702</v>
      </c>
    </row>
    <row r="603" spans="1:16">
      <c r="B603" s="189">
        <f>_xlfn.XLOOKUP(F603,品番!B:B,品番!G:G)</f>
        <v>0</v>
      </c>
      <c r="C603" s="189" t="str">
        <f>_xlfn.XLOOKUP(F603,品番!B:B,品番!C:C)</f>
        <v>ディスプレイ</v>
      </c>
      <c r="D603" s="189">
        <f>_xlfn.XLOOKUP(F603,品番!B:B,品番!D:D)</f>
        <v>0</v>
      </c>
      <c r="E603" s="179">
        <v>54923</v>
      </c>
      <c r="F603" s="180" t="s">
        <v>23</v>
      </c>
      <c r="G603" s="181">
        <v>10</v>
      </c>
      <c r="H603" s="125"/>
      <c r="K603" s="182"/>
      <c r="M603" s="266" t="str" cm="1">
        <f t="array" ref="M603">_xlfn.TEXTJOIN(",", TRUE, _xlfn._xlws.FILTER(適用号機!D:D, (適用号機!B:B=改定!F603)*(適用号機!C:C=改定!G603), ""))</f>
        <v/>
      </c>
      <c r="N603" s="142" t="str">
        <f t="shared" si="11"/>
        <v>17301-43666-10</v>
      </c>
      <c r="O603" s="122" t="s">
        <v>1702</v>
      </c>
    </row>
    <row r="604" spans="1:16">
      <c r="B604" s="189">
        <f>_xlfn.XLOOKUP(F604,品番!B:B,品番!G:G)</f>
        <v>0</v>
      </c>
      <c r="C604" s="189" t="str">
        <f>_xlfn.XLOOKUP(F604,品番!B:B,品番!C:C)</f>
        <v>ディスプレイ</v>
      </c>
      <c r="D604" s="189">
        <f>_xlfn.XLOOKUP(F604,品番!B:B,品番!D:D)</f>
        <v>0</v>
      </c>
      <c r="E604" s="179">
        <v>55660</v>
      </c>
      <c r="F604" s="180" t="s">
        <v>23</v>
      </c>
      <c r="G604" s="181">
        <v>11</v>
      </c>
      <c r="H604" s="125"/>
      <c r="K604" s="182"/>
      <c r="M604" s="266" t="str" cm="1">
        <f t="array" ref="M604">_xlfn.TEXTJOIN(",", TRUE, _xlfn._xlws.FILTER(適用号機!D:D, (適用号機!B:B=改定!F604)*(適用号機!C:C=改定!G604), ""))</f>
        <v/>
      </c>
      <c r="N604" s="142" t="str">
        <f t="shared" si="11"/>
        <v>17301-43666-11</v>
      </c>
      <c r="O604" s="122" t="s">
        <v>1702</v>
      </c>
    </row>
    <row r="605" spans="1:16">
      <c r="B605" s="189">
        <f>_xlfn.XLOOKUP(F605,品番!B:B,品番!G:G)</f>
        <v>0</v>
      </c>
      <c r="C605" s="189" t="str">
        <f>_xlfn.XLOOKUP(F605,品番!B:B,品番!C:C)</f>
        <v>ディスプレイ</v>
      </c>
      <c r="D605" s="189">
        <f>_xlfn.XLOOKUP(F605,品番!B:B,品番!D:D)</f>
        <v>0</v>
      </c>
      <c r="E605" s="179">
        <v>56577</v>
      </c>
      <c r="F605" s="180" t="s">
        <v>23</v>
      </c>
      <c r="G605" s="181">
        <v>12</v>
      </c>
      <c r="H605" s="125">
        <v>1.65</v>
      </c>
      <c r="K605" s="182"/>
      <c r="M605" s="266" t="str" cm="1">
        <f t="array" ref="M605">_xlfn.TEXTJOIN(",", TRUE, _xlfn._xlws.FILTER(適用号機!D:D, (適用号機!B:B=改定!F605)*(適用号機!C:C=改定!G605), ""))</f>
        <v/>
      </c>
      <c r="N605" s="142" t="str">
        <f t="shared" si="11"/>
        <v>17301-43666-12</v>
      </c>
      <c r="O605" s="122" t="s">
        <v>1702</v>
      </c>
    </row>
    <row r="606" spans="1:16">
      <c r="A606" s="122" t="s">
        <v>7</v>
      </c>
      <c r="B606" s="189" t="str">
        <f>_xlfn.XLOOKUP(F606,品番!B:B,品番!G:G)</f>
        <v>共通</v>
      </c>
      <c r="C606" s="189" t="str">
        <f>_xlfn.XLOOKUP(F606,品番!B:B,品番!C:C)</f>
        <v>ディスプレイ</v>
      </c>
      <c r="D606" s="189">
        <f>_xlfn.XLOOKUP(F606,品番!B:B,品番!D:D)</f>
        <v>0</v>
      </c>
      <c r="F606" s="180" t="s">
        <v>8</v>
      </c>
      <c r="G606" s="181">
        <v>0</v>
      </c>
      <c r="I606" s="122" t="s">
        <v>47</v>
      </c>
      <c r="J606" s="122" t="s">
        <v>47</v>
      </c>
      <c r="M606" s="266" t="str" cm="1">
        <f t="array" ref="M606">_xlfn.TEXTJOIN(",", TRUE, _xlfn._xlws.FILTER(適用号機!D:D, (適用号機!B:B=改定!F606)*(適用号機!C:C=改定!G606), ""))</f>
        <v/>
      </c>
      <c r="N606" s="142" t="str">
        <f t="shared" si="11"/>
        <v>17301-44340-00</v>
      </c>
      <c r="O606" s="122" t="s">
        <v>1702</v>
      </c>
    </row>
    <row r="607" spans="1:16">
      <c r="A607" s="122" t="s">
        <v>513</v>
      </c>
      <c r="B607" s="189" t="str">
        <f>_xlfn.XLOOKUP(F607,品番!B:B,品番!G:G)</f>
        <v>A7G</v>
      </c>
      <c r="C607" s="189" t="str">
        <f>_xlfn.XLOOKUP(F607,品番!B:B,品番!C:C)</f>
        <v>コントローラ</v>
      </c>
      <c r="D607" s="189" t="str">
        <f>_xlfn.XLOOKUP(F607,品番!B:B,品番!D:D)</f>
        <v>メイン</v>
      </c>
      <c r="E607" s="179">
        <v>62121</v>
      </c>
      <c r="F607" s="180" t="s">
        <v>1280</v>
      </c>
      <c r="G607" s="181">
        <v>0</v>
      </c>
      <c r="H607" s="122" t="s">
        <v>1295</v>
      </c>
      <c r="K607" s="182"/>
      <c r="M607" s="266" t="str" cm="1">
        <f t="array" ref="M607">_xlfn.TEXTJOIN(",", TRUE, _xlfn._xlws.FILTER(適用号機!D:D, (適用号機!B:B=改定!F607)*(適用号機!C:C=改定!G607), ""))</f>
        <v>A7G</v>
      </c>
      <c r="N607" s="142" t="str">
        <f t="shared" si="11"/>
        <v>63542-00556-00</v>
      </c>
      <c r="O607" s="122" t="s">
        <v>1702</v>
      </c>
    </row>
    <row r="608" spans="1:16">
      <c r="A608" s="122" t="s">
        <v>232</v>
      </c>
      <c r="B608" s="189" t="str">
        <f>_xlfn.XLOOKUP(F608,品番!B:B,品番!G:G)</f>
        <v>L85G</v>
      </c>
      <c r="C608" s="189" t="str">
        <f>_xlfn.XLOOKUP(F608,品番!B:B,品番!C:C)</f>
        <v>コントローラ</v>
      </c>
      <c r="D608" s="189" t="str">
        <f>_xlfn.XLOOKUP(F608,品番!B:B,品番!D:D)</f>
        <v>メイン</v>
      </c>
      <c r="E608" s="179">
        <v>62740</v>
      </c>
      <c r="F608" s="180" t="s">
        <v>1321</v>
      </c>
      <c r="G608" s="181">
        <v>0</v>
      </c>
      <c r="H608" s="122" t="s">
        <v>437</v>
      </c>
      <c r="M608" s="266" t="str" cm="1">
        <f t="array" ref="M608">_xlfn.TEXTJOIN(",", TRUE, _xlfn._xlws.FILTER(適用号機!D:D, (適用号機!B:B=改定!F608)*(適用号機!C:C=改定!G608), ""))</f>
        <v/>
      </c>
      <c r="N608" s="142" t="str">
        <f t="shared" si="11"/>
        <v>06842-00488-00</v>
      </c>
      <c r="O608" s="122" t="s">
        <v>1702</v>
      </c>
    </row>
    <row r="609" spans="1:15">
      <c r="A609" s="122" t="s">
        <v>1329</v>
      </c>
      <c r="B609" s="189" t="str">
        <f>_xlfn.XLOOKUP(F609,品番!B:B,品番!G:G)</f>
        <v>L5E</v>
      </c>
      <c r="C609" s="189" t="str">
        <f>_xlfn.XLOOKUP(F609,品番!B:B,品番!C:C)</f>
        <v>コントローラ</v>
      </c>
      <c r="D609" s="189" t="str">
        <f>_xlfn.XLOOKUP(F609,品番!B:B,品番!D:D)</f>
        <v>メイン</v>
      </c>
      <c r="E609" s="179">
        <v>63345</v>
      </c>
      <c r="F609" s="180" t="s">
        <v>1327</v>
      </c>
      <c r="G609" s="181">
        <v>7</v>
      </c>
      <c r="H609" s="122" t="s">
        <v>1339</v>
      </c>
      <c r="K609" s="142" t="s">
        <v>1324</v>
      </c>
      <c r="M609" s="266" t="str" cm="1">
        <f t="array" ref="M609">_xlfn.TEXTJOIN(",", TRUE, _xlfn._xlws.FILTER(適用号機!D:D, (適用号機!B:B=改定!F609)*(適用号機!C:C=改定!G609), ""))</f>
        <v>L5E,L5E2</v>
      </c>
      <c r="N609" s="142" t="str">
        <f t="shared" ref="N609:N672" si="12">F609 &amp;"-" &amp; TEXT(G609,"00")</f>
        <v>06542-00132-07</v>
      </c>
      <c r="O609" s="122" t="s">
        <v>1702</v>
      </c>
    </row>
    <row r="610" spans="1:15">
      <c r="A610" s="122" t="s">
        <v>1332</v>
      </c>
      <c r="B610" s="189" t="str">
        <f>_xlfn.XLOOKUP(F610,品番!B:B,品番!G:G)</f>
        <v>L6F</v>
      </c>
      <c r="C610" s="189" t="str">
        <f>_xlfn.XLOOKUP(F610,品番!B:B,品番!C:C)</f>
        <v>コントローラ</v>
      </c>
      <c r="D610" s="189" t="str">
        <f>_xlfn.XLOOKUP(F610,品番!B:B,品番!D:D)</f>
        <v>メイン</v>
      </c>
      <c r="E610" s="179" t="s">
        <v>2076</v>
      </c>
      <c r="F610" s="180" t="s">
        <v>1331</v>
      </c>
      <c r="G610" s="181">
        <v>7</v>
      </c>
      <c r="H610" s="122" t="s">
        <v>1342</v>
      </c>
      <c r="K610" s="142" t="s">
        <v>1324</v>
      </c>
      <c r="M610" s="266" t="str" cm="1">
        <f t="array" ref="M610">_xlfn.TEXTJOIN(",", TRUE, _xlfn._xlws.FILTER(適用号機!D:D, (適用号機!B:B=改定!F610)*(適用号機!C:C=改定!G610), ""))</f>
        <v>L6F</v>
      </c>
      <c r="N610" s="142" t="str">
        <f>F611 &amp;"-" &amp; TEXT(G610,"00")</f>
        <v>06842-00230-07</v>
      </c>
      <c r="O610" s="122" t="s">
        <v>1702</v>
      </c>
    </row>
    <row r="611" spans="1:15">
      <c r="A611" s="122" t="s">
        <v>1333</v>
      </c>
      <c r="B611" s="189" t="str">
        <f>_xlfn.XLOOKUP(F611,品番!B:B,品番!G:G)</f>
        <v>L8EV</v>
      </c>
      <c r="C611" s="189" t="str">
        <f>_xlfn.XLOOKUP(F611,品番!B:B,品番!C:C)</f>
        <v>コントローラ</v>
      </c>
      <c r="D611" s="189" t="str">
        <f>_xlfn.XLOOKUP(F611,品番!B:B,品番!D:D)</f>
        <v>メイン</v>
      </c>
      <c r="E611" s="179">
        <v>63345</v>
      </c>
      <c r="F611" s="180" t="s">
        <v>1328</v>
      </c>
      <c r="G611" s="181">
        <v>6</v>
      </c>
      <c r="H611" s="122" t="s">
        <v>1341</v>
      </c>
      <c r="K611" s="142" t="s">
        <v>1324</v>
      </c>
      <c r="M611" s="266" t="str" cm="1">
        <f t="array" ref="M611">_xlfn.TEXTJOIN(",", TRUE, _xlfn._xlws.FILTER(適用号機!D:D, (適用号機!B:B=改定!F611)*(適用号機!C:C=改定!G611), ""))</f>
        <v>L8EV,L8EV2</v>
      </c>
      <c r="N611" s="142" t="str">
        <f>F611 &amp;"-" &amp; TEXT(G611,"00")</f>
        <v>06842-00230-06</v>
      </c>
      <c r="O611" s="122" t="s">
        <v>1702</v>
      </c>
    </row>
    <row r="612" spans="1:15">
      <c r="A612" s="122" t="s">
        <v>1334</v>
      </c>
      <c r="B612" s="189" t="str">
        <f>_xlfn.XLOOKUP(F612,品番!B:B,品番!G:G)</f>
        <v>L8EV</v>
      </c>
      <c r="C612" s="189" t="str">
        <f>_xlfn.XLOOKUP(F612,品番!B:B,品番!C:C)</f>
        <v>コントローラ</v>
      </c>
      <c r="D612" s="189" t="str">
        <f>_xlfn.XLOOKUP(F612,品番!B:B,品番!D:D)</f>
        <v>メイン</v>
      </c>
      <c r="E612" s="179">
        <v>63345</v>
      </c>
      <c r="F612" s="180" t="s">
        <v>1335</v>
      </c>
      <c r="G612" s="181">
        <v>1</v>
      </c>
      <c r="H612" s="122" t="s">
        <v>1323</v>
      </c>
      <c r="K612" s="142" t="s">
        <v>1324</v>
      </c>
      <c r="M612" s="266" t="str" cm="1">
        <f t="array" ref="M612">_xlfn.TEXTJOIN(",", TRUE, _xlfn._xlws.FILTER(適用号機!D:D, (適用号機!B:B=改定!F612)*(適用号機!C:C=改定!G612), ""))</f>
        <v>L8EV,L8EV2</v>
      </c>
      <c r="N612" s="142" t="str">
        <f t="shared" si="12"/>
        <v>06842-00234-01</v>
      </c>
      <c r="O612" s="122" t="s">
        <v>1702</v>
      </c>
    </row>
    <row r="613" spans="1:15">
      <c r="A613" s="122" t="s">
        <v>232</v>
      </c>
      <c r="B613" s="189" t="str">
        <f>_xlfn.XLOOKUP(F613,品番!B:B,品番!G:G)</f>
        <v>L85G</v>
      </c>
      <c r="C613" s="189" t="str">
        <f>_xlfn.XLOOKUP(F613,品番!B:B,品番!C:C)</f>
        <v>コントローラ</v>
      </c>
      <c r="D613" s="189" t="str">
        <f>_xlfn.XLOOKUP(F613,品番!B:B,品番!D:D)</f>
        <v>メイン</v>
      </c>
      <c r="E613" s="179">
        <v>63345</v>
      </c>
      <c r="F613" s="180" t="s">
        <v>1321</v>
      </c>
      <c r="G613" s="181">
        <v>1</v>
      </c>
      <c r="H613" s="122" t="s">
        <v>1323</v>
      </c>
      <c r="K613" s="142" t="s">
        <v>1324</v>
      </c>
      <c r="M613" s="266" t="str" cm="1">
        <f t="array" ref="M613">_xlfn.TEXTJOIN(",", TRUE, _xlfn._xlws.FILTER(適用号機!D:D, (適用号機!B:B=改定!F613)*(適用号機!C:C=改定!G613), ""))</f>
        <v>L85G</v>
      </c>
      <c r="N613" s="142" t="str">
        <f>F613 &amp;"-" &amp; TEXT(G613,"00")</f>
        <v>06842-00488-01</v>
      </c>
      <c r="O613" s="122" t="s">
        <v>1702</v>
      </c>
    </row>
    <row r="614" spans="1:15">
      <c r="A614" s="122" t="s">
        <v>1336</v>
      </c>
      <c r="B614" s="189" t="str">
        <f>_xlfn.XLOOKUP(F614,品番!B:B,品番!G:G)</f>
        <v>L8E/L9E</v>
      </c>
      <c r="C614" s="189" t="str">
        <f>_xlfn.XLOOKUP(F614,品番!B:B,品番!C:C)</f>
        <v>コントローラ</v>
      </c>
      <c r="D614" s="189" t="str">
        <f>_xlfn.XLOOKUP(F614,品番!B:B,品番!D:D)</f>
        <v>メイン</v>
      </c>
      <c r="E614" s="179">
        <v>63345</v>
      </c>
      <c r="F614" s="180" t="s">
        <v>1338</v>
      </c>
      <c r="G614" s="181">
        <v>6</v>
      </c>
      <c r="H614" s="122" t="s">
        <v>1340</v>
      </c>
      <c r="K614" s="142" t="s">
        <v>1324</v>
      </c>
      <c r="M614" s="266" t="str" cm="1">
        <f t="array" ref="M614">_xlfn.TEXTJOIN(",", TRUE, _xlfn._xlws.FILTER(適用号機!D:D, (適用号機!B:B=改定!F614)*(適用号機!C:C=改定!G614), ""))</f>
        <v>L9ER,L9ER2,L9EV,L9EV2</v>
      </c>
      <c r="N614" s="142" t="str">
        <f t="shared" si="12"/>
        <v>06942-00371-06</v>
      </c>
      <c r="O614" s="122" t="s">
        <v>1702</v>
      </c>
    </row>
    <row r="615" spans="1:15" ht="18.75">
      <c r="A615" s="122" t="s">
        <v>1357</v>
      </c>
      <c r="B615" s="189" t="str">
        <f>_xlfn.XLOOKUP(F615,品番!B:B,品番!G:G)</f>
        <v>A25FG/A27AB</v>
      </c>
      <c r="C615" s="189" t="str">
        <f>_xlfn.XLOOKUP(F615,品番!B:B,品番!C:C)</f>
        <v>コントローラ</v>
      </c>
      <c r="D615" s="189" t="str">
        <f>_xlfn.XLOOKUP(F615,品番!B:B,品番!D:D)</f>
        <v>メイン</v>
      </c>
      <c r="E615" s="179">
        <v>62927</v>
      </c>
      <c r="F615" s="180" t="s">
        <v>123</v>
      </c>
      <c r="G615" s="129">
        <v>5</v>
      </c>
      <c r="H615" s="135" t="s">
        <v>1858</v>
      </c>
      <c r="K615" s="142" t="s">
        <v>1358</v>
      </c>
      <c r="M615" s="266" t="str" cm="1">
        <f t="array" ref="M615">_xlfn.TEXTJOIN(",", TRUE, _xlfn._xlws.FILTER(適用号機!D:D, (適用号機!B:B=改定!F615)*(適用号機!C:C=改定!G615), ""))</f>
        <v/>
      </c>
      <c r="N615" s="142" t="str">
        <f t="shared" si="12"/>
        <v>05742-00323-05</v>
      </c>
      <c r="O615" s="122" t="s">
        <v>1702</v>
      </c>
    </row>
    <row r="616" spans="1:15" ht="18.75">
      <c r="A616" s="122" t="s">
        <v>1357</v>
      </c>
      <c r="B616" s="189" t="str">
        <f>_xlfn.XLOOKUP(F616,品番!B:B,品番!G:G)</f>
        <v>A25FG/A27AB</v>
      </c>
      <c r="C616" s="189" t="str">
        <f>_xlfn.XLOOKUP(F616,品番!B:B,品番!C:C)</f>
        <v>コントローラ</v>
      </c>
      <c r="D616" s="189" t="str">
        <f>_xlfn.XLOOKUP(F616,品番!B:B,品番!D:D)</f>
        <v>メイン</v>
      </c>
      <c r="E616" s="179">
        <v>62927</v>
      </c>
      <c r="F616" s="180" t="s">
        <v>125</v>
      </c>
      <c r="G616" s="129">
        <v>4</v>
      </c>
      <c r="H616" s="135" t="s">
        <v>1859</v>
      </c>
      <c r="K616" s="142" t="s">
        <v>1358</v>
      </c>
      <c r="M616" s="266" t="str" cm="1">
        <f t="array" ref="M616">_xlfn.TEXTJOIN(",", TRUE, _xlfn._xlws.FILTER(適用号機!D:D, (適用号機!B:B=改定!F616)*(適用号機!C:C=改定!G616), ""))</f>
        <v/>
      </c>
      <c r="N616" s="142" t="str">
        <f t="shared" si="12"/>
        <v>05742-00334-04</v>
      </c>
      <c r="O616" s="122" t="s">
        <v>1702</v>
      </c>
    </row>
    <row r="617" spans="1:15" ht="18.75">
      <c r="A617" s="122" t="s">
        <v>1357</v>
      </c>
      <c r="B617" s="189" t="str">
        <f>_xlfn.XLOOKUP(F617,品番!B:B,品番!G:G)</f>
        <v>A25FG/A27AB</v>
      </c>
      <c r="C617" s="189" t="str">
        <f>_xlfn.XLOOKUP(F617,品番!B:B,品番!C:C)</f>
        <v>コントローラ</v>
      </c>
      <c r="D617" s="189" t="str">
        <f>_xlfn.XLOOKUP(F617,品番!B:B,品番!D:D)</f>
        <v>メイン</v>
      </c>
      <c r="E617" s="179">
        <v>62927</v>
      </c>
      <c r="F617" s="180" t="s">
        <v>126</v>
      </c>
      <c r="G617" s="129">
        <v>4</v>
      </c>
      <c r="H617" s="135" t="s">
        <v>1860</v>
      </c>
      <c r="K617" s="142" t="s">
        <v>1358</v>
      </c>
      <c r="M617" s="266" t="str" cm="1">
        <f t="array" ref="M617">_xlfn.TEXTJOIN(",", TRUE, _xlfn._xlws.FILTER(適用号機!D:D, (適用号機!B:B=改定!F617)*(適用号機!C:C=改定!G617), ""))</f>
        <v/>
      </c>
      <c r="N617" s="142" t="str">
        <f t="shared" si="12"/>
        <v>05742-00335-04</v>
      </c>
      <c r="O617" s="122" t="s">
        <v>1702</v>
      </c>
    </row>
    <row r="618" spans="1:15" ht="18.75">
      <c r="A618" s="122" t="s">
        <v>1357</v>
      </c>
      <c r="B618" s="189" t="str">
        <f>_xlfn.XLOOKUP(F618,品番!B:B,品番!G:G)</f>
        <v>A25FG/A27AB</v>
      </c>
      <c r="C618" s="189" t="str">
        <f>_xlfn.XLOOKUP(F618,品番!B:B,品番!C:C)</f>
        <v>コントローラ</v>
      </c>
      <c r="D618" s="189" t="str">
        <f>_xlfn.XLOOKUP(F618,品番!B:B,品番!D:D)</f>
        <v>メイン</v>
      </c>
      <c r="E618" s="179">
        <v>62927</v>
      </c>
      <c r="F618" s="180" t="s">
        <v>128</v>
      </c>
      <c r="G618" s="129">
        <v>8</v>
      </c>
      <c r="H618" s="135" t="s">
        <v>1861</v>
      </c>
      <c r="K618" s="142" t="s">
        <v>1358</v>
      </c>
      <c r="M618" s="266" t="str" cm="1">
        <f t="array" ref="M618">_xlfn.TEXTJOIN(",", TRUE, _xlfn._xlws.FILTER(適用号機!D:D, (適用号機!B:B=改定!F618)*(適用号機!C:C=改定!G618), ""))</f>
        <v/>
      </c>
      <c r="N618" s="142" t="str">
        <f t="shared" si="12"/>
        <v>05742-00359-08</v>
      </c>
      <c r="O618" s="122" t="s">
        <v>1702</v>
      </c>
    </row>
    <row r="619" spans="1:15" ht="18.75">
      <c r="A619" s="122" t="s">
        <v>1357</v>
      </c>
      <c r="B619" s="189" t="str">
        <f>_xlfn.XLOOKUP(F619,品番!B:B,品番!G:G)</f>
        <v>A25FG/A27AB</v>
      </c>
      <c r="C619" s="189" t="str">
        <f>_xlfn.XLOOKUP(F619,品番!B:B,品番!C:C)</f>
        <v>コントローラ</v>
      </c>
      <c r="D619" s="189" t="str">
        <f>_xlfn.XLOOKUP(F619,品番!B:B,品番!D:D)</f>
        <v>メイン</v>
      </c>
      <c r="E619" s="179">
        <v>62927</v>
      </c>
      <c r="F619" s="180" t="s">
        <v>131</v>
      </c>
      <c r="G619" s="129">
        <v>2</v>
      </c>
      <c r="H619" s="135" t="s">
        <v>1862</v>
      </c>
      <c r="K619" s="142" t="s">
        <v>1358</v>
      </c>
      <c r="M619" s="266" t="str" cm="1">
        <f t="array" ref="M619">_xlfn.TEXTJOIN(",", TRUE, _xlfn._xlws.FILTER(適用号機!D:D, (適用号機!B:B=改定!F619)*(適用号機!C:C=改定!G619), ""))</f>
        <v>A25G,A27B,A25F,A27A</v>
      </c>
      <c r="N619" s="142" t="str">
        <f t="shared" si="12"/>
        <v>05742-00773-02</v>
      </c>
      <c r="O619" s="122" t="s">
        <v>1702</v>
      </c>
    </row>
    <row r="620" spans="1:15">
      <c r="A620" s="122" t="s">
        <v>1384</v>
      </c>
      <c r="B620" s="189" t="str">
        <f>_xlfn.XLOOKUP(F620,品番!B:B,品番!G:G)</f>
        <v>A25H/A27C</v>
      </c>
      <c r="C620" s="189" t="str">
        <f>_xlfn.XLOOKUP(F620,品番!B:B,品番!C:C)</f>
        <v>ディスプレイ</v>
      </c>
      <c r="D620" s="189">
        <f>_xlfn.XLOOKUP(F620,品番!B:B,品番!D:D)</f>
        <v>0</v>
      </c>
      <c r="E620" s="179" t="s">
        <v>1387</v>
      </c>
      <c r="F620" s="180" t="s">
        <v>1383</v>
      </c>
      <c r="G620" s="181">
        <v>0</v>
      </c>
      <c r="H620" s="122" t="s">
        <v>47</v>
      </c>
      <c r="K620" s="142" t="s">
        <v>1391</v>
      </c>
      <c r="M620" s="266" t="str" cm="1">
        <f t="array" ref="M620">_xlfn.TEXTJOIN(",", TRUE, _xlfn._xlws.FILTER(適用号機!D:D, (適用号機!B:B=改定!F620)*(適用号機!C:C=改定!G620), ""))</f>
        <v/>
      </c>
      <c r="N620" s="142" t="str">
        <f t="shared" si="12"/>
        <v>17301-43843-00</v>
      </c>
      <c r="O620" s="122" t="s">
        <v>1702</v>
      </c>
    </row>
    <row r="621" spans="1:15">
      <c r="A621" s="122" t="s">
        <v>1384</v>
      </c>
      <c r="B621" s="189" t="str">
        <f>_xlfn.XLOOKUP(F621,品番!B:B,品番!G:G)</f>
        <v>A25H/A27C</v>
      </c>
      <c r="C621" s="189" t="str">
        <f>_xlfn.XLOOKUP(F621,品番!B:B,品番!C:C)</f>
        <v>ディスプレイ</v>
      </c>
      <c r="D621" s="189">
        <f>_xlfn.XLOOKUP(F621,品番!B:B,品番!D:D)</f>
        <v>0</v>
      </c>
      <c r="E621" s="179">
        <v>63308</v>
      </c>
      <c r="F621" s="180" t="s">
        <v>1383</v>
      </c>
      <c r="G621" s="181">
        <v>1</v>
      </c>
      <c r="H621" s="122" t="s">
        <v>1390</v>
      </c>
      <c r="K621" s="142" t="s">
        <v>1392</v>
      </c>
      <c r="M621" s="266" t="str" cm="1">
        <f t="array" ref="M621">_xlfn.TEXTJOIN(",", TRUE, _xlfn._xlws.FILTER(適用号機!D:D, (適用号機!B:B=改定!F621)*(適用号機!C:C=改定!G621), ""))</f>
        <v>A25H,A27C</v>
      </c>
      <c r="N621" s="142" t="str">
        <f t="shared" si="12"/>
        <v>17301-43843-01</v>
      </c>
      <c r="O621" s="122" t="s">
        <v>1702</v>
      </c>
    </row>
    <row r="622" spans="1:15">
      <c r="A622" s="122" t="s">
        <v>407</v>
      </c>
      <c r="B622" s="189" t="str">
        <f>_xlfn.XLOOKUP(F622,品番!B:B,品番!G:G)</f>
        <v>A6E</v>
      </c>
      <c r="C622" s="189" t="str">
        <f>_xlfn.XLOOKUP(F622,品番!B:B,品番!C:C)</f>
        <v>コントローラ</v>
      </c>
      <c r="D622" s="189" t="str">
        <f>_xlfn.XLOOKUP(F622,品番!B:B,品番!D:D)</f>
        <v>メイン</v>
      </c>
      <c r="E622" s="179">
        <v>63427</v>
      </c>
      <c r="F622" s="180" t="s">
        <v>1235</v>
      </c>
      <c r="G622" s="181">
        <v>1</v>
      </c>
      <c r="H622" s="122" t="s">
        <v>1323</v>
      </c>
      <c r="K622" s="142" t="s">
        <v>1397</v>
      </c>
      <c r="M622" s="266" t="str" cm="1">
        <f t="array" ref="M622">_xlfn.TEXTJOIN(",", TRUE, _xlfn._xlws.FILTER(適用号機!D:D, (適用号機!B:B=改定!F622)*(適用号機!C:C=改定!G622), ""))</f>
        <v>A6E</v>
      </c>
      <c r="N622" s="142" t="str">
        <f t="shared" si="12"/>
        <v>03642-00072-01</v>
      </c>
      <c r="O622" s="122" t="s">
        <v>1702</v>
      </c>
    </row>
    <row r="623" spans="1:15">
      <c r="A623" s="122" t="s">
        <v>809</v>
      </c>
      <c r="B623" s="189" t="str">
        <f>_xlfn.XLOOKUP(F623,品番!B:B,品番!G:G)</f>
        <v>A5F</v>
      </c>
      <c r="C623" s="189" t="str">
        <f>_xlfn.XLOOKUP(F623,品番!B:B,品番!C:C)</f>
        <v>コントローラ</v>
      </c>
      <c r="D623" s="189" t="str">
        <f>_xlfn.XLOOKUP(F623,品番!B:B,品番!D:D)</f>
        <v>メイン</v>
      </c>
      <c r="E623" s="179">
        <v>63433</v>
      </c>
      <c r="F623" s="180" t="s">
        <v>1233</v>
      </c>
      <c r="G623" s="181">
        <v>1</v>
      </c>
      <c r="H623" s="122" t="s">
        <v>1398</v>
      </c>
      <c r="K623" s="142" t="s">
        <v>1397</v>
      </c>
      <c r="M623" s="266" t="str" cm="1">
        <f t="array" ref="M623">_xlfn.TEXTJOIN(",", TRUE, _xlfn._xlws.FILTER(適用号機!D:D, (適用号機!B:B=改定!F623)*(適用号機!C:C=改定!G623), ""))</f>
        <v>A5F</v>
      </c>
      <c r="N623" s="142" t="str">
        <f t="shared" si="12"/>
        <v>03542-00091-01</v>
      </c>
      <c r="O623" s="122" t="s">
        <v>1702</v>
      </c>
    </row>
    <row r="624" spans="1:15">
      <c r="A624" s="122" t="s">
        <v>1388</v>
      </c>
      <c r="B624" s="189" t="e">
        <f>_xlfn.XLOOKUP(F624,品番!B:B,品番!G:G)</f>
        <v>#N/A</v>
      </c>
      <c r="C624" s="189" t="e">
        <f>_xlfn.XLOOKUP(F624,品番!B:B,品番!C:C)</f>
        <v>#N/A</v>
      </c>
      <c r="D624" s="189" t="e">
        <f>_xlfn.XLOOKUP(F624,品番!B:B,品番!D:D)</f>
        <v>#N/A</v>
      </c>
      <c r="E624" s="179">
        <v>54684</v>
      </c>
      <c r="F624" s="180" t="s">
        <v>1401</v>
      </c>
      <c r="G624" s="181">
        <v>0</v>
      </c>
      <c r="H624" s="122" t="s">
        <v>47</v>
      </c>
      <c r="K624" s="142" t="s">
        <v>1402</v>
      </c>
      <c r="M624" s="266" t="str" cm="1">
        <f t="array" ref="M624">_xlfn.TEXTJOIN(",", TRUE, _xlfn._xlws.FILTER(適用号機!D:D, (適用号機!B:B=改定!F624)*(適用号機!C:C=改定!G624), ""))</f>
        <v/>
      </c>
      <c r="N624" s="142" t="str">
        <f>F624 &amp;"-" &amp; TEXT(G624,"00")</f>
        <v xml:space="preserve">	05742-00550-00</v>
      </c>
      <c r="O624" s="122" t="s">
        <v>1702</v>
      </c>
    </row>
    <row r="625" spans="1:15">
      <c r="A625" s="122" t="s">
        <v>1388</v>
      </c>
      <c r="B625" s="189" t="e">
        <f>_xlfn.XLOOKUP(F625,品番!B:B,品番!G:G)</f>
        <v>#N/A</v>
      </c>
      <c r="C625" s="189" t="e">
        <f>_xlfn.XLOOKUP(F625,品番!B:B,品番!C:C)</f>
        <v>#N/A</v>
      </c>
      <c r="D625" s="189" t="e">
        <f>_xlfn.XLOOKUP(F625,品番!B:B,品番!D:D)</f>
        <v>#N/A</v>
      </c>
      <c r="E625" s="179">
        <v>63460</v>
      </c>
      <c r="F625" s="180" t="s">
        <v>1401</v>
      </c>
      <c r="G625" s="181">
        <v>1</v>
      </c>
      <c r="H625" s="122" t="s">
        <v>1389</v>
      </c>
      <c r="K625" s="142" t="s">
        <v>1392</v>
      </c>
      <c r="M625" s="266" t="str" cm="1">
        <f t="array" ref="M625">_xlfn.TEXTJOIN(",", TRUE, _xlfn._xlws.FILTER(適用号機!D:D, (適用号機!B:B=改定!F625)*(適用号機!C:C=改定!G625), ""))</f>
        <v>A27C</v>
      </c>
      <c r="N625" s="142" t="str">
        <f t="shared" si="12"/>
        <v xml:space="preserve">	05742-00550-01</v>
      </c>
      <c r="O625" s="122" t="s">
        <v>1702</v>
      </c>
    </row>
    <row r="626" spans="1:15">
      <c r="A626" s="122" t="s">
        <v>1403</v>
      </c>
      <c r="B626" s="189" t="str">
        <f>_xlfn.XLOOKUP(F626,品番!B:B,品番!G:G)</f>
        <v>E3F(CBN)</v>
      </c>
      <c r="C626" s="189" t="str">
        <f>_xlfn.XLOOKUP(F626,品番!B:B,品番!C:C)</f>
        <v>コントローラ</v>
      </c>
      <c r="D626" s="189" t="str">
        <f>_xlfn.XLOOKUP(F626,品番!B:B,品番!D:D)</f>
        <v>メイン</v>
      </c>
      <c r="E626" s="179">
        <v>62887</v>
      </c>
      <c r="F626" s="180" t="s">
        <v>181</v>
      </c>
      <c r="G626" s="181">
        <v>1</v>
      </c>
      <c r="H626" s="122" t="s">
        <v>1349</v>
      </c>
      <c r="K626" s="142" t="s">
        <v>1405</v>
      </c>
      <c r="M626" s="266" t="str" cm="1">
        <f t="array" ref="M626">_xlfn.TEXTJOIN(",", TRUE, _xlfn._xlws.FILTER(適用号機!D:D, (適用号機!B:B=改定!F626)*(適用号機!C:C=改定!G626), ""))</f>
        <v>A3F</v>
      </c>
      <c r="N626" s="142" t="str">
        <f t="shared" si="12"/>
        <v>03342-00130-01</v>
      </c>
      <c r="O626" s="122" t="s">
        <v>1702</v>
      </c>
    </row>
    <row r="627" spans="1:15">
      <c r="A627" s="122" t="s">
        <v>174</v>
      </c>
      <c r="B627" s="189" t="str">
        <f>_xlfn.XLOOKUP(F627,品番!B:B,品番!G:G)</f>
        <v>E3F</v>
      </c>
      <c r="C627" s="189" t="str">
        <f>_xlfn.XLOOKUP(F627,品番!B:B,品番!C:C)</f>
        <v>ディスプレイ</v>
      </c>
      <c r="D627" s="189">
        <f>_xlfn.XLOOKUP(F627,品番!B:B,品番!D:D)</f>
        <v>0</v>
      </c>
      <c r="E627" s="179">
        <v>55360</v>
      </c>
      <c r="F627" s="180" t="s">
        <v>611</v>
      </c>
      <c r="G627" s="181">
        <v>0</v>
      </c>
      <c r="H627" s="122" t="s">
        <v>47</v>
      </c>
      <c r="K627" s="142" t="s">
        <v>1863</v>
      </c>
      <c r="M627" s="266" t="str" cm="1">
        <f t="array" ref="M627">_xlfn.TEXTJOIN(",", TRUE, _xlfn._xlws.FILTER(適用号機!D:D, (適用号機!B:B=改定!F627)*(適用号機!C:C=改定!G627), ""))</f>
        <v>A3F</v>
      </c>
      <c r="N627" s="142" t="str">
        <f t="shared" si="12"/>
        <v>17301-43691-00</v>
      </c>
      <c r="O627" s="122" t="s">
        <v>1702</v>
      </c>
    </row>
    <row r="628" spans="1:15">
      <c r="A628" s="122" t="s">
        <v>174</v>
      </c>
      <c r="B628" s="189" t="str">
        <f>_xlfn.XLOOKUP(F628,品番!B:B,品番!G:G)</f>
        <v>E3F</v>
      </c>
      <c r="C628" s="189" t="str">
        <f>_xlfn.XLOOKUP(F628,品番!B:B,品番!C:C)</f>
        <v>ディスプレイ</v>
      </c>
      <c r="D628" s="189">
        <f>_xlfn.XLOOKUP(F628,品番!B:B,品番!D:D)</f>
        <v>0</v>
      </c>
      <c r="E628" s="179">
        <v>61597</v>
      </c>
      <c r="F628" s="180" t="s">
        <v>611</v>
      </c>
      <c r="G628" s="181">
        <v>1</v>
      </c>
      <c r="H628" s="122" t="s">
        <v>1411</v>
      </c>
      <c r="K628" s="142" t="s">
        <v>1713</v>
      </c>
      <c r="M628" s="266" t="str" cm="1">
        <f t="array" ref="M628">_xlfn.TEXTJOIN(",", TRUE, _xlfn._xlws.FILTER(適用号機!D:D, (適用号機!B:B=改定!F628)*(適用号機!C:C=改定!G628), ""))</f>
        <v>A3F</v>
      </c>
      <c r="N628" s="142" t="str">
        <f t="shared" si="12"/>
        <v>17301-43691-01</v>
      </c>
      <c r="O628" s="122" t="s">
        <v>1702</v>
      </c>
    </row>
    <row r="629" spans="1:15">
      <c r="A629" s="122" t="s">
        <v>174</v>
      </c>
      <c r="B629" s="189" t="str">
        <f>_xlfn.XLOOKUP(F629,品番!B:B,品番!G:G)</f>
        <v>E3F</v>
      </c>
      <c r="C629" s="189" t="str">
        <f>_xlfn.XLOOKUP(F629,品番!B:B,品番!C:C)</f>
        <v>ディスプレイ</v>
      </c>
      <c r="D629" s="189">
        <f>_xlfn.XLOOKUP(F629,品番!B:B,品番!D:D)</f>
        <v>0</v>
      </c>
      <c r="E629" s="179">
        <v>62887</v>
      </c>
      <c r="F629" s="180" t="s">
        <v>611</v>
      </c>
      <c r="G629" s="181">
        <v>2</v>
      </c>
      <c r="H629" s="122" t="s">
        <v>1412</v>
      </c>
      <c r="K629" s="142" t="s">
        <v>1714</v>
      </c>
      <c r="M629" s="266" t="str" cm="1">
        <f t="array" ref="M629">_xlfn.TEXTJOIN(",", TRUE, _xlfn._xlws.FILTER(適用号機!D:D, (適用号機!B:B=改定!F629)*(適用号機!C:C=改定!G629), ""))</f>
        <v>A3F</v>
      </c>
      <c r="N629" s="142" t="str">
        <f t="shared" si="12"/>
        <v>17301-43691-02</v>
      </c>
      <c r="O629" s="122" t="s">
        <v>1702</v>
      </c>
    </row>
    <row r="630" spans="1:15">
      <c r="A630" s="122" t="s">
        <v>215</v>
      </c>
      <c r="B630" s="189" t="str">
        <f>_xlfn.XLOOKUP(F630,品番!B:B,品番!G:G)</f>
        <v>-</v>
      </c>
      <c r="C630" s="189" t="str">
        <f>_xlfn.XLOOKUP(F630,品番!B:B,品番!C:C)</f>
        <v>GPSユニット</v>
      </c>
      <c r="D630" s="189">
        <f>_xlfn.XLOOKUP(F630,品番!B:B,品番!D:D)</f>
        <v>0</v>
      </c>
      <c r="E630" s="179">
        <v>49087</v>
      </c>
      <c r="F630" s="180" t="s">
        <v>1433</v>
      </c>
      <c r="G630" s="181">
        <v>0</v>
      </c>
      <c r="K630" s="142" t="s">
        <v>1434</v>
      </c>
      <c r="M630" s="266" t="str" cm="1">
        <f t="array" ref="M630">_xlfn.TEXTJOIN(",", TRUE, _xlfn._xlws.FILTER(適用号機!D:D, (適用号機!B:B=改定!F630)*(適用号機!C:C=改定!G630), ""))</f>
        <v/>
      </c>
      <c r="N630" s="142" t="str">
        <f t="shared" si="12"/>
        <v>17301-43431-00</v>
      </c>
      <c r="O630" s="122" t="s">
        <v>1702</v>
      </c>
    </row>
    <row r="631" spans="1:15">
      <c r="A631" s="122" t="s">
        <v>215</v>
      </c>
      <c r="B631" s="189" t="str">
        <f>_xlfn.XLOOKUP(F631,品番!B:B,品番!G:G)</f>
        <v>-</v>
      </c>
      <c r="C631" s="189" t="str">
        <f>_xlfn.XLOOKUP(F631,品番!B:B,品番!C:C)</f>
        <v>GPSユニット</v>
      </c>
      <c r="D631" s="189">
        <f>_xlfn.XLOOKUP(F631,品番!B:B,品番!D:D)</f>
        <v>0</v>
      </c>
      <c r="E631" s="179">
        <v>54362</v>
      </c>
      <c r="F631" s="180" t="s">
        <v>1433</v>
      </c>
      <c r="G631" s="181">
        <v>1</v>
      </c>
      <c r="K631" s="142" t="s">
        <v>1435</v>
      </c>
      <c r="M631" s="266" t="str" cm="1">
        <f t="array" ref="M631">_xlfn.TEXTJOIN(",", TRUE, _xlfn._xlws.FILTER(適用号機!D:D, (適用号機!B:B=改定!F631)*(適用号機!C:C=改定!G631), ""))</f>
        <v/>
      </c>
      <c r="N631" s="142" t="str">
        <f t="shared" si="12"/>
        <v>17301-43431-01</v>
      </c>
      <c r="O631" s="122" t="s">
        <v>1702</v>
      </c>
    </row>
    <row r="632" spans="1:15">
      <c r="A632" s="122" t="s">
        <v>215</v>
      </c>
      <c r="B632" s="189" t="str">
        <f>_xlfn.XLOOKUP(F632,品番!B:B,品番!G:G)</f>
        <v>-</v>
      </c>
      <c r="C632" s="189" t="str">
        <f>_xlfn.XLOOKUP(F632,品番!B:B,品番!C:C)</f>
        <v>GPSユニット</v>
      </c>
      <c r="D632" s="189">
        <f>_xlfn.XLOOKUP(F632,品番!B:B,品番!D:D)</f>
        <v>0</v>
      </c>
      <c r="E632" s="179">
        <v>55036</v>
      </c>
      <c r="F632" s="180" t="s">
        <v>1433</v>
      </c>
      <c r="G632" s="181">
        <v>2</v>
      </c>
      <c r="K632" s="142" t="s">
        <v>1436</v>
      </c>
      <c r="M632" s="266" t="str" cm="1">
        <f t="array" ref="M632">_xlfn.TEXTJOIN(",", TRUE, _xlfn._xlws.FILTER(適用号機!D:D, (適用号機!B:B=改定!F632)*(適用号機!C:C=改定!G632), ""))</f>
        <v/>
      </c>
      <c r="N632" s="142" t="str">
        <f t="shared" si="12"/>
        <v>17301-43431-02</v>
      </c>
      <c r="O632" s="122" t="s">
        <v>1702</v>
      </c>
    </row>
    <row r="633" spans="1:15">
      <c r="A633" s="122" t="s">
        <v>215</v>
      </c>
      <c r="B633" s="189" t="str">
        <f>_xlfn.XLOOKUP(F633,品番!B:B,品番!G:G)</f>
        <v>-</v>
      </c>
      <c r="C633" s="189" t="str">
        <f>_xlfn.XLOOKUP(F633,品番!B:B,品番!C:C)</f>
        <v>GPSユニット</v>
      </c>
      <c r="D633" s="189">
        <f>_xlfn.XLOOKUP(F633,品番!B:B,品番!D:D)</f>
        <v>0</v>
      </c>
      <c r="E633" s="179">
        <v>55967</v>
      </c>
      <c r="F633" s="180" t="s">
        <v>1433</v>
      </c>
      <c r="G633" s="181">
        <v>3</v>
      </c>
      <c r="K633" s="142" t="s">
        <v>1437</v>
      </c>
      <c r="M633" s="266" t="str" cm="1">
        <f t="array" ref="M633">_xlfn.TEXTJOIN(",", TRUE, _xlfn._xlws.FILTER(適用号機!D:D, (適用号機!B:B=改定!F633)*(適用号機!C:C=改定!G633), ""))</f>
        <v/>
      </c>
      <c r="N633" s="142" t="str">
        <f t="shared" si="12"/>
        <v>17301-43431-03</v>
      </c>
      <c r="O633" s="122" t="s">
        <v>1702</v>
      </c>
    </row>
    <row r="634" spans="1:15">
      <c r="A634" s="122" t="s">
        <v>1440</v>
      </c>
      <c r="B634" s="189">
        <f>_xlfn.XLOOKUP(F634,品番!B:B,品番!G:G)</f>
        <v>0</v>
      </c>
      <c r="C634" s="189" t="str">
        <f>_xlfn.XLOOKUP(F634,品番!B:B,品番!C:C)</f>
        <v>GPSユニット</v>
      </c>
      <c r="D634" s="189">
        <f>_xlfn.XLOOKUP(F634,品番!B:B,品番!D:D)</f>
        <v>0</v>
      </c>
      <c r="E634" s="179">
        <v>49844</v>
      </c>
      <c r="F634" s="180" t="s">
        <v>1439</v>
      </c>
      <c r="G634" s="181">
        <v>0</v>
      </c>
      <c r="K634" s="142" t="s">
        <v>1434</v>
      </c>
      <c r="M634" s="266" t="str" cm="1">
        <f t="array" ref="M634">_xlfn.TEXTJOIN(",", TRUE, _xlfn._xlws.FILTER(適用号機!D:D, (適用号機!B:B=改定!F634)*(適用号機!C:C=改定!G634), ""))</f>
        <v/>
      </c>
      <c r="N634" s="142" t="str">
        <f t="shared" si="12"/>
        <v>17301-43432-00</v>
      </c>
      <c r="O634" s="122" t="s">
        <v>1702</v>
      </c>
    </row>
    <row r="635" spans="1:15">
      <c r="A635" s="122" t="s">
        <v>1440</v>
      </c>
      <c r="B635" s="189">
        <f>_xlfn.XLOOKUP(F635,品番!B:B,品番!G:G)</f>
        <v>0</v>
      </c>
      <c r="C635" s="189" t="str">
        <f>_xlfn.XLOOKUP(F635,品番!B:B,品番!C:C)</f>
        <v>GPSユニット</v>
      </c>
      <c r="D635" s="189">
        <f>_xlfn.XLOOKUP(F635,品番!B:B,品番!D:D)</f>
        <v>0</v>
      </c>
      <c r="E635" s="179">
        <v>54362</v>
      </c>
      <c r="F635" s="180" t="s">
        <v>1439</v>
      </c>
      <c r="G635" s="181">
        <v>1</v>
      </c>
      <c r="K635" s="142" t="s">
        <v>1435</v>
      </c>
      <c r="M635" s="266" t="str" cm="1">
        <f t="array" ref="M635">_xlfn.TEXTJOIN(",", TRUE, _xlfn._xlws.FILTER(適用号機!D:D, (適用号機!B:B=改定!F635)*(適用号機!C:C=改定!G635), ""))</f>
        <v/>
      </c>
      <c r="N635" s="142" t="str">
        <f t="shared" si="12"/>
        <v>17301-43432-01</v>
      </c>
      <c r="O635" s="122" t="s">
        <v>1702</v>
      </c>
    </row>
    <row r="636" spans="1:15">
      <c r="A636" s="122" t="s">
        <v>1440</v>
      </c>
      <c r="B636" s="189">
        <f>_xlfn.XLOOKUP(F636,品番!B:B,品番!G:G)</f>
        <v>0</v>
      </c>
      <c r="C636" s="189" t="str">
        <f>_xlfn.XLOOKUP(F636,品番!B:B,品番!C:C)</f>
        <v>GPSユニット</v>
      </c>
      <c r="D636" s="189">
        <f>_xlfn.XLOOKUP(F636,品番!B:B,品番!D:D)</f>
        <v>0</v>
      </c>
      <c r="E636" s="179">
        <v>55036</v>
      </c>
      <c r="F636" s="180" t="s">
        <v>1439</v>
      </c>
      <c r="G636" s="181">
        <v>2</v>
      </c>
      <c r="K636" s="142" t="s">
        <v>1436</v>
      </c>
      <c r="M636" s="266" t="str" cm="1">
        <f t="array" ref="M636">_xlfn.TEXTJOIN(",", TRUE, _xlfn._xlws.FILTER(適用号機!D:D, (適用号機!B:B=改定!F636)*(適用号機!C:C=改定!G636), ""))</f>
        <v/>
      </c>
      <c r="N636" s="142" t="str">
        <f t="shared" si="12"/>
        <v>17301-43432-02</v>
      </c>
      <c r="O636" s="122" t="s">
        <v>1702</v>
      </c>
    </row>
    <row r="637" spans="1:15">
      <c r="A637" s="122" t="s">
        <v>1440</v>
      </c>
      <c r="B637" s="189">
        <f>_xlfn.XLOOKUP(F637,品番!B:B,品番!G:G)</f>
        <v>0</v>
      </c>
      <c r="C637" s="189" t="str">
        <f>_xlfn.XLOOKUP(F637,品番!B:B,品番!C:C)</f>
        <v>GPSユニット</v>
      </c>
      <c r="D637" s="189">
        <f>_xlfn.XLOOKUP(F637,品番!B:B,品番!D:D)</f>
        <v>0</v>
      </c>
      <c r="E637" s="179">
        <v>55967</v>
      </c>
      <c r="F637" s="180" t="s">
        <v>1439</v>
      </c>
      <c r="G637" s="181">
        <v>3</v>
      </c>
      <c r="K637" s="142" t="s">
        <v>1437</v>
      </c>
      <c r="M637" s="266" t="str" cm="1">
        <f t="array" ref="M637">_xlfn.TEXTJOIN(",", TRUE, _xlfn._xlws.FILTER(適用号機!D:D, (適用号機!B:B=改定!F637)*(適用号機!C:C=改定!G637), ""))</f>
        <v/>
      </c>
      <c r="N637" s="142" t="str">
        <f t="shared" si="12"/>
        <v>17301-43432-03</v>
      </c>
      <c r="O637" s="122" t="s">
        <v>1702</v>
      </c>
    </row>
    <row r="638" spans="1:15">
      <c r="A638" s="122" t="s">
        <v>215</v>
      </c>
      <c r="B638" s="189">
        <f>_xlfn.XLOOKUP(F638,品番!B:B,品番!G:G)</f>
        <v>0</v>
      </c>
      <c r="C638" s="189" t="str">
        <f>_xlfn.XLOOKUP(F638,品番!B:B,品番!C:C)</f>
        <v>GPSユニット</v>
      </c>
      <c r="D638" s="189">
        <f>_xlfn.XLOOKUP(F638,品番!B:B,品番!D:D)</f>
        <v>0</v>
      </c>
      <c r="E638" s="179" t="s">
        <v>1449</v>
      </c>
      <c r="F638" s="180" t="s">
        <v>1448</v>
      </c>
      <c r="G638" s="181">
        <v>0</v>
      </c>
      <c r="K638" s="142" t="s">
        <v>1434</v>
      </c>
      <c r="M638" s="266" t="str" cm="1">
        <f t="array" ref="M638">_xlfn.TEXTJOIN(",", TRUE, _xlfn._xlws.FILTER(適用号機!D:D, (適用号機!B:B=改定!F638)*(適用号機!C:C=改定!G638), ""))</f>
        <v/>
      </c>
      <c r="N638" s="142" t="str">
        <f t="shared" si="12"/>
        <v>17301-43435-00</v>
      </c>
      <c r="O638" s="122" t="s">
        <v>1702</v>
      </c>
    </row>
    <row r="639" spans="1:15">
      <c r="A639" s="122" t="s">
        <v>215</v>
      </c>
      <c r="B639" s="189">
        <f>_xlfn.XLOOKUP(F639,品番!B:B,品番!G:G)</f>
        <v>0</v>
      </c>
      <c r="C639" s="189" t="str">
        <f>_xlfn.XLOOKUP(F639,品番!B:B,品番!C:C)</f>
        <v>GPSユニット</v>
      </c>
      <c r="D639" s="189">
        <f>_xlfn.XLOOKUP(F639,品番!B:B,品番!D:D)</f>
        <v>0</v>
      </c>
      <c r="E639" s="179">
        <v>54362</v>
      </c>
      <c r="F639" s="180" t="s">
        <v>1448</v>
      </c>
      <c r="G639" s="181">
        <v>1</v>
      </c>
      <c r="K639" s="142" t="s">
        <v>1435</v>
      </c>
      <c r="M639" s="266" t="str" cm="1">
        <f t="array" ref="M639">_xlfn.TEXTJOIN(",", TRUE, _xlfn._xlws.FILTER(適用号機!D:D, (適用号機!B:B=改定!F639)*(適用号機!C:C=改定!G639), ""))</f>
        <v/>
      </c>
      <c r="N639" s="142" t="str">
        <f t="shared" si="12"/>
        <v>17301-43435-01</v>
      </c>
      <c r="O639" s="122" t="s">
        <v>1702</v>
      </c>
    </row>
    <row r="640" spans="1:15">
      <c r="A640" s="122" t="s">
        <v>215</v>
      </c>
      <c r="B640" s="189">
        <f>_xlfn.XLOOKUP(F640,品番!B:B,品番!G:G)</f>
        <v>0</v>
      </c>
      <c r="C640" s="189" t="str">
        <f>_xlfn.XLOOKUP(F640,品番!B:B,品番!C:C)</f>
        <v>GPSユニット</v>
      </c>
      <c r="D640" s="189">
        <f>_xlfn.XLOOKUP(F640,品番!B:B,品番!D:D)</f>
        <v>0</v>
      </c>
      <c r="E640" s="179">
        <v>55036</v>
      </c>
      <c r="F640" s="180" t="s">
        <v>1448</v>
      </c>
      <c r="G640" s="181">
        <v>2</v>
      </c>
      <c r="K640" s="142" t="s">
        <v>1436</v>
      </c>
      <c r="M640" s="266" t="str" cm="1">
        <f t="array" ref="M640">_xlfn.TEXTJOIN(",", TRUE, _xlfn._xlws.FILTER(適用号機!D:D, (適用号機!B:B=改定!F640)*(適用号機!C:C=改定!G640), ""))</f>
        <v/>
      </c>
      <c r="N640" s="142" t="str">
        <f t="shared" si="12"/>
        <v>17301-43435-02</v>
      </c>
      <c r="O640" s="122" t="s">
        <v>1702</v>
      </c>
    </row>
    <row r="641" spans="1:15">
      <c r="A641" s="122" t="s">
        <v>215</v>
      </c>
      <c r="B641" s="189">
        <f>_xlfn.XLOOKUP(F641,品番!B:B,品番!G:G)</f>
        <v>0</v>
      </c>
      <c r="C641" s="189" t="str">
        <f>_xlfn.XLOOKUP(F641,品番!B:B,品番!C:C)</f>
        <v>GPSユニット</v>
      </c>
      <c r="D641" s="189">
        <f>_xlfn.XLOOKUP(F641,品番!B:B,品番!D:D)</f>
        <v>0</v>
      </c>
      <c r="E641" s="179">
        <v>55967</v>
      </c>
      <c r="F641" s="180" t="s">
        <v>1448</v>
      </c>
      <c r="G641" s="181">
        <v>3</v>
      </c>
      <c r="K641" s="142" t="s">
        <v>1437</v>
      </c>
      <c r="M641" s="266" t="str" cm="1">
        <f t="array" ref="M641">_xlfn.TEXTJOIN(",", TRUE, _xlfn._xlws.FILTER(適用号機!D:D, (適用号機!B:B=改定!F641)*(適用号機!C:C=改定!G641), ""))</f>
        <v/>
      </c>
      <c r="N641" s="142" t="str">
        <f t="shared" si="12"/>
        <v>17301-43435-03</v>
      </c>
      <c r="O641" s="122" t="s">
        <v>1702</v>
      </c>
    </row>
    <row r="642" spans="1:15">
      <c r="A642" s="122" t="s">
        <v>1452</v>
      </c>
      <c r="B642" s="189">
        <f>_xlfn.XLOOKUP(F642,品番!B:B,品番!G:G)</f>
        <v>0</v>
      </c>
      <c r="C642" s="189" t="str">
        <f>_xlfn.XLOOKUP(F642,品番!B:B,品番!C:C)</f>
        <v>GPSユニット</v>
      </c>
      <c r="D642" s="189">
        <f>_xlfn.XLOOKUP(F642,品番!B:B,品番!D:D)</f>
        <v>0</v>
      </c>
      <c r="E642" s="179">
        <v>50116</v>
      </c>
      <c r="F642" s="180" t="s">
        <v>1451</v>
      </c>
      <c r="G642" s="181">
        <v>0</v>
      </c>
      <c r="K642" s="142" t="s">
        <v>1434</v>
      </c>
      <c r="M642" s="266" t="str" cm="1">
        <f t="array" ref="M642">_xlfn.TEXTJOIN(",", TRUE, _xlfn._xlws.FILTER(適用号機!D:D, (適用号機!B:B=改定!F642)*(適用号機!C:C=改定!G642), ""))</f>
        <v/>
      </c>
      <c r="N642" s="142" t="str">
        <f t="shared" si="12"/>
        <v>17301-43436-00</v>
      </c>
      <c r="O642" s="122" t="s">
        <v>1702</v>
      </c>
    </row>
    <row r="643" spans="1:15">
      <c r="A643" s="122" t="s">
        <v>1452</v>
      </c>
      <c r="B643" s="189">
        <f>_xlfn.XLOOKUP(F643,品番!B:B,品番!G:G)</f>
        <v>0</v>
      </c>
      <c r="C643" s="189" t="str">
        <f>_xlfn.XLOOKUP(F643,品番!B:B,品番!C:C)</f>
        <v>GPSユニット</v>
      </c>
      <c r="D643" s="189">
        <f>_xlfn.XLOOKUP(F643,品番!B:B,品番!D:D)</f>
        <v>0</v>
      </c>
      <c r="E643" s="179">
        <v>54362</v>
      </c>
      <c r="F643" s="180" t="s">
        <v>1451</v>
      </c>
      <c r="G643" s="181">
        <v>1</v>
      </c>
      <c r="K643" s="142" t="s">
        <v>1435</v>
      </c>
      <c r="M643" s="266" t="str" cm="1">
        <f t="array" ref="M643">_xlfn.TEXTJOIN(",", TRUE, _xlfn._xlws.FILTER(適用号機!D:D, (適用号機!B:B=改定!F643)*(適用号機!C:C=改定!G643), ""))</f>
        <v/>
      </c>
      <c r="N643" s="142" t="str">
        <f t="shared" si="12"/>
        <v>17301-43436-01</v>
      </c>
      <c r="O643" s="122" t="s">
        <v>1702</v>
      </c>
    </row>
    <row r="644" spans="1:15">
      <c r="A644" s="122" t="s">
        <v>1452</v>
      </c>
      <c r="B644" s="189">
        <f>_xlfn.XLOOKUP(F644,品番!B:B,品番!G:G)</f>
        <v>0</v>
      </c>
      <c r="C644" s="189" t="str">
        <f>_xlfn.XLOOKUP(F644,品番!B:B,品番!C:C)</f>
        <v>GPSユニット</v>
      </c>
      <c r="D644" s="189">
        <f>_xlfn.XLOOKUP(F644,品番!B:B,品番!D:D)</f>
        <v>0</v>
      </c>
      <c r="E644" s="179">
        <v>55036</v>
      </c>
      <c r="F644" s="180" t="s">
        <v>1451</v>
      </c>
      <c r="G644" s="181">
        <v>2</v>
      </c>
      <c r="K644" s="142" t="s">
        <v>1436</v>
      </c>
      <c r="M644" s="266" t="str" cm="1">
        <f t="array" ref="M644">_xlfn.TEXTJOIN(",", TRUE, _xlfn._xlws.FILTER(適用号機!D:D, (適用号機!B:B=改定!F644)*(適用号機!C:C=改定!G644), ""))</f>
        <v/>
      </c>
      <c r="N644" s="142" t="str">
        <f t="shared" si="12"/>
        <v>17301-43436-02</v>
      </c>
      <c r="O644" s="122" t="s">
        <v>1702</v>
      </c>
    </row>
    <row r="645" spans="1:15">
      <c r="A645" s="122" t="s">
        <v>1452</v>
      </c>
      <c r="B645" s="189">
        <f>_xlfn.XLOOKUP(F645,品番!B:B,品番!G:G)</f>
        <v>0</v>
      </c>
      <c r="C645" s="189" t="str">
        <f>_xlfn.XLOOKUP(F645,品番!B:B,品番!C:C)</f>
        <v>GPSユニット</v>
      </c>
      <c r="D645" s="189">
        <f>_xlfn.XLOOKUP(F645,品番!B:B,品番!D:D)</f>
        <v>0</v>
      </c>
      <c r="E645" s="179">
        <v>55967</v>
      </c>
      <c r="F645" s="180" t="s">
        <v>1451</v>
      </c>
      <c r="G645" s="181">
        <v>3</v>
      </c>
      <c r="K645" s="142" t="s">
        <v>1437</v>
      </c>
      <c r="M645" s="266" t="str" cm="1">
        <f t="array" ref="M645">_xlfn.TEXTJOIN(",", TRUE, _xlfn._xlws.FILTER(適用号機!D:D, (適用号機!B:B=改定!F645)*(適用号機!C:C=改定!G645), ""))</f>
        <v/>
      </c>
      <c r="N645" s="142" t="str">
        <f t="shared" si="12"/>
        <v>17301-43436-03</v>
      </c>
      <c r="O645" s="122" t="s">
        <v>1702</v>
      </c>
    </row>
    <row r="646" spans="1:15">
      <c r="A646" s="142" t="s">
        <v>197</v>
      </c>
      <c r="B646" s="189" t="str">
        <f>_xlfn.XLOOKUP(F646,品番!B:B,品番!G:G)</f>
        <v>J7B/J10B</v>
      </c>
      <c r="C646" s="189" t="str">
        <f>_xlfn.XLOOKUP(F646,品番!B:B,品番!C:C)</f>
        <v>コントローラ</v>
      </c>
      <c r="D646" s="189" t="str">
        <f>_xlfn.XLOOKUP(F646,品番!B:B,品番!D:D)</f>
        <v>メイン</v>
      </c>
      <c r="E646" s="179">
        <v>63236</v>
      </c>
      <c r="F646" s="180" t="s">
        <v>198</v>
      </c>
      <c r="G646" s="181">
        <v>13</v>
      </c>
      <c r="H646" s="122" t="s">
        <v>1469</v>
      </c>
      <c r="K646" s="142" t="s">
        <v>1468</v>
      </c>
      <c r="M646" s="266" t="str" cm="1">
        <f t="array" ref="M646">_xlfn.TEXTJOIN(",", TRUE, _xlfn._xlws.FILTER(適用号機!D:D, (適用号機!B:B=改定!F646)*(適用号機!C:C=改定!G646), ""))</f>
        <v/>
      </c>
      <c r="N646" s="142" t="str">
        <f t="shared" si="12"/>
        <v>03742-00133-13</v>
      </c>
      <c r="O646" s="122" t="s">
        <v>1702</v>
      </c>
    </row>
    <row r="647" spans="1:15">
      <c r="A647" s="142" t="s">
        <v>199</v>
      </c>
      <c r="B647" s="189" t="str">
        <f>_xlfn.XLOOKUP(F647,品番!B:B,品番!G:G)</f>
        <v>J7B</v>
      </c>
      <c r="C647" s="189" t="str">
        <f>_xlfn.XLOOKUP(F647,品番!B:B,品番!C:C)</f>
        <v>コントローラ</v>
      </c>
      <c r="D647" s="189" t="str">
        <f>_xlfn.XLOOKUP(F647,品番!B:B,品番!D:D)</f>
        <v>メイン</v>
      </c>
      <c r="E647" s="179">
        <v>63236</v>
      </c>
      <c r="F647" s="180" t="s">
        <v>200</v>
      </c>
      <c r="G647" s="181">
        <v>2</v>
      </c>
      <c r="H647" s="122" t="s">
        <v>377</v>
      </c>
      <c r="K647" s="142" t="s">
        <v>1468</v>
      </c>
      <c r="M647" s="266" t="str" cm="1">
        <f t="array" ref="M647">_xlfn.TEXTJOIN(",", TRUE, _xlfn._xlws.FILTER(適用号機!D:D, (適用号機!B:B=改定!F647)*(適用号機!C:C=改定!G647), ""))</f>
        <v/>
      </c>
      <c r="N647" s="142" t="str">
        <f t="shared" si="12"/>
        <v>03742-00529-02</v>
      </c>
      <c r="O647" s="122" t="s">
        <v>1702</v>
      </c>
    </row>
    <row r="648" spans="1:15">
      <c r="A648" s="122" t="s">
        <v>1440</v>
      </c>
      <c r="B648" s="189">
        <f>_xlfn.XLOOKUP(F648,品番!B:B,品番!G:G)</f>
        <v>0</v>
      </c>
      <c r="C648" s="189" t="str">
        <f>_xlfn.XLOOKUP(F648,品番!B:B,品番!C:C)</f>
        <v>GPSユニット</v>
      </c>
      <c r="D648" s="189">
        <f>_xlfn.XLOOKUP(F648,品番!B:B,品番!D:D)</f>
        <v>0</v>
      </c>
      <c r="E648" s="179">
        <v>53936</v>
      </c>
      <c r="F648" s="180" t="s">
        <v>1474</v>
      </c>
      <c r="G648" s="181">
        <v>0</v>
      </c>
      <c r="K648" s="142" t="s">
        <v>1434</v>
      </c>
      <c r="M648" s="266" t="str" cm="1">
        <f t="array" ref="M648">_xlfn.TEXTJOIN(",", TRUE, _xlfn._xlws.FILTER(適用号機!D:D, (適用号機!B:B=改定!F648)*(適用号機!C:C=改定!G648), ""))</f>
        <v/>
      </c>
      <c r="N648" s="142" t="str">
        <f t="shared" si="12"/>
        <v>17301-43438-00</v>
      </c>
      <c r="O648" s="122" t="s">
        <v>1702</v>
      </c>
    </row>
    <row r="649" spans="1:15">
      <c r="A649" s="122" t="s">
        <v>1440</v>
      </c>
      <c r="B649" s="189">
        <f>_xlfn.XLOOKUP(F649,品番!B:B,品番!G:G)</f>
        <v>0</v>
      </c>
      <c r="C649" s="189" t="str">
        <f>_xlfn.XLOOKUP(F649,品番!B:B,品番!C:C)</f>
        <v>GPSユニット</v>
      </c>
      <c r="D649" s="189">
        <f>_xlfn.XLOOKUP(F649,品番!B:B,品番!D:D)</f>
        <v>0</v>
      </c>
      <c r="E649" s="179">
        <v>54362</v>
      </c>
      <c r="F649" s="180" t="s">
        <v>1474</v>
      </c>
      <c r="G649" s="181">
        <v>1</v>
      </c>
      <c r="K649" s="142" t="s">
        <v>1435</v>
      </c>
      <c r="M649" s="266" t="str" cm="1">
        <f t="array" ref="M649">_xlfn.TEXTJOIN(",", TRUE, _xlfn._xlws.FILTER(適用号機!D:D, (適用号機!B:B=改定!F649)*(適用号機!C:C=改定!G649), ""))</f>
        <v/>
      </c>
      <c r="N649" s="142" t="str">
        <f t="shared" si="12"/>
        <v>17301-43438-01</v>
      </c>
      <c r="O649" s="122" t="s">
        <v>1702</v>
      </c>
    </row>
    <row r="650" spans="1:15">
      <c r="A650" s="122" t="s">
        <v>1440</v>
      </c>
      <c r="B650" s="189">
        <f>_xlfn.XLOOKUP(F650,品番!B:B,品番!G:G)</f>
        <v>0</v>
      </c>
      <c r="C650" s="189" t="str">
        <f>_xlfn.XLOOKUP(F650,品番!B:B,品番!C:C)</f>
        <v>GPSユニット</v>
      </c>
      <c r="D650" s="189">
        <f>_xlfn.XLOOKUP(F650,品番!B:B,品番!D:D)</f>
        <v>0</v>
      </c>
      <c r="E650" s="179">
        <v>55036</v>
      </c>
      <c r="F650" s="180" t="s">
        <v>1474</v>
      </c>
      <c r="G650" s="181">
        <v>2</v>
      </c>
      <c r="K650" s="142" t="s">
        <v>1436</v>
      </c>
      <c r="M650" s="266" t="str" cm="1">
        <f t="array" ref="M650">_xlfn.TEXTJOIN(",", TRUE, _xlfn._xlws.FILTER(適用号機!D:D, (適用号機!B:B=改定!F650)*(適用号機!C:C=改定!G650), ""))</f>
        <v/>
      </c>
      <c r="N650" s="142" t="str">
        <f t="shared" si="12"/>
        <v>17301-43438-02</v>
      </c>
      <c r="O650" s="122" t="s">
        <v>1702</v>
      </c>
    </row>
    <row r="651" spans="1:15">
      <c r="A651" s="122" t="s">
        <v>1440</v>
      </c>
      <c r="B651" s="189">
        <f>_xlfn.XLOOKUP(F651,品番!B:B,品番!G:G)</f>
        <v>0</v>
      </c>
      <c r="C651" s="189" t="str">
        <f>_xlfn.XLOOKUP(F651,品番!B:B,品番!C:C)</f>
        <v>GPSユニット</v>
      </c>
      <c r="D651" s="189">
        <f>_xlfn.XLOOKUP(F651,品番!B:B,品番!D:D)</f>
        <v>0</v>
      </c>
      <c r="E651" s="179" t="s">
        <v>1475</v>
      </c>
      <c r="F651" s="180" t="s">
        <v>1474</v>
      </c>
      <c r="G651" s="181">
        <v>3</v>
      </c>
      <c r="K651" s="142" t="s">
        <v>1437</v>
      </c>
      <c r="M651" s="266" t="str" cm="1">
        <f t="array" ref="M651">_xlfn.TEXTJOIN(",", TRUE, _xlfn._xlws.FILTER(適用号機!D:D, (適用号機!B:B=改定!F651)*(適用号機!C:C=改定!G651), ""))</f>
        <v/>
      </c>
      <c r="N651" s="142" t="str">
        <f t="shared" si="12"/>
        <v>17301-43438-03</v>
      </c>
      <c r="O651" s="122" t="s">
        <v>1702</v>
      </c>
    </row>
    <row r="652" spans="1:15">
      <c r="A652" s="122" t="s">
        <v>197</v>
      </c>
      <c r="B652" s="189" t="str">
        <f>_xlfn.XLOOKUP(F652,品番!B:B,品番!G:G)</f>
        <v>J7B(CNP)/J10B(CNP)</v>
      </c>
      <c r="C652" s="189" t="str">
        <f>_xlfn.XLOOKUP(F652,品番!B:B,品番!C:C)</f>
        <v>ディスプレイ</v>
      </c>
      <c r="D652" s="189">
        <f>_xlfn.XLOOKUP(F652,品番!B:B,品番!D:D)</f>
        <v>0</v>
      </c>
      <c r="E652" s="179">
        <v>51442</v>
      </c>
      <c r="F652" s="180" t="s">
        <v>1476</v>
      </c>
      <c r="G652" s="181">
        <v>0</v>
      </c>
      <c r="K652" s="142" t="s">
        <v>1434</v>
      </c>
      <c r="M652" s="266" t="str" cm="1">
        <f t="array" ref="M652">_xlfn.TEXTJOIN(",", TRUE, _xlfn._xlws.FILTER(適用号機!D:D, (適用号機!B:B=改定!F652)*(適用号機!C:C=改定!G652), ""))</f>
        <v>J7B,J10B</v>
      </c>
      <c r="N652" s="142" t="str">
        <f t="shared" si="12"/>
        <v>17301-43830-00</v>
      </c>
      <c r="O652" s="122" t="s">
        <v>1702</v>
      </c>
    </row>
    <row r="653" spans="1:15">
      <c r="A653" s="122" t="s">
        <v>197</v>
      </c>
      <c r="B653" s="189" t="str">
        <f>_xlfn.XLOOKUP(F653,品番!B:B,品番!G:G)</f>
        <v>J7B(CNP)/J10B(CNP)</v>
      </c>
      <c r="C653" s="189" t="str">
        <f>_xlfn.XLOOKUP(F653,品番!B:B,品番!C:C)</f>
        <v>ディスプレイ</v>
      </c>
      <c r="D653" s="189">
        <f>_xlfn.XLOOKUP(F653,品番!B:B,品番!D:D)</f>
        <v>0</v>
      </c>
      <c r="E653" s="179">
        <v>54055</v>
      </c>
      <c r="F653" s="180" t="s">
        <v>1476</v>
      </c>
      <c r="G653" s="181">
        <v>1</v>
      </c>
      <c r="H653" s="122" t="s">
        <v>1461</v>
      </c>
      <c r="K653" s="142" t="s">
        <v>1463</v>
      </c>
      <c r="M653" s="266" t="str" cm="1">
        <f t="array" ref="M653">_xlfn.TEXTJOIN(",", TRUE, _xlfn._xlws.FILTER(適用号機!D:D, (適用号機!B:B=改定!F653)*(適用号機!C:C=改定!G653), ""))</f>
        <v>J7B,J10B</v>
      </c>
      <c r="N653" s="142" t="str">
        <f t="shared" si="12"/>
        <v>17301-43830-01</v>
      </c>
      <c r="O653" s="122" t="s">
        <v>1702</v>
      </c>
    </row>
    <row r="654" spans="1:15">
      <c r="A654" s="122" t="s">
        <v>197</v>
      </c>
      <c r="B654" s="189" t="str">
        <f>_xlfn.XLOOKUP(F654,品番!B:B,品番!G:G)</f>
        <v>J7B(CNP)/J10B(CNP)</v>
      </c>
      <c r="C654" s="189" t="str">
        <f>_xlfn.XLOOKUP(F654,品番!B:B,品番!C:C)</f>
        <v>ディスプレイ</v>
      </c>
      <c r="D654" s="189">
        <f>_xlfn.XLOOKUP(F654,品番!B:B,品番!D:D)</f>
        <v>0</v>
      </c>
      <c r="E654" s="179">
        <v>61727</v>
      </c>
      <c r="F654" s="180" t="s">
        <v>1476</v>
      </c>
      <c r="G654" s="181">
        <v>2</v>
      </c>
      <c r="H654" s="122" t="s">
        <v>1469</v>
      </c>
      <c r="K654" s="142" t="s">
        <v>1864</v>
      </c>
      <c r="M654" s="266" t="str" cm="1">
        <f t="array" ref="M654">_xlfn.TEXTJOIN(",", TRUE, _xlfn._xlws.FILTER(適用号機!D:D, (適用号機!B:B=改定!F654)*(適用号機!C:C=改定!G654), ""))</f>
        <v>J7B,J10B</v>
      </c>
      <c r="N654" s="142" t="str">
        <f t="shared" si="12"/>
        <v>17301-43830-02</v>
      </c>
      <c r="O654" s="122" t="s">
        <v>1702</v>
      </c>
    </row>
    <row r="655" spans="1:15">
      <c r="A655" s="122" t="s">
        <v>197</v>
      </c>
      <c r="B655" s="189" t="str">
        <f>_xlfn.XLOOKUP(F655,品番!B:B,品番!G:G)</f>
        <v>J7B(CNP)/J10B(CNP)</v>
      </c>
      <c r="C655" s="189" t="str">
        <f>_xlfn.XLOOKUP(F655,品番!B:B,品番!C:C)</f>
        <v>ディスプレイ</v>
      </c>
      <c r="D655" s="189">
        <f>_xlfn.XLOOKUP(F655,品番!B:B,品番!D:D)</f>
        <v>0</v>
      </c>
      <c r="E655" s="179">
        <v>62317</v>
      </c>
      <c r="F655" s="180" t="s">
        <v>1472</v>
      </c>
      <c r="G655" s="181">
        <v>3</v>
      </c>
      <c r="H655" s="122" t="s">
        <v>1469</v>
      </c>
      <c r="K655" s="142" t="s">
        <v>2035</v>
      </c>
      <c r="M655" s="266" t="str" cm="1">
        <f t="array" ref="M655">_xlfn.TEXTJOIN(",", TRUE, _xlfn._xlws.FILTER(適用号機!D:D, (適用号機!B:B=改定!F655)*(適用号機!C:C=改定!G655), ""))</f>
        <v>J7B,J10B</v>
      </c>
      <c r="N655" s="142" t="str">
        <f t="shared" si="12"/>
        <v>17301-43830-03</v>
      </c>
      <c r="O655" s="122" t="s">
        <v>1702</v>
      </c>
    </row>
    <row r="656" spans="1:15">
      <c r="A656" s="122" t="s">
        <v>197</v>
      </c>
      <c r="B656" s="189" t="e">
        <f>_xlfn.XLOOKUP(F656,品番!B:B,品番!G:G)</f>
        <v>#N/A</v>
      </c>
      <c r="C656" s="189" t="e">
        <f>_xlfn.XLOOKUP(F656,品番!B:B,品番!C:C)</f>
        <v>#N/A</v>
      </c>
      <c r="D656" s="189" t="e">
        <f>_xlfn.XLOOKUP(F656,品番!B:B,品番!D:D)</f>
        <v>#N/A</v>
      </c>
      <c r="E656" s="179">
        <v>54969</v>
      </c>
      <c r="F656" s="180" t="s">
        <v>1479</v>
      </c>
      <c r="G656" s="181">
        <v>0</v>
      </c>
      <c r="K656" s="142" t="s">
        <v>1481</v>
      </c>
      <c r="M656" s="266" t="str" cm="1">
        <f t="array" ref="M656">_xlfn.TEXTJOIN(",", TRUE, _xlfn._xlws.FILTER(適用号機!D:D, (適用号機!B:B=改定!F656)*(適用号機!C:C=改定!G656), ""))</f>
        <v/>
      </c>
      <c r="N656" s="142" t="str">
        <f t="shared" si="12"/>
        <v>17301-43870	-00</v>
      </c>
      <c r="O656" s="122" t="s">
        <v>1702</v>
      </c>
    </row>
    <row r="657" spans="1:15">
      <c r="A657" s="122" t="s">
        <v>197</v>
      </c>
      <c r="B657" s="189" t="e">
        <f>_xlfn.XLOOKUP(F657,品番!B:B,品番!G:G)</f>
        <v>#N/A</v>
      </c>
      <c r="C657" s="189" t="e">
        <f>_xlfn.XLOOKUP(F657,品番!B:B,品番!C:C)</f>
        <v>#N/A</v>
      </c>
      <c r="D657" s="189" t="e">
        <f>_xlfn.XLOOKUP(F657,品番!B:B,品番!D:D)</f>
        <v>#N/A</v>
      </c>
      <c r="E657" s="179" t="s">
        <v>1480</v>
      </c>
      <c r="F657" s="180" t="s">
        <v>1479</v>
      </c>
      <c r="G657" s="181">
        <v>1</v>
      </c>
      <c r="K657" s="142" t="s">
        <v>1865</v>
      </c>
      <c r="M657" s="266" t="str" cm="1">
        <f t="array" ref="M657">_xlfn.TEXTJOIN(",", TRUE, _xlfn._xlws.FILTER(適用号機!D:D, (適用号機!B:B=改定!F657)*(適用号機!C:C=改定!G657), ""))</f>
        <v/>
      </c>
      <c r="N657" s="142" t="str">
        <f t="shared" si="12"/>
        <v>17301-43870	-01</v>
      </c>
      <c r="O657" s="122" t="s">
        <v>1702</v>
      </c>
    </row>
    <row r="658" spans="1:15">
      <c r="A658" s="122" t="s">
        <v>197</v>
      </c>
      <c r="B658" s="189" t="e">
        <f>_xlfn.XLOOKUP(F658,品番!B:B,品番!G:G)</f>
        <v>#N/A</v>
      </c>
      <c r="C658" s="189" t="e">
        <f>_xlfn.XLOOKUP(F658,品番!B:B,品番!C:C)</f>
        <v>#N/A</v>
      </c>
      <c r="D658" s="189" t="e">
        <f>_xlfn.XLOOKUP(F658,品番!B:B,品番!D:D)</f>
        <v>#N/A</v>
      </c>
      <c r="E658" s="179">
        <v>62317</v>
      </c>
      <c r="F658" s="180" t="s">
        <v>1479</v>
      </c>
      <c r="G658" s="181">
        <v>2</v>
      </c>
      <c r="K658" s="142" t="s">
        <v>1482</v>
      </c>
      <c r="M658" s="266" t="str" cm="1">
        <f t="array" ref="M658">_xlfn.TEXTJOIN(",", TRUE, _xlfn._xlws.FILTER(適用号機!D:D, (適用号機!B:B=改定!F658)*(適用号機!C:C=改定!G658), ""))</f>
        <v/>
      </c>
      <c r="N658" s="142" t="str">
        <f t="shared" si="12"/>
        <v>17301-43870	-02</v>
      </c>
      <c r="O658" s="122" t="s">
        <v>1702</v>
      </c>
    </row>
    <row r="659" spans="1:15">
      <c r="A659" s="122" t="s">
        <v>1508</v>
      </c>
      <c r="B659" s="189" t="str">
        <f>_xlfn.XLOOKUP(F659,品番!B:B,品番!G:G)</f>
        <v>A14J</v>
      </c>
      <c r="C659" s="189" t="str">
        <f>_xlfn.XLOOKUP(F659,品番!B:B,品番!C:C)</f>
        <v>コントローラ</v>
      </c>
      <c r="D659" s="189" t="str">
        <f>_xlfn.XLOOKUP(F659,品番!B:B,品番!D:D)</f>
        <v>メイン</v>
      </c>
      <c r="E659" s="179">
        <v>63315</v>
      </c>
      <c r="F659" s="180" t="s">
        <v>1493</v>
      </c>
      <c r="G659" s="181">
        <v>5</v>
      </c>
      <c r="H659" s="122" t="s">
        <v>1509</v>
      </c>
      <c r="K659" s="142" t="s">
        <v>1516</v>
      </c>
      <c r="M659" s="266" t="str" cm="1">
        <f t="array" ref="M659">_xlfn.TEXTJOIN(",", TRUE, _xlfn._xlws.FILTER(適用号機!D:D, (適用号機!B:B=改定!F659)*(適用号機!C:C=改定!G659), ""))</f>
        <v/>
      </c>
      <c r="N659" s="142" t="str">
        <f t="shared" si="12"/>
        <v>05642-00505-05</v>
      </c>
      <c r="O659" s="122" t="s">
        <v>1702</v>
      </c>
    </row>
    <row r="660" spans="1:15">
      <c r="A660" s="122" t="s">
        <v>1508</v>
      </c>
      <c r="B660" s="189" t="str">
        <f>_xlfn.XLOOKUP(F660,品番!B:B,品番!G:G)</f>
        <v>A14J</v>
      </c>
      <c r="C660" s="189" t="str">
        <f>_xlfn.XLOOKUP(F660,品番!B:B,品番!C:C)</f>
        <v>コントローラ</v>
      </c>
      <c r="D660" s="189" t="str">
        <f>_xlfn.XLOOKUP(F660,品番!B:B,品番!D:D)</f>
        <v>メイン</v>
      </c>
      <c r="E660" s="179" t="s">
        <v>2075</v>
      </c>
      <c r="F660" s="180" t="s">
        <v>102</v>
      </c>
      <c r="G660" s="181">
        <v>6</v>
      </c>
      <c r="H660" s="122" t="s">
        <v>1510</v>
      </c>
      <c r="K660" s="142" t="s">
        <v>1516</v>
      </c>
      <c r="M660" s="266" t="str" cm="1">
        <f t="array" ref="M660">_xlfn.TEXTJOIN(",", TRUE, _xlfn._xlws.FILTER(適用号機!D:D, (適用号機!B:B=改定!F660)*(適用号機!C:C=改定!G660), ""))</f>
        <v/>
      </c>
      <c r="N660" s="142" t="str">
        <f t="shared" si="12"/>
        <v>05642-00606-06</v>
      </c>
      <c r="O660" s="122" t="s">
        <v>1702</v>
      </c>
    </row>
    <row r="661" spans="1:15">
      <c r="A661" s="122" t="s">
        <v>117</v>
      </c>
      <c r="B661" s="189" t="str">
        <f>_xlfn.XLOOKUP(F661,品番!B:B,品番!G:G)</f>
        <v>A25FG/A27AB</v>
      </c>
      <c r="C661" s="189" t="str">
        <f>_xlfn.XLOOKUP(F661,品番!B:B,品番!C:C)</f>
        <v>コントローラ</v>
      </c>
      <c r="D661" s="189" t="str">
        <f>_xlfn.XLOOKUP(F661,品番!B:B,品番!D:D)</f>
        <v>メイン</v>
      </c>
      <c r="E661" s="179">
        <v>63315</v>
      </c>
      <c r="F661" s="180" t="s">
        <v>1494</v>
      </c>
      <c r="G661" s="181">
        <v>3</v>
      </c>
      <c r="H661" s="122" t="s">
        <v>1512</v>
      </c>
      <c r="K661" s="142" t="s">
        <v>1516</v>
      </c>
      <c r="M661" s="266" t="str" cm="1">
        <f t="array" ref="M661">_xlfn.TEXTJOIN(",", TRUE, _xlfn._xlws.FILTER(適用号機!D:D, (適用号機!B:B=改定!F661)*(適用号機!C:C=改定!G661), ""))</f>
        <v/>
      </c>
      <c r="N661" s="142" t="str">
        <f t="shared" si="12"/>
        <v>05742-00773-03</v>
      </c>
      <c r="O661" s="122" t="s">
        <v>1702</v>
      </c>
    </row>
    <row r="662" spans="1:15">
      <c r="A662" s="122" t="s">
        <v>117</v>
      </c>
      <c r="B662" s="189" t="str">
        <f>_xlfn.XLOOKUP(F662,品番!B:B,品番!G:G)</f>
        <v>A25FG/A27AB</v>
      </c>
      <c r="C662" s="189" t="str">
        <f>_xlfn.XLOOKUP(F662,品番!B:B,品番!C:C)</f>
        <v>コントローラ</v>
      </c>
      <c r="D662" s="189" t="str">
        <f>_xlfn.XLOOKUP(F662,品番!B:B,品番!D:D)</f>
        <v>メイン</v>
      </c>
      <c r="E662" s="179">
        <v>63315</v>
      </c>
      <c r="F662" s="180" t="s">
        <v>128</v>
      </c>
      <c r="G662" s="181">
        <v>9</v>
      </c>
      <c r="H662" s="122" t="s">
        <v>1513</v>
      </c>
      <c r="K662" s="142" t="s">
        <v>1516</v>
      </c>
      <c r="M662" s="266" t="str" cm="1">
        <f t="array" ref="M662">_xlfn.TEXTJOIN(",", TRUE, _xlfn._xlws.FILTER(適用号機!D:D, (適用号機!B:B=改定!F662)*(適用号機!C:C=改定!G662), ""))</f>
        <v/>
      </c>
      <c r="N662" s="142" t="str">
        <f t="shared" si="12"/>
        <v>05742-00359-09</v>
      </c>
      <c r="O662" s="122" t="s">
        <v>1702</v>
      </c>
    </row>
    <row r="663" spans="1:15">
      <c r="A663" s="122" t="s">
        <v>117</v>
      </c>
      <c r="B663" s="189" t="str">
        <f>_xlfn.XLOOKUP(F663,品番!B:B,品番!G:G)</f>
        <v>A25FG/A27AB</v>
      </c>
      <c r="C663" s="189" t="str">
        <f>_xlfn.XLOOKUP(F663,品番!B:B,品番!C:C)</f>
        <v>コントローラ</v>
      </c>
      <c r="D663" s="189" t="str">
        <f>_xlfn.XLOOKUP(F663,品番!B:B,品番!D:D)</f>
        <v>メイン</v>
      </c>
      <c r="E663" s="179">
        <v>63315</v>
      </c>
      <c r="F663" s="180" t="s">
        <v>1495</v>
      </c>
      <c r="G663" s="181">
        <v>5</v>
      </c>
      <c r="H663" s="122" t="s">
        <v>1511</v>
      </c>
      <c r="K663" s="142" t="s">
        <v>1516</v>
      </c>
      <c r="M663" s="266" t="str" cm="1">
        <f t="array" ref="M663">_xlfn.TEXTJOIN(",", TRUE, _xlfn._xlws.FILTER(適用号機!D:D, (適用号機!B:B=改定!F663)*(適用号機!C:C=改定!G663), ""))</f>
        <v/>
      </c>
      <c r="N663" s="142" t="str">
        <f t="shared" si="12"/>
        <v>05742-00335-05</v>
      </c>
      <c r="O663" s="122" t="s">
        <v>1702</v>
      </c>
    </row>
    <row r="664" spans="1:15">
      <c r="A664" s="122" t="s">
        <v>117</v>
      </c>
      <c r="B664" s="189" t="str">
        <f>_xlfn.XLOOKUP(F664,品番!B:B,品番!G:G)</f>
        <v>A25FG/A27AB</v>
      </c>
      <c r="C664" s="189" t="str">
        <f>_xlfn.XLOOKUP(F664,品番!B:B,品番!C:C)</f>
        <v>コントローラ</v>
      </c>
      <c r="D664" s="189" t="str">
        <f>_xlfn.XLOOKUP(F664,品番!B:B,品番!D:D)</f>
        <v>メイン</v>
      </c>
      <c r="E664" s="179">
        <v>63315</v>
      </c>
      <c r="F664" s="180" t="s">
        <v>1496</v>
      </c>
      <c r="G664" s="181">
        <v>5</v>
      </c>
      <c r="H664" s="122" t="s">
        <v>1514</v>
      </c>
      <c r="K664" s="142" t="s">
        <v>1516</v>
      </c>
      <c r="M664" s="266" t="str" cm="1">
        <f t="array" ref="M664">_xlfn.TEXTJOIN(",", TRUE, _xlfn._xlws.FILTER(適用号機!D:D, (適用号機!B:B=改定!F664)*(適用号機!C:C=改定!G664), ""))</f>
        <v/>
      </c>
      <c r="N664" s="142" t="str">
        <f t="shared" si="12"/>
        <v>05742-00334-05</v>
      </c>
      <c r="O664" s="122" t="s">
        <v>1702</v>
      </c>
    </row>
    <row r="665" spans="1:15">
      <c r="A665" s="122" t="s">
        <v>117</v>
      </c>
      <c r="B665" s="189" t="str">
        <f>_xlfn.XLOOKUP(F665,品番!B:B,品番!G:G)</f>
        <v>A25FG/A27AB</v>
      </c>
      <c r="C665" s="189" t="str">
        <f>_xlfn.XLOOKUP(F665,品番!B:B,品番!C:C)</f>
        <v>コントローラ</v>
      </c>
      <c r="D665" s="189" t="str">
        <f>_xlfn.XLOOKUP(F665,品番!B:B,品番!D:D)</f>
        <v>メイン</v>
      </c>
      <c r="E665" s="179">
        <v>63315</v>
      </c>
      <c r="F665" s="180" t="s">
        <v>1497</v>
      </c>
      <c r="G665" s="181">
        <v>6</v>
      </c>
      <c r="H665" s="122" t="s">
        <v>1515</v>
      </c>
      <c r="K665" s="142" t="s">
        <v>1516</v>
      </c>
      <c r="M665" s="266" t="str" cm="1">
        <f t="array" ref="M665">_xlfn.TEXTJOIN(",", TRUE, _xlfn._xlws.FILTER(適用号機!D:D, (適用号機!B:B=改定!F665)*(適用号機!C:C=改定!G665), ""))</f>
        <v/>
      </c>
      <c r="N665" s="142" t="str">
        <f t="shared" si="12"/>
        <v>05742-00323-06</v>
      </c>
      <c r="O665" s="122" t="s">
        <v>1702</v>
      </c>
    </row>
    <row r="666" spans="1:15">
      <c r="A666" s="122" t="s">
        <v>520</v>
      </c>
      <c r="B666" s="189" t="str">
        <f>_xlfn.XLOOKUP(F666,品番!B:B,品番!G:G)</f>
        <v>A25E</v>
      </c>
      <c r="C666" s="189" t="str">
        <f>_xlfn.XLOOKUP(F666,品番!B:B,品番!C:C)</f>
        <v>サービスツール</v>
      </c>
      <c r="D666" s="189">
        <f>_xlfn.XLOOKUP(F666,品番!B:B,品番!D:D)</f>
        <v>0</v>
      </c>
      <c r="E666" s="179">
        <v>40471</v>
      </c>
      <c r="F666" s="180" t="s">
        <v>1556</v>
      </c>
      <c r="G666" s="181">
        <v>0</v>
      </c>
      <c r="M666" s="266" t="str" cm="1">
        <f t="array" ref="M666">_xlfn.TEXTJOIN(",", TRUE, _xlfn._xlws.FILTER(適用号機!D:D, (適用号機!B:B=改定!F666)*(適用号機!C:C=改定!G666), ""))</f>
        <v/>
      </c>
      <c r="N666" s="142" t="str">
        <f t="shared" si="12"/>
        <v>05701-00005-00</v>
      </c>
      <c r="O666" s="122" t="s">
        <v>1702</v>
      </c>
    </row>
    <row r="667" spans="1:15">
      <c r="A667" s="122" t="s">
        <v>520</v>
      </c>
      <c r="B667" s="189" t="str">
        <f>_xlfn.XLOOKUP(F667,品番!B:B,品番!G:G)</f>
        <v>A25E</v>
      </c>
      <c r="C667" s="189" t="str">
        <f>_xlfn.XLOOKUP(F667,品番!B:B,品番!C:C)</f>
        <v>サービスツール</v>
      </c>
      <c r="D667" s="189">
        <f>_xlfn.XLOOKUP(F667,品番!B:B,品番!D:D)</f>
        <v>0</v>
      </c>
      <c r="E667" s="179">
        <v>40678</v>
      </c>
      <c r="F667" s="180" t="s">
        <v>1556</v>
      </c>
      <c r="G667" s="181">
        <v>1</v>
      </c>
      <c r="H667" s="122" t="s">
        <v>1561</v>
      </c>
      <c r="M667" s="266" t="str" cm="1">
        <f t="array" ref="M667">_xlfn.TEXTJOIN(",", TRUE, _xlfn._xlws.FILTER(適用号機!D:D, (適用号機!B:B=改定!F667)*(適用号機!C:C=改定!G667), ""))</f>
        <v/>
      </c>
      <c r="N667" s="142" t="str">
        <f t="shared" si="12"/>
        <v>05701-00005-01</v>
      </c>
      <c r="O667" s="122" t="s">
        <v>1702</v>
      </c>
    </row>
    <row r="668" spans="1:15">
      <c r="A668" s="122" t="s">
        <v>520</v>
      </c>
      <c r="B668" s="189" t="str">
        <f>_xlfn.XLOOKUP(F668,品番!B:B,品番!G:G)</f>
        <v>A25E</v>
      </c>
      <c r="C668" s="189" t="str">
        <f>_xlfn.XLOOKUP(F668,品番!B:B,品番!C:C)</f>
        <v>サービスツール</v>
      </c>
      <c r="D668" s="189">
        <f>_xlfn.XLOOKUP(F668,品番!B:B,品番!D:D)</f>
        <v>0</v>
      </c>
      <c r="E668" s="179">
        <v>42327</v>
      </c>
      <c r="F668" s="180" t="s">
        <v>1556</v>
      </c>
      <c r="G668" s="181">
        <v>2</v>
      </c>
      <c r="H668" s="122" t="s">
        <v>1562</v>
      </c>
      <c r="M668" s="266" t="str" cm="1">
        <f t="array" ref="M668">_xlfn.TEXTJOIN(",", TRUE, _xlfn._xlws.FILTER(適用号機!D:D, (適用号機!B:B=改定!F668)*(適用号機!C:C=改定!G668), ""))</f>
        <v/>
      </c>
      <c r="N668" s="142" t="str">
        <f t="shared" si="12"/>
        <v>05701-00005-02</v>
      </c>
      <c r="O668" s="122" t="s">
        <v>1702</v>
      </c>
    </row>
    <row r="669" spans="1:15">
      <c r="A669" s="122" t="s">
        <v>520</v>
      </c>
      <c r="B669" s="189" t="str">
        <f>_xlfn.XLOOKUP(F669,品番!B:B,品番!G:G)</f>
        <v>A25E</v>
      </c>
      <c r="C669" s="189" t="str">
        <f>_xlfn.XLOOKUP(F669,品番!B:B,品番!C:C)</f>
        <v>サービスツール</v>
      </c>
      <c r="D669" s="189">
        <f>_xlfn.XLOOKUP(F669,品番!B:B,品番!D:D)</f>
        <v>0</v>
      </c>
      <c r="E669" s="179">
        <v>42834</v>
      </c>
      <c r="F669" s="180" t="s">
        <v>1556</v>
      </c>
      <c r="G669" s="181">
        <v>3</v>
      </c>
      <c r="H669" s="122" t="s">
        <v>301</v>
      </c>
      <c r="M669" s="266" t="str" cm="1">
        <f t="array" ref="M669">_xlfn.TEXTJOIN(",", TRUE, _xlfn._xlws.FILTER(適用号機!D:D, (適用号機!B:B=改定!F669)*(適用号機!C:C=改定!G669), ""))</f>
        <v/>
      </c>
      <c r="N669" s="142" t="str">
        <f t="shared" si="12"/>
        <v>05701-00005-03</v>
      </c>
      <c r="O669" s="122" t="s">
        <v>1702</v>
      </c>
    </row>
    <row r="670" spans="1:15">
      <c r="A670" s="122" t="s">
        <v>520</v>
      </c>
      <c r="B670" s="189" t="str">
        <f>_xlfn.XLOOKUP(F670,品番!B:B,品番!G:G)</f>
        <v>A25E</v>
      </c>
      <c r="C670" s="189" t="str">
        <f>_xlfn.XLOOKUP(F670,品番!B:B,品番!C:C)</f>
        <v>サービスツール</v>
      </c>
      <c r="D670" s="189">
        <f>_xlfn.XLOOKUP(F670,品番!B:B,品番!D:D)</f>
        <v>0</v>
      </c>
      <c r="E670" s="179" t="s">
        <v>1560</v>
      </c>
      <c r="F670" s="180" t="s">
        <v>1556</v>
      </c>
      <c r="G670" s="181">
        <v>4</v>
      </c>
      <c r="H670" s="122" t="s">
        <v>1563</v>
      </c>
      <c r="M670" s="266" t="str" cm="1">
        <f t="array" ref="M670">_xlfn.TEXTJOIN(",", TRUE, _xlfn._xlws.FILTER(適用号機!D:D, (適用号機!B:B=改定!F670)*(適用号機!C:C=改定!G670), ""))</f>
        <v/>
      </c>
      <c r="N670" s="142" t="str">
        <f t="shared" si="12"/>
        <v>05701-00005-04</v>
      </c>
      <c r="O670" s="122" t="s">
        <v>1702</v>
      </c>
    </row>
    <row r="671" spans="1:15">
      <c r="A671" s="122" t="s">
        <v>520</v>
      </c>
      <c r="B671" s="189" t="str">
        <f>_xlfn.XLOOKUP(F671,品番!B:B,品番!G:G)</f>
        <v>A25E</v>
      </c>
      <c r="C671" s="189" t="str">
        <f>_xlfn.XLOOKUP(F671,品番!B:B,品番!C:C)</f>
        <v>サービスツール</v>
      </c>
      <c r="D671" s="189">
        <f>_xlfn.XLOOKUP(F671,品番!B:B,品番!D:D)</f>
        <v>0</v>
      </c>
      <c r="E671" s="179">
        <v>62508</v>
      </c>
      <c r="F671" s="180" t="s">
        <v>1556</v>
      </c>
      <c r="G671" s="181">
        <v>5</v>
      </c>
      <c r="H671" s="122" t="s">
        <v>1564</v>
      </c>
      <c r="M671" s="266" t="str" cm="1">
        <f t="array" ref="M671">_xlfn.TEXTJOIN(",", TRUE, _xlfn._xlws.FILTER(適用号機!D:D, (適用号機!B:B=改定!F671)*(適用号機!C:C=改定!G671), ""))</f>
        <v/>
      </c>
      <c r="N671" s="142" t="str">
        <f t="shared" si="12"/>
        <v>05701-00005-05</v>
      </c>
      <c r="O671" s="122" t="s">
        <v>1702</v>
      </c>
    </row>
    <row r="672" spans="1:15">
      <c r="A672" s="122" t="s">
        <v>524</v>
      </c>
      <c r="B672" s="189" t="str">
        <f>_xlfn.XLOOKUP(F672,品番!B:B,品番!G:G)</f>
        <v>A25EW</v>
      </c>
      <c r="C672" s="189" t="str">
        <f>_xlfn.XLOOKUP(F672,品番!B:B,品番!C:C)</f>
        <v>サービスツール</v>
      </c>
      <c r="D672" s="189">
        <f>_xlfn.XLOOKUP(F672,品番!B:B,品番!D:D)</f>
        <v>0</v>
      </c>
      <c r="E672" s="179" t="s">
        <v>1565</v>
      </c>
      <c r="F672" s="180" t="s">
        <v>1559</v>
      </c>
      <c r="G672" s="181">
        <v>0</v>
      </c>
      <c r="H672" s="122" t="s">
        <v>1570</v>
      </c>
      <c r="M672" s="266" t="str" cm="1">
        <f t="array" ref="M672">_xlfn.TEXTJOIN(",", TRUE, _xlfn._xlws.FILTER(適用号機!D:D, (適用号機!B:B=改定!F672)*(適用号機!C:C=改定!G672), ""))</f>
        <v/>
      </c>
      <c r="N672" s="142" t="str">
        <f t="shared" si="12"/>
        <v>05701-00026-00</v>
      </c>
      <c r="O672" s="122" t="s">
        <v>1702</v>
      </c>
    </row>
    <row r="673" spans="1:15">
      <c r="A673" s="122" t="s">
        <v>524</v>
      </c>
      <c r="B673" s="189" t="str">
        <f>_xlfn.XLOOKUP(F673,品番!B:B,品番!G:G)</f>
        <v>A25EW</v>
      </c>
      <c r="C673" s="189" t="str">
        <f>_xlfn.XLOOKUP(F673,品番!B:B,品番!C:C)</f>
        <v>サービスツール</v>
      </c>
      <c r="D673" s="189">
        <f>_xlfn.XLOOKUP(F673,品番!B:B,品番!D:D)</f>
        <v>0</v>
      </c>
      <c r="E673" s="179" t="s">
        <v>1566</v>
      </c>
      <c r="F673" s="180" t="s">
        <v>1559</v>
      </c>
      <c r="G673" s="181">
        <v>1</v>
      </c>
      <c r="H673" s="122" t="s">
        <v>1561</v>
      </c>
      <c r="M673" s="266" t="str" cm="1">
        <f t="array" ref="M673">_xlfn.TEXTJOIN(",", TRUE, _xlfn._xlws.FILTER(適用号機!D:D, (適用号機!B:B=改定!F673)*(適用号機!C:C=改定!G673), ""))</f>
        <v/>
      </c>
      <c r="N673" s="142" t="str">
        <f t="shared" ref="N673:N682" si="13">F673 &amp;"-" &amp; TEXT(G673,"00")</f>
        <v>05701-00026-01</v>
      </c>
      <c r="O673" s="122" t="s">
        <v>1702</v>
      </c>
    </row>
    <row r="674" spans="1:15">
      <c r="A674" s="122" t="s">
        <v>524</v>
      </c>
      <c r="B674" s="189" t="str">
        <f>_xlfn.XLOOKUP(F674,品番!B:B,品番!G:G)</f>
        <v>A25EW</v>
      </c>
      <c r="C674" s="189" t="str">
        <f>_xlfn.XLOOKUP(F674,品番!B:B,品番!C:C)</f>
        <v>サービスツール</v>
      </c>
      <c r="D674" s="189">
        <f>_xlfn.XLOOKUP(F674,品番!B:B,品番!D:D)</f>
        <v>0</v>
      </c>
      <c r="E674" s="179" t="s">
        <v>1567</v>
      </c>
      <c r="F674" s="180" t="s">
        <v>1559</v>
      </c>
      <c r="G674" s="181">
        <v>2</v>
      </c>
      <c r="H674" s="122" t="s">
        <v>1562</v>
      </c>
      <c r="M674" s="266" t="str" cm="1">
        <f t="array" ref="M674">_xlfn.TEXTJOIN(",", TRUE, _xlfn._xlws.FILTER(適用号機!D:D, (適用号機!B:B=改定!F674)*(適用号機!C:C=改定!G674), ""))</f>
        <v/>
      </c>
      <c r="N674" s="142" t="str">
        <f t="shared" si="13"/>
        <v>05701-00026-02</v>
      </c>
      <c r="O674" s="122" t="s">
        <v>1702</v>
      </c>
    </row>
    <row r="675" spans="1:15">
      <c r="A675" s="122" t="s">
        <v>524</v>
      </c>
      <c r="B675" s="189" t="str">
        <f>_xlfn.XLOOKUP(F675,品番!B:B,品番!G:G)</f>
        <v>A25EW</v>
      </c>
      <c r="C675" s="189" t="str">
        <f>_xlfn.XLOOKUP(F675,品番!B:B,品番!C:C)</f>
        <v>サービスツール</v>
      </c>
      <c r="D675" s="189">
        <f>_xlfn.XLOOKUP(F675,品番!B:B,品番!D:D)</f>
        <v>0</v>
      </c>
      <c r="E675" s="179" t="s">
        <v>1568</v>
      </c>
      <c r="F675" s="180" t="s">
        <v>1559</v>
      </c>
      <c r="G675" s="181">
        <v>3</v>
      </c>
      <c r="H675" s="122" t="s">
        <v>1571</v>
      </c>
      <c r="M675" s="266" t="str" cm="1">
        <f t="array" ref="M675">_xlfn.TEXTJOIN(",", TRUE, _xlfn._xlws.FILTER(適用号機!D:D, (適用号機!B:B=改定!F675)*(適用号機!C:C=改定!G675), ""))</f>
        <v/>
      </c>
      <c r="N675" s="142" t="str">
        <f t="shared" si="13"/>
        <v>05701-00026-03</v>
      </c>
      <c r="O675" s="122" t="s">
        <v>1702</v>
      </c>
    </row>
    <row r="676" spans="1:15">
      <c r="A676" s="122" t="s">
        <v>524</v>
      </c>
      <c r="B676" s="189" t="str">
        <f>_xlfn.XLOOKUP(F676,品番!B:B,品番!G:G)</f>
        <v>A25EW</v>
      </c>
      <c r="C676" s="189" t="str">
        <f>_xlfn.XLOOKUP(F676,品番!B:B,品番!C:C)</f>
        <v>サービスツール</v>
      </c>
      <c r="D676" s="189">
        <f>_xlfn.XLOOKUP(F676,品番!B:B,品番!D:D)</f>
        <v>0</v>
      </c>
      <c r="E676" s="179" t="s">
        <v>1569</v>
      </c>
      <c r="F676" s="180" t="s">
        <v>1559</v>
      </c>
      <c r="G676" s="181">
        <v>4</v>
      </c>
      <c r="H676" s="122" t="s">
        <v>1564</v>
      </c>
      <c r="M676" s="266" t="str" cm="1">
        <f t="array" ref="M676">_xlfn.TEXTJOIN(",", TRUE, _xlfn._xlws.FILTER(適用号機!D:D, (適用号機!B:B=改定!F676)*(適用号機!C:C=改定!G676), ""))</f>
        <v/>
      </c>
      <c r="N676" s="142" t="str">
        <f t="shared" si="13"/>
        <v>05701-00026-04</v>
      </c>
      <c r="O676" s="122" t="s">
        <v>1702</v>
      </c>
    </row>
    <row r="677" spans="1:15">
      <c r="A677" s="122" t="s">
        <v>518</v>
      </c>
      <c r="B677" s="189" t="str">
        <f>_xlfn.XLOOKUP(F677,品番!B:B,品番!G:G)</f>
        <v>A14FW</v>
      </c>
      <c r="C677" s="189" t="str">
        <f>_xlfn.XLOOKUP(F677,品番!B:B,品番!C:C)</f>
        <v>サービスツール</v>
      </c>
      <c r="D677" s="189">
        <f>_xlfn.XLOOKUP(F677,品番!B:B,品番!D:D)</f>
        <v>0</v>
      </c>
      <c r="E677" s="179" t="s">
        <v>1565</v>
      </c>
      <c r="F677" s="180" t="s">
        <v>1572</v>
      </c>
      <c r="G677" s="181">
        <v>0</v>
      </c>
      <c r="H677" s="122" t="s">
        <v>1570</v>
      </c>
      <c r="M677" s="266" t="str" cm="1">
        <f t="array" ref="M677">_xlfn.TEXTJOIN(",", TRUE, _xlfn._xlws.FILTER(適用号機!D:D, (適用号機!B:B=改定!F677)*(適用号機!C:C=改定!G677), ""))</f>
        <v/>
      </c>
      <c r="N677" s="142" t="str">
        <f t="shared" si="13"/>
        <v>05601-00120-00</v>
      </c>
      <c r="O677" s="122" t="s">
        <v>1702</v>
      </c>
    </row>
    <row r="678" spans="1:15">
      <c r="A678" s="122" t="s">
        <v>518</v>
      </c>
      <c r="B678" s="189" t="str">
        <f>_xlfn.XLOOKUP(F678,品番!B:B,品番!G:G)</f>
        <v>A14FW</v>
      </c>
      <c r="C678" s="189" t="str">
        <f>_xlfn.XLOOKUP(F678,品番!B:B,品番!C:C)</f>
        <v>サービスツール</v>
      </c>
      <c r="D678" s="189">
        <f>_xlfn.XLOOKUP(F678,品番!B:B,品番!D:D)</f>
        <v>0</v>
      </c>
      <c r="E678" s="179" t="s">
        <v>1566</v>
      </c>
      <c r="F678" s="180" t="s">
        <v>1572</v>
      </c>
      <c r="G678" s="181">
        <v>1</v>
      </c>
      <c r="H678" s="122" t="s">
        <v>1561</v>
      </c>
      <c r="M678" s="266" t="str" cm="1">
        <f t="array" ref="M678">_xlfn.TEXTJOIN(",", TRUE, _xlfn._xlws.FILTER(適用号機!D:D, (適用号機!B:B=改定!F678)*(適用号機!C:C=改定!G678), ""))</f>
        <v/>
      </c>
      <c r="N678" s="142" t="str">
        <f t="shared" si="13"/>
        <v>05601-00120-01</v>
      </c>
      <c r="O678" s="122" t="s">
        <v>1702</v>
      </c>
    </row>
    <row r="679" spans="1:15">
      <c r="A679" s="122" t="s">
        <v>518</v>
      </c>
      <c r="B679" s="189" t="str">
        <f>_xlfn.XLOOKUP(F679,品番!B:B,品番!G:G)</f>
        <v>A14FW</v>
      </c>
      <c r="C679" s="189" t="str">
        <f>_xlfn.XLOOKUP(F679,品番!B:B,品番!C:C)</f>
        <v>サービスツール</v>
      </c>
      <c r="D679" s="189">
        <f>_xlfn.XLOOKUP(F679,品番!B:B,品番!D:D)</f>
        <v>0</v>
      </c>
      <c r="E679" s="179" t="s">
        <v>1567</v>
      </c>
      <c r="F679" s="180" t="s">
        <v>1572</v>
      </c>
      <c r="G679" s="181">
        <v>2</v>
      </c>
      <c r="H679" s="122" t="s">
        <v>1866</v>
      </c>
      <c r="M679" s="266" t="str" cm="1">
        <f t="array" ref="M679">_xlfn.TEXTJOIN(",", TRUE, _xlfn._xlws.FILTER(適用号機!D:D, (適用号機!B:B=改定!F679)*(適用号機!C:C=改定!G679), ""))</f>
        <v/>
      </c>
      <c r="N679" s="142" t="str">
        <f t="shared" si="13"/>
        <v>05601-00120-02</v>
      </c>
      <c r="O679" s="122" t="s">
        <v>1702</v>
      </c>
    </row>
    <row r="680" spans="1:15">
      <c r="A680" s="122" t="s">
        <v>518</v>
      </c>
      <c r="B680" s="189" t="str">
        <f>_xlfn.XLOOKUP(F680,品番!B:B,品番!G:G)</f>
        <v>A14FW</v>
      </c>
      <c r="C680" s="189" t="str">
        <f>_xlfn.XLOOKUP(F680,品番!B:B,品番!C:C)</f>
        <v>サービスツール</v>
      </c>
      <c r="D680" s="189">
        <f>_xlfn.XLOOKUP(F680,品番!B:B,品番!D:D)</f>
        <v>0</v>
      </c>
      <c r="E680" s="179" t="s">
        <v>1568</v>
      </c>
      <c r="F680" s="180" t="s">
        <v>1572</v>
      </c>
      <c r="G680" s="181">
        <v>3</v>
      </c>
      <c r="H680" s="122" t="s">
        <v>1867</v>
      </c>
      <c r="M680" s="266" t="str" cm="1">
        <f t="array" ref="M680">_xlfn.TEXTJOIN(",", TRUE, _xlfn._xlws.FILTER(適用号機!D:D, (適用号機!B:B=改定!F680)*(適用号機!C:C=改定!G680), ""))</f>
        <v/>
      </c>
      <c r="N680" s="142" t="str">
        <f t="shared" si="13"/>
        <v>05601-00120-03</v>
      </c>
      <c r="O680" s="122" t="s">
        <v>1702</v>
      </c>
    </row>
    <row r="681" spans="1:15">
      <c r="A681" s="122" t="s">
        <v>518</v>
      </c>
      <c r="B681" s="189" t="str">
        <f>_xlfn.XLOOKUP(F681,品番!B:B,品番!G:G)</f>
        <v>A14FW</v>
      </c>
      <c r="C681" s="189" t="str">
        <f>_xlfn.XLOOKUP(F681,品番!B:B,品番!C:C)</f>
        <v>サービスツール</v>
      </c>
      <c r="D681" s="189">
        <f>_xlfn.XLOOKUP(F681,品番!B:B,品番!D:D)</f>
        <v>0</v>
      </c>
      <c r="E681" s="179" t="s">
        <v>1573</v>
      </c>
      <c r="F681" s="180" t="s">
        <v>1572</v>
      </c>
      <c r="G681" s="181">
        <v>4</v>
      </c>
      <c r="H681" s="122" t="s">
        <v>1868</v>
      </c>
      <c r="M681" s="266" t="str" cm="1">
        <f t="array" ref="M681">_xlfn.TEXTJOIN(",", TRUE, _xlfn._xlws.FILTER(適用号機!D:D, (適用号機!B:B=改定!F681)*(適用号機!C:C=改定!G681), ""))</f>
        <v/>
      </c>
      <c r="N681" s="142" t="str">
        <f t="shared" si="13"/>
        <v>05601-00120-04</v>
      </c>
      <c r="O681" s="122" t="s">
        <v>1702</v>
      </c>
    </row>
    <row r="682" spans="1:15">
      <c r="A682" s="122" t="s">
        <v>518</v>
      </c>
      <c r="B682" s="189" t="str">
        <f>_xlfn.XLOOKUP(F682,品番!B:B,品番!G:G)</f>
        <v>A14FW</v>
      </c>
      <c r="C682" s="189" t="str">
        <f>_xlfn.XLOOKUP(F682,品番!B:B,品番!C:C)</f>
        <v>サービスツール</v>
      </c>
      <c r="D682" s="189">
        <f>_xlfn.XLOOKUP(F682,品番!B:B,品番!D:D)</f>
        <v>0</v>
      </c>
      <c r="E682" s="179" t="s">
        <v>1569</v>
      </c>
      <c r="F682" s="180" t="s">
        <v>1572</v>
      </c>
      <c r="G682" s="181">
        <v>5</v>
      </c>
      <c r="H682" s="122" t="s">
        <v>1869</v>
      </c>
      <c r="M682" s="266" t="str" cm="1">
        <f t="array" ref="M682">_xlfn.TEXTJOIN(",", TRUE, _xlfn._xlws.FILTER(適用号機!D:D, (適用号機!B:B=改定!F682)*(適用号機!C:C=改定!G682), ""))</f>
        <v/>
      </c>
      <c r="N682" s="142" t="str">
        <f t="shared" si="13"/>
        <v>05601-00120-05</v>
      </c>
      <c r="O682" s="122" t="s">
        <v>1702</v>
      </c>
    </row>
    <row r="683" spans="1:15">
      <c r="A683" s="122" t="s">
        <v>263</v>
      </c>
      <c r="B683" s="189" t="str">
        <f>_xlfn.XLOOKUP(F683,品番!B:B,品番!G:G)</f>
        <v>A12A</v>
      </c>
      <c r="C683" s="189" t="str">
        <f>_xlfn.XLOOKUP(F683,品番!B:B,品番!C:C)</f>
        <v>サービスツール</v>
      </c>
      <c r="D683" s="189">
        <f>_xlfn.XLOOKUP(F683,品番!B:B,品番!D:D)</f>
        <v>0</v>
      </c>
      <c r="F683" s="180" t="s">
        <v>1574</v>
      </c>
      <c r="M683" s="266" t="str" cm="1">
        <f t="array" ref="M683">_xlfn.TEXTJOIN(",", TRUE, _xlfn._xlws.FILTER(適用号機!D:D, (適用号機!B:B=改定!F683)*(適用号機!C:C=改定!G683), ""))</f>
        <v/>
      </c>
      <c r="O683" s="122" t="s">
        <v>1702</v>
      </c>
    </row>
    <row r="684" spans="1:15">
      <c r="A684" s="122" t="s">
        <v>36</v>
      </c>
      <c r="B684" s="189" t="e">
        <f>_xlfn.XLOOKUP(F684,品番!B:B,品番!G:G)</f>
        <v>#N/A</v>
      </c>
      <c r="C684" s="189" t="e">
        <f>_xlfn.XLOOKUP(F684,品番!B:B,品番!C:C)</f>
        <v>#N/A</v>
      </c>
      <c r="D684" s="189" t="e">
        <f>_xlfn.XLOOKUP(F684,品番!B:B,品番!D:D)</f>
        <v>#N/A</v>
      </c>
      <c r="E684" s="179" t="s">
        <v>1581</v>
      </c>
      <c r="F684" s="180" t="s">
        <v>1580</v>
      </c>
      <c r="G684" s="181">
        <v>0</v>
      </c>
      <c r="K684" s="142" t="s">
        <v>1590</v>
      </c>
      <c r="M684" s="266" t="str" cm="1">
        <f t="array" ref="M684">_xlfn.TEXTJOIN(",", TRUE, _xlfn._xlws.FILTER(適用号機!D:D, (適用号機!B:B=改定!F684)*(適用号機!C:C=改定!G684), ""))</f>
        <v/>
      </c>
      <c r="N684" s="142" t="str">
        <f t="shared" ref="N684:N765" si="14">F684 &amp;"-" &amp; TEXT(G684,"00")</f>
        <v>17050-05220-00</v>
      </c>
      <c r="O684" s="122" t="s">
        <v>1702</v>
      </c>
    </row>
    <row r="685" spans="1:15">
      <c r="A685" s="122" t="s">
        <v>36</v>
      </c>
      <c r="B685" s="189" t="e">
        <f>_xlfn.XLOOKUP(F685,品番!B:B,品番!G:G)</f>
        <v>#N/A</v>
      </c>
      <c r="C685" s="189" t="e">
        <f>_xlfn.XLOOKUP(F685,品番!B:B,品番!C:C)</f>
        <v>#N/A</v>
      </c>
      <c r="D685" s="189" t="e">
        <f>_xlfn.XLOOKUP(F685,品番!B:B,品番!D:D)</f>
        <v>#N/A</v>
      </c>
      <c r="E685" s="179" t="s">
        <v>1582</v>
      </c>
      <c r="F685" s="180" t="s">
        <v>1580</v>
      </c>
      <c r="G685" s="181">
        <v>1</v>
      </c>
      <c r="K685" s="142" t="s">
        <v>1591</v>
      </c>
      <c r="M685" s="266" t="str" cm="1">
        <f t="array" ref="M685">_xlfn.TEXTJOIN(",", TRUE, _xlfn._xlws.FILTER(適用号機!D:D, (適用号機!B:B=改定!F685)*(適用号機!C:C=改定!G685), ""))</f>
        <v>A13A,A13AW,A14IW,J10B,J7B</v>
      </c>
      <c r="N685" s="142" t="str">
        <f t="shared" si="14"/>
        <v>17050-05220-01</v>
      </c>
      <c r="O685" s="122" t="s">
        <v>1702</v>
      </c>
    </row>
    <row r="686" spans="1:15">
      <c r="A686" s="122" t="s">
        <v>36</v>
      </c>
      <c r="B686" s="189" t="e">
        <f>_xlfn.XLOOKUP(F686,品番!B:B,品番!G:G)</f>
        <v>#N/A</v>
      </c>
      <c r="C686" s="189" t="e">
        <f>_xlfn.XLOOKUP(F686,品番!B:B,品番!C:C)</f>
        <v>#N/A</v>
      </c>
      <c r="D686" s="189" t="e">
        <f>_xlfn.XLOOKUP(F686,品番!B:B,品番!D:D)</f>
        <v>#N/A</v>
      </c>
      <c r="E686" s="179" t="s">
        <v>1583</v>
      </c>
      <c r="F686" s="180" t="s">
        <v>1580</v>
      </c>
      <c r="G686" s="181">
        <v>2</v>
      </c>
      <c r="H686" s="122" t="s">
        <v>1594</v>
      </c>
      <c r="K686" s="142" t="s">
        <v>1870</v>
      </c>
      <c r="M686" s="266" t="str" cm="1">
        <f t="array" ref="M686">_xlfn.TEXTJOIN(",", TRUE, _xlfn._xlws.FILTER(適用号機!D:D, (適用号機!B:B=改定!F686)*(適用号機!C:C=改定!G686), ""))</f>
        <v>A13A,A13AW,A14IW</v>
      </c>
      <c r="N686" s="142" t="str">
        <f t="shared" si="14"/>
        <v>17050-05220-02</v>
      </c>
      <c r="O686" s="122" t="s">
        <v>1702</v>
      </c>
    </row>
    <row r="687" spans="1:15">
      <c r="A687" s="122" t="s">
        <v>36</v>
      </c>
      <c r="B687" s="189" t="e">
        <f>_xlfn.XLOOKUP(F687,品番!B:B,品番!G:G)</f>
        <v>#N/A</v>
      </c>
      <c r="C687" s="189" t="e">
        <f>_xlfn.XLOOKUP(F687,品番!B:B,品番!C:C)</f>
        <v>#N/A</v>
      </c>
      <c r="D687" s="189" t="e">
        <f>_xlfn.XLOOKUP(F687,品番!B:B,品番!D:D)</f>
        <v>#N/A</v>
      </c>
      <c r="E687" s="179" t="s">
        <v>1584</v>
      </c>
      <c r="F687" s="180" t="s">
        <v>1580</v>
      </c>
      <c r="G687" s="181">
        <v>3</v>
      </c>
      <c r="H687" s="122" t="s">
        <v>1594</v>
      </c>
      <c r="K687" s="142" t="s">
        <v>1592</v>
      </c>
      <c r="M687" s="266" t="str" cm="1">
        <f t="array" ref="M687">_xlfn.TEXTJOIN(",", TRUE, _xlfn._xlws.FILTER(適用号機!D:D, (適用号機!B:B=改定!F687)*(適用号機!C:C=改定!G687), ""))</f>
        <v/>
      </c>
      <c r="N687" s="142" t="str">
        <f t="shared" si="14"/>
        <v>17050-05220-03</v>
      </c>
      <c r="O687" s="122" t="s">
        <v>1702</v>
      </c>
    </row>
    <row r="688" spans="1:15">
      <c r="A688" s="122" t="s">
        <v>232</v>
      </c>
      <c r="B688" s="189" t="e">
        <f>_xlfn.XLOOKUP(F688,品番!B:B,品番!G:G)</f>
        <v>#N/A</v>
      </c>
      <c r="C688" s="189" t="e">
        <f>_xlfn.XLOOKUP(F688,品番!B:B,品番!C:C)</f>
        <v>#N/A</v>
      </c>
      <c r="D688" s="189" t="e">
        <f>_xlfn.XLOOKUP(F688,品番!B:B,品番!D:D)</f>
        <v>#N/A</v>
      </c>
      <c r="E688" s="179" t="s">
        <v>1595</v>
      </c>
      <c r="F688" s="180" t="s">
        <v>1593</v>
      </c>
      <c r="G688" s="181">
        <v>0</v>
      </c>
      <c r="K688" s="142" t="s">
        <v>1590</v>
      </c>
      <c r="M688" s="266" t="str" cm="1">
        <f t="array" ref="M688">_xlfn.TEXTJOIN(",", TRUE, _xlfn._xlws.FILTER(適用号機!D:D, (適用号機!B:B=改定!F688)*(適用号機!C:C=改定!G688), ""))</f>
        <v>L85G</v>
      </c>
      <c r="N688" s="142" t="str">
        <f t="shared" si="14"/>
        <v>17050-05227-00</v>
      </c>
      <c r="O688" s="122" t="s">
        <v>1702</v>
      </c>
    </row>
    <row r="689" spans="1:15">
      <c r="A689" s="122" t="s">
        <v>232</v>
      </c>
      <c r="B689" s="189" t="e">
        <f>_xlfn.XLOOKUP(F689,品番!B:B,品番!G:G)</f>
        <v>#N/A</v>
      </c>
      <c r="C689" s="189" t="e">
        <f>_xlfn.XLOOKUP(F689,品番!B:B,品番!C:C)</f>
        <v>#N/A</v>
      </c>
      <c r="D689" s="189" t="e">
        <f>_xlfn.XLOOKUP(F689,品番!B:B,品番!D:D)</f>
        <v>#N/A</v>
      </c>
      <c r="E689" s="179" t="s">
        <v>1596</v>
      </c>
      <c r="F689" s="180" t="s">
        <v>1593</v>
      </c>
      <c r="G689" s="181">
        <v>1</v>
      </c>
      <c r="K689" s="142" t="s">
        <v>1597</v>
      </c>
      <c r="M689" s="266" t="str" cm="1">
        <f t="array" ref="M689">_xlfn.TEXTJOIN(",", TRUE, _xlfn._xlws.FILTER(適用号機!D:D, (適用号機!B:B=改定!F689)*(適用号機!C:C=改定!G689), ""))</f>
        <v>A25H,A27C,E7F,J10B,J7B,L85G,A13A,A13AW,A14IW</v>
      </c>
      <c r="N689" s="142" t="str">
        <f t="shared" si="14"/>
        <v>17050-05227-01</v>
      </c>
      <c r="O689" s="122" t="s">
        <v>1702</v>
      </c>
    </row>
    <row r="690" spans="1:15">
      <c r="A690" s="122" t="s">
        <v>1662</v>
      </c>
      <c r="B690" s="189" t="str">
        <f>_xlfn.XLOOKUP(F690,品番!B:B,品番!G:G)</f>
        <v>A25FG/A27AB</v>
      </c>
      <c r="C690" s="189" t="str">
        <f>_xlfn.XLOOKUP(F690,品番!B:B,品番!C:C)</f>
        <v>コントローラ</v>
      </c>
      <c r="D690" s="189" t="str">
        <f>_xlfn.XLOOKUP(F690,品番!B:B,品番!D:D)</f>
        <v>メイン</v>
      </c>
      <c r="E690" s="179" t="s">
        <v>1661</v>
      </c>
      <c r="F690" s="180" t="s">
        <v>120</v>
      </c>
      <c r="G690" s="181">
        <v>8</v>
      </c>
      <c r="H690" s="122" t="s">
        <v>1663</v>
      </c>
      <c r="K690" s="142" t="s">
        <v>1670</v>
      </c>
      <c r="M690" s="266" t="str" cm="1">
        <f t="array" ref="M690">_xlfn.TEXTJOIN(",", TRUE, _xlfn._xlws.FILTER(適用号機!D:D, (適用号機!B:B=改定!F690)*(適用号機!C:C=改定!G690), ""))</f>
        <v/>
      </c>
      <c r="N690" s="142" t="str">
        <f t="shared" si="14"/>
        <v>05742-00277-08</v>
      </c>
      <c r="O690" s="122" t="s">
        <v>1703</v>
      </c>
    </row>
    <row r="691" spans="1:15">
      <c r="A691" s="122" t="s">
        <v>1662</v>
      </c>
      <c r="B691" s="189" t="str">
        <f>_xlfn.XLOOKUP(F691,品番!B:B,品番!G:G)</f>
        <v>A25FG/A27AB</v>
      </c>
      <c r="C691" s="189" t="str">
        <f>_xlfn.XLOOKUP(F691,品番!B:B,品番!C:C)</f>
        <v>コントローラ</v>
      </c>
      <c r="D691" s="189" t="str">
        <f>_xlfn.XLOOKUP(F691,品番!B:B,品番!D:D)</f>
        <v>メイン</v>
      </c>
      <c r="E691" s="179" t="s">
        <v>1661</v>
      </c>
      <c r="F691" s="180" t="s">
        <v>121</v>
      </c>
      <c r="G691" s="181">
        <v>4</v>
      </c>
      <c r="H691" s="122" t="s">
        <v>1664</v>
      </c>
      <c r="K691" s="142" t="s">
        <v>1670</v>
      </c>
      <c r="M691" s="266" t="str" cm="1">
        <f t="array" ref="M691">_xlfn.TEXTJOIN(",", TRUE, _xlfn._xlws.FILTER(適用号機!D:D, (適用号機!B:B=改定!F691)*(適用号機!C:C=改定!G691), ""))</f>
        <v/>
      </c>
      <c r="N691" s="142" t="str">
        <f t="shared" si="14"/>
        <v>05742-00306-04</v>
      </c>
      <c r="O691" s="122" t="s">
        <v>1703</v>
      </c>
    </row>
    <row r="692" spans="1:15">
      <c r="A692" s="122" t="s">
        <v>1662</v>
      </c>
      <c r="B692" s="189" t="str">
        <f>_xlfn.XLOOKUP(F692,品番!B:B,品番!G:G)</f>
        <v>A25FG/A27AB</v>
      </c>
      <c r="C692" s="189" t="str">
        <f>_xlfn.XLOOKUP(F692,品番!B:B,品番!C:C)</f>
        <v>コントローラ</v>
      </c>
      <c r="D692" s="189" t="str">
        <f>_xlfn.XLOOKUP(F692,品番!B:B,品番!D:D)</f>
        <v>メイン</v>
      </c>
      <c r="E692" s="179" t="s">
        <v>1661</v>
      </c>
      <c r="F692" s="180" t="s">
        <v>123</v>
      </c>
      <c r="G692" s="181">
        <v>7</v>
      </c>
      <c r="H692" s="122" t="s">
        <v>1665</v>
      </c>
      <c r="K692" s="142" t="s">
        <v>1670</v>
      </c>
      <c r="M692" s="266" t="str" cm="1">
        <f t="array" ref="M692">_xlfn.TEXTJOIN(",", TRUE, _xlfn._xlws.FILTER(適用号機!D:D, (適用号機!B:B=改定!F692)*(適用号機!C:C=改定!G692), ""))</f>
        <v/>
      </c>
      <c r="N692" s="142" t="str">
        <f t="shared" si="14"/>
        <v>05742-00323-07</v>
      </c>
      <c r="O692" s="122" t="s">
        <v>1703</v>
      </c>
    </row>
    <row r="693" spans="1:15">
      <c r="A693" s="122" t="s">
        <v>1662</v>
      </c>
      <c r="B693" s="189" t="str">
        <f>_xlfn.XLOOKUP(F693,品番!B:B,品番!G:G)</f>
        <v>A25FG/A27AB</v>
      </c>
      <c r="C693" s="189" t="str">
        <f>_xlfn.XLOOKUP(F693,品番!B:B,品番!C:C)</f>
        <v>コントローラ</v>
      </c>
      <c r="D693" s="189" t="str">
        <f>_xlfn.XLOOKUP(F693,品番!B:B,品番!D:D)</f>
        <v>メイン</v>
      </c>
      <c r="E693" s="179" t="s">
        <v>1661</v>
      </c>
      <c r="F693" s="180" t="s">
        <v>125</v>
      </c>
      <c r="G693" s="181">
        <v>6</v>
      </c>
      <c r="H693" s="122" t="s">
        <v>1666</v>
      </c>
      <c r="K693" s="142" t="s">
        <v>1670</v>
      </c>
      <c r="M693" s="266" t="str" cm="1">
        <f t="array" ref="M693">_xlfn.TEXTJOIN(",", TRUE, _xlfn._xlws.FILTER(適用号機!D:D, (適用号機!B:B=改定!F693)*(適用号機!C:C=改定!G693), ""))</f>
        <v/>
      </c>
      <c r="N693" s="142" t="str">
        <f t="shared" si="14"/>
        <v>05742-00334-06</v>
      </c>
      <c r="O693" s="122" t="s">
        <v>1703</v>
      </c>
    </row>
    <row r="694" spans="1:15">
      <c r="A694" s="122" t="s">
        <v>1662</v>
      </c>
      <c r="B694" s="189" t="str">
        <f>_xlfn.XLOOKUP(F694,品番!B:B,品番!G:G)</f>
        <v>A25FG/A27AB</v>
      </c>
      <c r="C694" s="189" t="str">
        <f>_xlfn.XLOOKUP(F694,品番!B:B,品番!C:C)</f>
        <v>コントローラ</v>
      </c>
      <c r="D694" s="189" t="str">
        <f>_xlfn.XLOOKUP(F694,品番!B:B,品番!D:D)</f>
        <v>メイン</v>
      </c>
      <c r="E694" s="179" t="s">
        <v>1661</v>
      </c>
      <c r="F694" s="180" t="s">
        <v>126</v>
      </c>
      <c r="G694" s="181">
        <v>6</v>
      </c>
      <c r="H694" s="122" t="s">
        <v>1667</v>
      </c>
      <c r="K694" s="142" t="s">
        <v>1670</v>
      </c>
      <c r="M694" s="266" t="str" cm="1">
        <f t="array" ref="M694">_xlfn.TEXTJOIN(",", TRUE, _xlfn._xlws.FILTER(適用号機!D:D, (適用号機!B:B=改定!F694)*(適用号機!C:C=改定!G694), ""))</f>
        <v/>
      </c>
      <c r="N694" s="142" t="str">
        <f t="shared" si="14"/>
        <v>05742-00335-06</v>
      </c>
      <c r="O694" s="122" t="s">
        <v>47</v>
      </c>
    </row>
    <row r="695" spans="1:15">
      <c r="A695" s="122" t="s">
        <v>1662</v>
      </c>
      <c r="B695" s="189" t="str">
        <f>_xlfn.XLOOKUP(F695,品番!B:B,品番!G:G)</f>
        <v>A25FG/A27AB</v>
      </c>
      <c r="C695" s="189" t="str">
        <f>_xlfn.XLOOKUP(F695,品番!B:B,品番!C:C)</f>
        <v>コントローラ</v>
      </c>
      <c r="D695" s="189" t="str">
        <f>_xlfn.XLOOKUP(F695,品番!B:B,品番!D:D)</f>
        <v>メイン</v>
      </c>
      <c r="E695" s="179" t="s">
        <v>1661</v>
      </c>
      <c r="F695" s="180" t="s">
        <v>128</v>
      </c>
      <c r="G695" s="181">
        <v>10</v>
      </c>
      <c r="H695" s="122" t="s">
        <v>1668</v>
      </c>
      <c r="K695" s="142" t="s">
        <v>1670</v>
      </c>
      <c r="M695" s="266" t="str" cm="1">
        <f t="array" ref="M695">_xlfn.TEXTJOIN(",", TRUE, _xlfn._xlws.FILTER(適用号機!D:D, (適用号機!B:B=改定!F695)*(適用号機!C:C=改定!G695), ""))</f>
        <v/>
      </c>
      <c r="N695" s="142" t="str">
        <f t="shared" si="14"/>
        <v>05742-00359-10</v>
      </c>
      <c r="O695" s="122" t="s">
        <v>1703</v>
      </c>
    </row>
    <row r="696" spans="1:15">
      <c r="A696" s="122" t="s">
        <v>1662</v>
      </c>
      <c r="B696" s="189" t="str">
        <f>_xlfn.XLOOKUP(F696,品番!B:B,品番!G:G)</f>
        <v>A25FG/A27AB</v>
      </c>
      <c r="C696" s="189" t="str">
        <f>_xlfn.XLOOKUP(F696,品番!B:B,品番!C:C)</f>
        <v>コントローラ</v>
      </c>
      <c r="D696" s="189" t="str">
        <f>_xlfn.XLOOKUP(F696,品番!B:B,品番!D:D)</f>
        <v>メイン</v>
      </c>
      <c r="E696" s="179" t="s">
        <v>1661</v>
      </c>
      <c r="F696" s="180" t="s">
        <v>131</v>
      </c>
      <c r="G696" s="181">
        <v>4</v>
      </c>
      <c r="H696" s="122" t="s">
        <v>1669</v>
      </c>
      <c r="K696" s="142" t="s">
        <v>1670</v>
      </c>
      <c r="M696" s="266" t="str" cm="1">
        <f t="array" ref="M696">_xlfn.TEXTJOIN(",", TRUE, _xlfn._xlws.FILTER(適用号機!D:D, (適用号機!B:B=改定!F696)*(適用号機!C:C=改定!G696), ""))</f>
        <v/>
      </c>
      <c r="N696" s="142" t="str">
        <f t="shared" si="14"/>
        <v>05742-00773-04</v>
      </c>
      <c r="O696" s="122" t="s">
        <v>47</v>
      </c>
    </row>
    <row r="697" spans="1:15">
      <c r="A697" s="122" t="s">
        <v>1672</v>
      </c>
      <c r="B697" s="189" t="str">
        <f>_xlfn.XLOOKUP(F697,品番!B:B,品番!G:G)</f>
        <v>E2F</v>
      </c>
      <c r="C697" s="189" t="str">
        <f>_xlfn.XLOOKUP(F697,品番!B:B,品番!C:C)</f>
        <v>コントローラ</v>
      </c>
      <c r="D697" s="189" t="str">
        <f>_xlfn.XLOOKUP(F697,品番!B:B,品番!D:D)</f>
        <v>メイン</v>
      </c>
      <c r="E697" s="179" t="s">
        <v>1673</v>
      </c>
      <c r="F697" s="180" t="s">
        <v>1671</v>
      </c>
      <c r="G697" s="181">
        <v>1</v>
      </c>
      <c r="H697" s="122" t="s">
        <v>1871</v>
      </c>
      <c r="K697" s="142" t="s">
        <v>1872</v>
      </c>
      <c r="M697" s="266" t="str" cm="1">
        <f t="array" ref="M697">_xlfn.TEXTJOIN(",", TRUE, _xlfn._xlws.FILTER(適用号機!D:D, (適用号機!B:B=改定!F697)*(適用号機!C:C=改定!G697), ""))</f>
        <v/>
      </c>
      <c r="N697" s="142" t="str">
        <f t="shared" si="14"/>
        <v>03242-00069-01</v>
      </c>
      <c r="O697" s="122" t="s">
        <v>1702</v>
      </c>
    </row>
    <row r="698" spans="1:15">
      <c r="A698" s="122" t="s">
        <v>1672</v>
      </c>
      <c r="B698" s="189" t="str">
        <f>_xlfn.XLOOKUP(F698,品番!B:B,品番!G:G)</f>
        <v>E2F</v>
      </c>
      <c r="C698" s="189" t="str">
        <f>_xlfn.XLOOKUP(F698,品番!B:B,品番!C:C)</f>
        <v>ディスプレイ</v>
      </c>
      <c r="D698" s="189">
        <f>_xlfn.XLOOKUP(F698,品番!B:B,品番!D:D)</f>
        <v>0</v>
      </c>
      <c r="E698" s="179" t="s">
        <v>1673</v>
      </c>
      <c r="F698" s="180" t="s">
        <v>1674</v>
      </c>
      <c r="G698" s="181">
        <v>0</v>
      </c>
      <c r="H698" s="122" t="s">
        <v>1676</v>
      </c>
      <c r="K698" s="142" t="s">
        <v>1872</v>
      </c>
      <c r="M698" s="266" t="str" cm="1">
        <f t="array" ref="M698">_xlfn.TEXTJOIN(",", TRUE, _xlfn._xlws.FILTER(適用号機!D:D, (適用号機!B:B=改定!F698)*(適用号機!C:C=改定!G698), ""))</f>
        <v/>
      </c>
      <c r="N698" s="142" t="str">
        <f t="shared" si="14"/>
        <v>17301-43696-00</v>
      </c>
      <c r="O698" s="122" t="s">
        <v>1702</v>
      </c>
    </row>
    <row r="699" spans="1:15">
      <c r="A699" s="122" t="s">
        <v>36</v>
      </c>
      <c r="B699" s="189" t="str">
        <f>_xlfn.XLOOKUP(F699,品番!B:B,品番!G:G)</f>
        <v>A13A</v>
      </c>
      <c r="C699" s="189" t="str">
        <f>_xlfn.XLOOKUP(F699,品番!B:B,品番!C:C)</f>
        <v>コントローラ</v>
      </c>
      <c r="D699" s="189" t="str">
        <f>_xlfn.XLOOKUP(F699,品番!B:B,品番!D:D)</f>
        <v>メイン</v>
      </c>
      <c r="E699" s="179" t="s">
        <v>1678</v>
      </c>
      <c r="F699" s="180" t="s">
        <v>37</v>
      </c>
      <c r="G699" s="181">
        <v>8</v>
      </c>
      <c r="H699" s="122" t="s">
        <v>1461</v>
      </c>
      <c r="K699" s="142" t="s">
        <v>1679</v>
      </c>
      <c r="M699" s="266" t="str" cm="1">
        <f t="array" ref="M699">_xlfn.TEXTJOIN(",", TRUE, _xlfn._xlws.FILTER(適用号機!D:D, (適用号機!B:B=改定!F699)*(適用号機!C:C=改定!G699), ""))</f>
        <v/>
      </c>
      <c r="N699" s="142" t="str">
        <f t="shared" si="14"/>
        <v>05542-00173-08</v>
      </c>
      <c r="O699" s="122" t="s">
        <v>47</v>
      </c>
    </row>
    <row r="700" spans="1:15">
      <c r="A700" s="122" t="s">
        <v>36</v>
      </c>
      <c r="B700" s="189" t="str">
        <f>_xlfn.XLOOKUP(F700,品番!B:B,品番!G:G)</f>
        <v>A13A</v>
      </c>
      <c r="C700" s="189" t="str">
        <f>_xlfn.XLOOKUP(F700,品番!B:B,品番!C:C)</f>
        <v>コントローラ</v>
      </c>
      <c r="D700" s="189" t="str">
        <f>_xlfn.XLOOKUP(F700,品番!B:B,品番!D:D)</f>
        <v>メイン</v>
      </c>
      <c r="E700" s="179" t="s">
        <v>1678</v>
      </c>
      <c r="F700" s="180" t="s">
        <v>39</v>
      </c>
      <c r="G700" s="181">
        <v>9</v>
      </c>
      <c r="H700" s="122" t="s">
        <v>1680</v>
      </c>
      <c r="K700" s="142" t="s">
        <v>1679</v>
      </c>
      <c r="M700" s="266" t="str" cm="1">
        <f t="array" ref="M700">_xlfn.TEXTJOIN(",", TRUE, _xlfn._xlws.FILTER(適用号機!D:D, (適用号機!B:B=改定!F700)*(適用号機!C:C=改定!G700), ""))</f>
        <v/>
      </c>
      <c r="N700" s="142" t="str">
        <f t="shared" si="14"/>
        <v>05542-00411-09</v>
      </c>
      <c r="O700" s="122" t="s">
        <v>47</v>
      </c>
    </row>
    <row r="701" spans="1:15">
      <c r="A701" s="122" t="s">
        <v>36</v>
      </c>
      <c r="B701" s="189" t="str">
        <f>_xlfn.XLOOKUP(F701,品番!B:B,品番!G:G)</f>
        <v>A13A</v>
      </c>
      <c r="C701" s="189" t="str">
        <f>_xlfn.XLOOKUP(F701,品番!B:B,品番!C:C)</f>
        <v>コントローラ</v>
      </c>
      <c r="D701" s="189" t="str">
        <f>_xlfn.XLOOKUP(F701,品番!B:B,品番!D:D)</f>
        <v>メイン</v>
      </c>
      <c r="E701" s="179" t="s">
        <v>1678</v>
      </c>
      <c r="F701" s="180" t="s">
        <v>41</v>
      </c>
      <c r="G701" s="181">
        <v>3</v>
      </c>
      <c r="H701" s="122" t="s">
        <v>1681</v>
      </c>
      <c r="K701" s="142" t="s">
        <v>1679</v>
      </c>
      <c r="M701" s="266" t="str" cm="1">
        <f t="array" ref="M701">_xlfn.TEXTJOIN(",", TRUE, _xlfn._xlws.FILTER(適用号機!D:D, (適用号機!B:B=改定!F701)*(適用号機!C:C=改定!G701), ""))</f>
        <v/>
      </c>
      <c r="N701" s="142" t="str">
        <f t="shared" si="14"/>
        <v>05542-00412-03</v>
      </c>
      <c r="O701" s="122" t="s">
        <v>47</v>
      </c>
    </row>
    <row r="702" spans="1:15">
      <c r="A702" s="122" t="s">
        <v>36</v>
      </c>
      <c r="B702" s="189" t="e">
        <f>_xlfn.XLOOKUP(F702,品番!B:B,品番!G:G)</f>
        <v>#N/A</v>
      </c>
      <c r="C702" s="189" t="e">
        <f>_xlfn.XLOOKUP(F702,品番!B:B,品番!C:C)</f>
        <v>#N/A</v>
      </c>
      <c r="D702" s="189" t="e">
        <f>_xlfn.XLOOKUP(F702,品番!B:B,品番!D:D)</f>
        <v>#N/A</v>
      </c>
      <c r="E702" s="179" t="s">
        <v>1678</v>
      </c>
      <c r="F702" s="180" t="s">
        <v>1682</v>
      </c>
      <c r="G702" s="181">
        <v>9</v>
      </c>
      <c r="H702" s="122" t="s">
        <v>1684</v>
      </c>
      <c r="K702" s="142" t="s">
        <v>1686</v>
      </c>
      <c r="M702" s="266" t="str" cm="1">
        <f t="array" ref="M702">_xlfn.TEXTJOIN(",", TRUE, _xlfn._xlws.FILTER(適用号機!D:D, (適用号機!B:B=改定!F702)*(適用号機!C:C=改定!G702), ""))</f>
        <v/>
      </c>
      <c r="N702" s="142" t="str">
        <f t="shared" si="14"/>
        <v>05501-00029-09</v>
      </c>
      <c r="O702" s="122" t="s">
        <v>1702</v>
      </c>
    </row>
    <row r="703" spans="1:15">
      <c r="A703" s="122" t="s">
        <v>36</v>
      </c>
      <c r="B703" s="189" t="str">
        <f>_xlfn.XLOOKUP(F703,品番!B:B,品番!G:G)</f>
        <v>A13A</v>
      </c>
      <c r="C703" s="189" t="str">
        <f>_xlfn.XLOOKUP(F703,品番!B:B,品番!C:C)</f>
        <v>サービスツール</v>
      </c>
      <c r="D703" s="189">
        <f>_xlfn.XLOOKUP(F703,品番!B:B,品番!D:D)</f>
        <v>0</v>
      </c>
      <c r="E703" s="179" t="s">
        <v>1678</v>
      </c>
      <c r="F703" s="180" t="s">
        <v>1683</v>
      </c>
      <c r="G703" s="181">
        <v>4</v>
      </c>
      <c r="H703" s="122" t="s">
        <v>1685</v>
      </c>
      <c r="K703" s="142" t="s">
        <v>1686</v>
      </c>
      <c r="M703" s="266" t="str" cm="1">
        <f t="array" ref="M703">_xlfn.TEXTJOIN(",", TRUE, _xlfn._xlws.FILTER(適用号機!D:D, (適用号機!B:B=改定!F703)*(適用号機!C:C=改定!G703), ""))</f>
        <v/>
      </c>
      <c r="N703" s="142" t="str">
        <f t="shared" si="14"/>
        <v>05501-00086-04</v>
      </c>
      <c r="O703" s="122" t="s">
        <v>1702</v>
      </c>
    </row>
    <row r="704" spans="1:15">
      <c r="A704" s="122" t="s">
        <v>36</v>
      </c>
      <c r="B704" s="189" t="str">
        <f>_xlfn.XLOOKUP(F704,品番!B:B,品番!G:G)</f>
        <v>A13A</v>
      </c>
      <c r="C704" s="189" t="str">
        <f>_xlfn.XLOOKUP(F704,品番!B:B,品番!C:C)</f>
        <v>コントローラ</v>
      </c>
      <c r="D704" s="189" t="str">
        <f>_xlfn.XLOOKUP(F704,品番!B:B,品番!D:D)</f>
        <v>メイン</v>
      </c>
      <c r="E704" s="179" t="s">
        <v>1677</v>
      </c>
      <c r="F704" s="180" t="s">
        <v>37</v>
      </c>
      <c r="G704" s="181">
        <v>9</v>
      </c>
      <c r="H704" s="122" t="s">
        <v>408</v>
      </c>
      <c r="K704" s="142" t="s">
        <v>1701</v>
      </c>
      <c r="M704" s="266" t="str" cm="1">
        <f t="array" ref="M704">_xlfn.TEXTJOIN(",", TRUE, _xlfn._xlws.FILTER(適用号機!D:D, (適用号機!B:B=改定!F704)*(適用号機!C:C=改定!G704), ""))</f>
        <v/>
      </c>
      <c r="N704" s="142" t="str">
        <f t="shared" si="14"/>
        <v>05542-00173-09</v>
      </c>
      <c r="O704" s="122" t="s">
        <v>1703</v>
      </c>
    </row>
    <row r="705" spans="1:15">
      <c r="A705" s="122" t="s">
        <v>36</v>
      </c>
      <c r="B705" s="189" t="str">
        <f>_xlfn.XLOOKUP(F705,品番!B:B,品番!G:G)</f>
        <v>A13A</v>
      </c>
      <c r="C705" s="189" t="str">
        <f>_xlfn.XLOOKUP(F705,品番!B:B,品番!C:C)</f>
        <v>コントローラ</v>
      </c>
      <c r="D705" s="189" t="str">
        <f>_xlfn.XLOOKUP(F705,品番!B:B,品番!D:D)</f>
        <v>メイン</v>
      </c>
      <c r="E705" s="179" t="s">
        <v>1677</v>
      </c>
      <c r="F705" s="180" t="s">
        <v>39</v>
      </c>
      <c r="G705" s="181">
        <v>10</v>
      </c>
      <c r="H705" s="122" t="s">
        <v>1687</v>
      </c>
      <c r="K705" s="142" t="s">
        <v>1701</v>
      </c>
      <c r="M705" s="266" t="str" cm="1">
        <f t="array" ref="M705">_xlfn.TEXTJOIN(",", TRUE, _xlfn._xlws.FILTER(適用号機!D:D, (適用号機!B:B=改定!F705)*(適用号機!C:C=改定!G705), ""))</f>
        <v/>
      </c>
      <c r="N705" s="142" t="str">
        <f t="shared" si="14"/>
        <v>05542-00411-10</v>
      </c>
      <c r="O705" s="122" t="s">
        <v>1703</v>
      </c>
    </row>
    <row r="706" spans="1:15">
      <c r="A706" s="122" t="s">
        <v>36</v>
      </c>
      <c r="B706" s="189" t="str">
        <f>_xlfn.XLOOKUP(F706,品番!B:B,品番!G:G)</f>
        <v>A13A</v>
      </c>
      <c r="C706" s="189" t="str">
        <f>_xlfn.XLOOKUP(F706,品番!B:B,品番!C:C)</f>
        <v>コントローラ</v>
      </c>
      <c r="D706" s="189" t="str">
        <f>_xlfn.XLOOKUP(F706,品番!B:B,品番!D:D)</f>
        <v>メイン</v>
      </c>
      <c r="E706" s="179" t="s">
        <v>1677</v>
      </c>
      <c r="F706" s="180" t="s">
        <v>41</v>
      </c>
      <c r="G706" s="181">
        <v>4</v>
      </c>
      <c r="H706" s="122" t="s">
        <v>1688</v>
      </c>
      <c r="K706" s="142" t="s">
        <v>1701</v>
      </c>
      <c r="M706" s="266" t="str" cm="1">
        <f t="array" ref="M706">_xlfn.TEXTJOIN(",", TRUE, _xlfn._xlws.FILTER(適用号機!D:D, (適用号機!B:B=改定!F706)*(適用号機!C:C=改定!G706), ""))</f>
        <v/>
      </c>
      <c r="N706" s="142" t="str">
        <f t="shared" si="14"/>
        <v>05542-00412-04</v>
      </c>
      <c r="O706" s="122" t="s">
        <v>47</v>
      </c>
    </row>
    <row r="707" spans="1:15">
      <c r="A707" s="122" t="s">
        <v>1689</v>
      </c>
      <c r="B707" s="189" t="str">
        <f>_xlfn.XLOOKUP(F707,品番!B:B,品番!G:G)</f>
        <v>A14IW</v>
      </c>
      <c r="C707" s="189" t="str">
        <f>_xlfn.XLOOKUP(F707,品番!B:B,品番!C:C)</f>
        <v>コントローラ</v>
      </c>
      <c r="D707" s="189" t="str">
        <f>_xlfn.XLOOKUP(F707,品番!B:B,品番!D:D)</f>
        <v>メイン</v>
      </c>
      <c r="E707" s="179" t="s">
        <v>1677</v>
      </c>
      <c r="F707" s="180" t="s">
        <v>235</v>
      </c>
      <c r="G707" s="181">
        <v>11</v>
      </c>
      <c r="H707" s="122" t="s">
        <v>1691</v>
      </c>
      <c r="K707" s="142" t="s">
        <v>1701</v>
      </c>
      <c r="M707" s="266" t="str" cm="1">
        <f t="array" ref="M707">_xlfn.TEXTJOIN(",", TRUE, _xlfn._xlws.FILTER(適用号機!D:D, (適用号機!B:B=改定!F707)*(適用号機!C:C=改定!G707), ""))</f>
        <v/>
      </c>
      <c r="N707" s="142" t="str">
        <f t="shared" si="14"/>
        <v>05642-00683-11</v>
      </c>
      <c r="O707" s="122" t="s">
        <v>1703</v>
      </c>
    </row>
    <row r="708" spans="1:15">
      <c r="A708" s="122" t="s">
        <v>1689</v>
      </c>
      <c r="B708" s="189" t="str">
        <f>_xlfn.XLOOKUP(F708,品番!B:B,品番!G:G)</f>
        <v>A14IW</v>
      </c>
      <c r="C708" s="189" t="str">
        <f>_xlfn.XLOOKUP(F708,品番!B:B,品番!C:C)</f>
        <v>コントローラ</v>
      </c>
      <c r="D708" s="189" t="str">
        <f>_xlfn.XLOOKUP(F708,品番!B:B,品番!D:D)</f>
        <v>メイン</v>
      </c>
      <c r="E708" s="179" t="s">
        <v>1677</v>
      </c>
      <c r="F708" s="180" t="s">
        <v>236</v>
      </c>
      <c r="G708" s="181">
        <v>6</v>
      </c>
      <c r="H708" s="122" t="s">
        <v>1455</v>
      </c>
      <c r="K708" s="142" t="s">
        <v>1701</v>
      </c>
      <c r="M708" s="266" t="str" cm="1">
        <f t="array" ref="M708">_xlfn.TEXTJOIN(",", TRUE, _xlfn._xlws.FILTER(適用号機!D:D, (適用号機!B:B=改定!F708)*(適用号機!C:C=改定!G708), ""))</f>
        <v/>
      </c>
      <c r="N708" s="142" t="str">
        <f t="shared" si="14"/>
        <v>05642-00924-06</v>
      </c>
      <c r="O708" s="122" t="s">
        <v>47</v>
      </c>
    </row>
    <row r="709" spans="1:15">
      <c r="A709" s="122" t="s">
        <v>1689</v>
      </c>
      <c r="B709" s="189" t="str">
        <f>_xlfn.XLOOKUP(F709,品番!B:B,品番!G:G)</f>
        <v>A14IW</v>
      </c>
      <c r="C709" s="189" t="str">
        <f>_xlfn.XLOOKUP(F709,品番!B:B,品番!C:C)</f>
        <v>コントローラ</v>
      </c>
      <c r="D709" s="189" t="str">
        <f>_xlfn.XLOOKUP(F709,品番!B:B,品番!D:D)</f>
        <v>メイン</v>
      </c>
      <c r="E709" s="179" t="s">
        <v>1677</v>
      </c>
      <c r="F709" s="180" t="s">
        <v>238</v>
      </c>
      <c r="G709" s="181">
        <v>4</v>
      </c>
      <c r="H709" s="122" t="s">
        <v>1693</v>
      </c>
      <c r="K709" s="142" t="s">
        <v>1701</v>
      </c>
      <c r="M709" s="266" t="str" cm="1">
        <f t="array" ref="M709">_xlfn.TEXTJOIN(",", TRUE, _xlfn._xlws.FILTER(適用号機!D:D, (適用号機!B:B=改定!F709)*(適用号機!C:C=改定!G709), ""))</f>
        <v/>
      </c>
      <c r="N709" s="142" t="str">
        <f t="shared" si="14"/>
        <v>05642-00998-04</v>
      </c>
      <c r="O709" s="122" t="s">
        <v>47</v>
      </c>
    </row>
    <row r="710" spans="1:15">
      <c r="A710" s="122" t="s">
        <v>1690</v>
      </c>
      <c r="B710" s="189" t="str">
        <f>_xlfn.XLOOKUP(F710,品番!B:B,品番!G:G)</f>
        <v>A13AW</v>
      </c>
      <c r="C710" s="189" t="str">
        <f>_xlfn.XLOOKUP(F710,品番!B:B,品番!C:C)</f>
        <v>コントローラ</v>
      </c>
      <c r="D710" s="189" t="str">
        <f>_xlfn.XLOOKUP(F710,品番!B:B,品番!D:D)</f>
        <v>メイン</v>
      </c>
      <c r="E710" s="179" t="s">
        <v>1677</v>
      </c>
      <c r="F710" s="180" t="s">
        <v>246</v>
      </c>
      <c r="G710" s="181">
        <v>5</v>
      </c>
      <c r="H710" s="122" t="s">
        <v>1694</v>
      </c>
      <c r="K710" s="142" t="s">
        <v>1701</v>
      </c>
      <c r="M710" s="266" t="str" cm="1">
        <f t="array" ref="M710">_xlfn.TEXTJOIN(",", TRUE, _xlfn._xlws.FILTER(適用号機!D:D, (適用号機!B:B=改定!F710)*(適用号機!C:C=改定!G710), ""))</f>
        <v/>
      </c>
      <c r="N710" s="142" t="str">
        <f t="shared" si="14"/>
        <v>05542-00549-05</v>
      </c>
      <c r="O710" s="122" t="s">
        <v>47</v>
      </c>
    </row>
    <row r="711" spans="1:15">
      <c r="A711" s="122" t="s">
        <v>1690</v>
      </c>
      <c r="B711" s="189" t="str">
        <f>_xlfn.XLOOKUP(F711,品番!B:B,品番!G:G)</f>
        <v>A13AW</v>
      </c>
      <c r="C711" s="189" t="str">
        <f>_xlfn.XLOOKUP(F711,品番!B:B,品番!C:C)</f>
        <v>コントローラ</v>
      </c>
      <c r="D711" s="189" t="str">
        <f>_xlfn.XLOOKUP(F711,品番!B:B,品番!D:D)</f>
        <v>メイン</v>
      </c>
      <c r="E711" s="179" t="s">
        <v>1677</v>
      </c>
      <c r="F711" s="180" t="s">
        <v>480</v>
      </c>
      <c r="G711" s="181">
        <v>6</v>
      </c>
      <c r="H711" s="122" t="s">
        <v>1692</v>
      </c>
      <c r="K711" s="142" t="s">
        <v>1701</v>
      </c>
      <c r="M711" s="266" t="str" cm="1">
        <f t="array" ref="M711">_xlfn.TEXTJOIN(",", TRUE, _xlfn._xlws.FILTER(適用号機!D:D, (適用号機!B:B=改定!F711)*(適用号機!C:C=改定!G711), ""))</f>
        <v/>
      </c>
      <c r="N711" s="142" t="str">
        <f t="shared" si="14"/>
        <v>05542-00559-06</v>
      </c>
      <c r="O711" s="122" t="s">
        <v>1703</v>
      </c>
    </row>
    <row r="712" spans="1:15">
      <c r="A712" s="122" t="s">
        <v>1690</v>
      </c>
      <c r="B712" s="189" t="str">
        <f>_xlfn.XLOOKUP(F712,品番!B:B,品番!G:G)</f>
        <v>A13AW</v>
      </c>
      <c r="C712" s="189" t="str">
        <f>_xlfn.XLOOKUP(F712,品番!B:B,品番!C:C)</f>
        <v>コントローラ</v>
      </c>
      <c r="D712" s="189" t="str">
        <f>_xlfn.XLOOKUP(F712,品番!B:B,品番!D:D)</f>
        <v>メイン</v>
      </c>
      <c r="E712" s="179" t="s">
        <v>1677</v>
      </c>
      <c r="F712" s="180" t="s">
        <v>247</v>
      </c>
      <c r="G712" s="181">
        <v>5</v>
      </c>
      <c r="H712" s="122" t="s">
        <v>1694</v>
      </c>
      <c r="K712" s="142" t="s">
        <v>1701</v>
      </c>
      <c r="M712" s="266" t="str" cm="1">
        <f t="array" ref="M712">_xlfn.TEXTJOIN(",", TRUE, _xlfn._xlws.FILTER(適用号機!D:D, (適用号機!B:B=改定!F712)*(適用号機!C:C=改定!G712), ""))</f>
        <v/>
      </c>
      <c r="N712" s="142" t="str">
        <f t="shared" si="14"/>
        <v>05542-00639-05</v>
      </c>
      <c r="O712" s="122" t="s">
        <v>47</v>
      </c>
    </row>
    <row r="713" spans="1:15">
      <c r="A713" s="122" t="s">
        <v>36</v>
      </c>
      <c r="B713" s="189" t="str">
        <f>_xlfn.XLOOKUP(F713,品番!B:B,品番!G:G)</f>
        <v>A13A</v>
      </c>
      <c r="C713" s="189" t="str">
        <f>_xlfn.XLOOKUP(F713,品番!B:B,品番!C:C)</f>
        <v>サービスツール</v>
      </c>
      <c r="D713" s="189">
        <f>_xlfn.XLOOKUP(F713,品番!B:B,品番!D:D)</f>
        <v>0</v>
      </c>
      <c r="E713" s="179" t="s">
        <v>1677</v>
      </c>
      <c r="F713" s="180" t="s">
        <v>1695</v>
      </c>
      <c r="G713" s="181">
        <v>10</v>
      </c>
      <c r="H713" s="122" t="s">
        <v>1696</v>
      </c>
      <c r="K713" s="142" t="s">
        <v>1701</v>
      </c>
      <c r="M713" s="266" t="str" cm="1">
        <f t="array" ref="M713">_xlfn.TEXTJOIN(",", TRUE, _xlfn._xlws.FILTER(適用号機!D:D, (適用号機!B:B=改定!F713)*(適用号機!C:C=改定!G713), ""))</f>
        <v/>
      </c>
      <c r="N713" s="142" t="str">
        <f t="shared" si="14"/>
        <v>05501-00059-10</v>
      </c>
      <c r="O713" s="122" t="s">
        <v>1702</v>
      </c>
    </row>
    <row r="714" spans="1:15">
      <c r="A714" s="122" t="s">
        <v>36</v>
      </c>
      <c r="B714" s="189" t="str">
        <f>_xlfn.XLOOKUP(F714,品番!B:B,品番!G:G)</f>
        <v>A13A</v>
      </c>
      <c r="C714" s="189" t="str">
        <f>_xlfn.XLOOKUP(F714,品番!B:B,品番!C:C)</f>
        <v>サービスツール</v>
      </c>
      <c r="D714" s="189">
        <f>_xlfn.XLOOKUP(F714,品番!B:B,品番!D:D)</f>
        <v>0</v>
      </c>
      <c r="E714" s="179" t="s">
        <v>1677</v>
      </c>
      <c r="F714" s="180" t="s">
        <v>1683</v>
      </c>
      <c r="G714" s="181">
        <v>5</v>
      </c>
      <c r="H714" s="122" t="s">
        <v>1697</v>
      </c>
      <c r="K714" s="142" t="s">
        <v>1701</v>
      </c>
      <c r="M714" s="266" t="str" cm="1">
        <f t="array" ref="M714">_xlfn.TEXTJOIN(",", TRUE, _xlfn._xlws.FILTER(適用号機!D:D, (適用号機!B:B=改定!F714)*(適用号機!C:C=改定!G714), ""))</f>
        <v/>
      </c>
      <c r="N714" s="142" t="str">
        <f t="shared" si="14"/>
        <v>05501-00086-05</v>
      </c>
      <c r="O714" s="122" t="s">
        <v>1702</v>
      </c>
    </row>
    <row r="715" spans="1:15">
      <c r="A715" s="122" t="s">
        <v>1690</v>
      </c>
      <c r="B715" s="189" t="str">
        <f>_xlfn.XLOOKUP(F715,品番!B:B,品番!G:G)</f>
        <v>A13AW</v>
      </c>
      <c r="C715" s="189" t="str">
        <f>_xlfn.XLOOKUP(F715,品番!B:B,品番!C:C)</f>
        <v>サービスツール</v>
      </c>
      <c r="D715" s="189">
        <f>_xlfn.XLOOKUP(F715,品番!B:B,品番!D:D)</f>
        <v>0</v>
      </c>
      <c r="E715" s="179" t="s">
        <v>1677</v>
      </c>
      <c r="F715" s="180" t="s">
        <v>1698</v>
      </c>
      <c r="G715" s="181">
        <v>2</v>
      </c>
      <c r="H715" s="122" t="s">
        <v>1699</v>
      </c>
      <c r="K715" s="142" t="s">
        <v>1700</v>
      </c>
      <c r="M715" s="266" t="str" cm="1">
        <f t="array" ref="M715">_xlfn.TEXTJOIN(",", TRUE, _xlfn._xlws.FILTER(適用号機!D:D, (適用号機!B:B=改定!F715)*(適用号機!C:C=改定!G715), ""))</f>
        <v/>
      </c>
      <c r="N715" s="142" t="str">
        <f t="shared" si="14"/>
        <v>05501-00060-02</v>
      </c>
      <c r="O715" s="122" t="s">
        <v>1702</v>
      </c>
    </row>
    <row r="716" spans="1:15">
      <c r="A716" s="122" t="s">
        <v>1705</v>
      </c>
      <c r="B716" s="189" t="str">
        <f>_xlfn.XLOOKUP(F716,品番!B:B,品番!G:G)</f>
        <v>E3F</v>
      </c>
      <c r="C716" s="189" t="str">
        <f>_xlfn.XLOOKUP(F716,品番!B:B,品番!C:C)</f>
        <v>ディスプレイ</v>
      </c>
      <c r="D716" s="189">
        <f>_xlfn.XLOOKUP(F716,品番!B:B,品番!D:D)</f>
        <v>0</v>
      </c>
      <c r="E716" s="179" t="s">
        <v>1708</v>
      </c>
      <c r="F716" s="180" t="s">
        <v>1707</v>
      </c>
      <c r="G716" s="181">
        <v>0</v>
      </c>
      <c r="K716" s="142" t="s">
        <v>1711</v>
      </c>
      <c r="M716" s="266" t="str" cm="1">
        <f t="array" ref="M716">_xlfn.TEXTJOIN(",", TRUE, _xlfn._xlws.FILTER(適用号機!D:D, (適用号機!B:B=改定!F716)*(適用号機!C:C=改定!G716), ""))</f>
        <v/>
      </c>
      <c r="N716" s="142" t="str">
        <f t="shared" si="14"/>
        <v>17301-43690-00</v>
      </c>
      <c r="O716" s="122" t="s">
        <v>47</v>
      </c>
    </row>
    <row r="717" spans="1:15">
      <c r="A717" s="122" t="s">
        <v>1705</v>
      </c>
      <c r="B717" s="189" t="str">
        <f>_xlfn.XLOOKUP(F717,品番!B:B,品番!G:G)</f>
        <v>E3F</v>
      </c>
      <c r="C717" s="189" t="str">
        <f>_xlfn.XLOOKUP(F717,品番!B:B,品番!C:C)</f>
        <v>ディスプレイ</v>
      </c>
      <c r="D717" s="189">
        <f>_xlfn.XLOOKUP(F717,品番!B:B,品番!D:D)</f>
        <v>0</v>
      </c>
      <c r="E717" s="179" t="s">
        <v>1709</v>
      </c>
      <c r="F717" s="180" t="s">
        <v>1707</v>
      </c>
      <c r="G717" s="181">
        <v>1</v>
      </c>
      <c r="K717" s="142" t="s">
        <v>1873</v>
      </c>
      <c r="M717" s="266" t="str" cm="1">
        <f t="array" ref="M717">_xlfn.TEXTJOIN(",", TRUE, _xlfn._xlws.FILTER(適用号機!D:D, (適用号機!B:B=改定!F717)*(適用号機!C:C=改定!G717), ""))</f>
        <v/>
      </c>
      <c r="N717" s="142" t="str">
        <f t="shared" si="14"/>
        <v>17301-43690-01</v>
      </c>
      <c r="O717" s="122" t="s">
        <v>47</v>
      </c>
    </row>
    <row r="718" spans="1:15">
      <c r="A718" s="122" t="s">
        <v>1705</v>
      </c>
      <c r="B718" s="189" t="str">
        <f>_xlfn.XLOOKUP(F718,品番!B:B,品番!G:G)</f>
        <v>E3F</v>
      </c>
      <c r="C718" s="189" t="str">
        <f>_xlfn.XLOOKUP(F718,品番!B:B,品番!C:C)</f>
        <v>ディスプレイ</v>
      </c>
      <c r="D718" s="189">
        <f>_xlfn.XLOOKUP(F718,品番!B:B,品番!D:D)</f>
        <v>0</v>
      </c>
      <c r="E718" s="179" t="s">
        <v>1710</v>
      </c>
      <c r="F718" s="180" t="s">
        <v>609</v>
      </c>
      <c r="G718" s="181">
        <v>2</v>
      </c>
      <c r="H718" s="122" t="s">
        <v>1712</v>
      </c>
      <c r="K718" s="142" t="s">
        <v>1874</v>
      </c>
      <c r="M718" s="266" t="str" cm="1">
        <f t="array" ref="M718">_xlfn.TEXTJOIN(",", TRUE, _xlfn._xlws.FILTER(適用号機!D:D, (適用号機!B:B=改定!F718)*(適用号機!C:C=改定!G718), ""))</f>
        <v/>
      </c>
      <c r="N718" s="142" t="str">
        <f t="shared" si="14"/>
        <v>17301-43690-02</v>
      </c>
      <c r="O718" s="122" t="s">
        <v>47</v>
      </c>
    </row>
    <row r="719" spans="1:15">
      <c r="A719" s="122" t="s">
        <v>1705</v>
      </c>
      <c r="B719" s="189" t="str">
        <f>_xlfn.XLOOKUP(F719,品番!B:B,品番!G:G)</f>
        <v>E3F</v>
      </c>
      <c r="C719" s="189" t="str">
        <f>_xlfn.XLOOKUP(F719,品番!B:B,品番!C:C)</f>
        <v>ディスプレイ</v>
      </c>
      <c r="D719" s="189">
        <f>_xlfn.XLOOKUP(F719,品番!B:B,品番!D:D)</f>
        <v>0</v>
      </c>
      <c r="E719" s="179" t="s">
        <v>1706</v>
      </c>
      <c r="F719" s="180" t="s">
        <v>609</v>
      </c>
      <c r="G719" s="181">
        <v>3</v>
      </c>
      <c r="H719" s="122" t="s">
        <v>1712</v>
      </c>
      <c r="K719" s="142" t="s">
        <v>1875</v>
      </c>
      <c r="M719" s="266" t="str" cm="1">
        <f t="array" ref="M719">_xlfn.TEXTJOIN(",", TRUE, _xlfn._xlws.FILTER(適用号機!D:D, (適用号機!B:B=改定!F719)*(適用号機!C:C=改定!G719), ""))</f>
        <v/>
      </c>
      <c r="N719" s="142" t="str">
        <f t="shared" si="14"/>
        <v>17301-43690-03</v>
      </c>
      <c r="O719" s="122" t="s">
        <v>47</v>
      </c>
    </row>
    <row r="720" spans="1:15">
      <c r="A720" s="122" t="s">
        <v>1716</v>
      </c>
      <c r="B720" s="189" t="str">
        <f>_xlfn.XLOOKUP(F720,品番!B:B,品番!G:G)</f>
        <v>J7B</v>
      </c>
      <c r="C720" s="189" t="str">
        <f>_xlfn.XLOOKUP(F720,品番!B:B,品番!C:C)</f>
        <v>コントローラ</v>
      </c>
      <c r="D720" s="189" t="str">
        <f>_xlfn.XLOOKUP(F720,品番!B:B,品番!D:D)</f>
        <v>メイン</v>
      </c>
      <c r="E720" s="179" t="s">
        <v>1720</v>
      </c>
      <c r="F720" s="180" t="s">
        <v>200</v>
      </c>
      <c r="G720" s="181">
        <v>3</v>
      </c>
      <c r="H720" s="122" t="s">
        <v>1718</v>
      </c>
      <c r="K720" s="142" t="s">
        <v>1722</v>
      </c>
      <c r="M720" s="266" t="str" cm="1">
        <f t="array" ref="M720">_xlfn.TEXTJOIN(",", TRUE, _xlfn._xlws.FILTER(適用号機!D:D, (適用号機!B:B=改定!F720)*(適用号機!C:C=改定!G720), ""))</f>
        <v/>
      </c>
      <c r="N720" s="142" t="str">
        <f t="shared" si="14"/>
        <v>03742-00529-03</v>
      </c>
      <c r="O720" s="122" t="s">
        <v>47</v>
      </c>
    </row>
    <row r="721" spans="1:15">
      <c r="A721" s="122" t="s">
        <v>1716</v>
      </c>
      <c r="B721" s="189" t="str">
        <f>_xlfn.XLOOKUP(F721,品番!B:B,品番!G:G)</f>
        <v>J7B</v>
      </c>
      <c r="C721" s="189" t="str">
        <f>_xlfn.XLOOKUP(F721,品番!B:B,品番!C:C)</f>
        <v>コントローラ</v>
      </c>
      <c r="D721" s="189" t="str">
        <f>_xlfn.XLOOKUP(F721,品番!B:B,品番!D:D)</f>
        <v>メイン</v>
      </c>
      <c r="E721" s="179" t="s">
        <v>1720</v>
      </c>
      <c r="F721" s="180" t="s">
        <v>1715</v>
      </c>
      <c r="G721" s="181">
        <v>0</v>
      </c>
      <c r="H721" s="122" t="s">
        <v>1718</v>
      </c>
      <c r="K721" s="142" t="s">
        <v>1721</v>
      </c>
      <c r="M721" s="266" t="str" cm="1">
        <f t="array" ref="M721">_xlfn.TEXTJOIN(",", TRUE, _xlfn._xlws.FILTER(適用号機!D:D, (適用号機!B:B=改定!F721)*(適用号機!C:C=改定!G721), ""))</f>
        <v/>
      </c>
      <c r="N721" s="142" t="str">
        <f t="shared" si="14"/>
        <v>03742-00557-00</v>
      </c>
      <c r="O721" s="122" t="s">
        <v>1723</v>
      </c>
    </row>
    <row r="722" spans="1:15">
      <c r="A722" s="122" t="s">
        <v>1749</v>
      </c>
      <c r="B722" s="189" t="str">
        <f>_xlfn.XLOOKUP(F722,品番!B:B,品番!G:G)</f>
        <v>A14IW、A13AW</v>
      </c>
      <c r="C722" s="189" t="str">
        <f>_xlfn.XLOOKUP(F722,品番!B:B,品番!C:C)</f>
        <v>ディスプレイ</v>
      </c>
      <c r="D722" s="189">
        <f>_xlfn.XLOOKUP(F722,品番!B:B,品番!D:D)</f>
        <v>0</v>
      </c>
      <c r="E722" s="179" t="s">
        <v>1736</v>
      </c>
      <c r="F722" s="180" t="s">
        <v>1725</v>
      </c>
      <c r="G722" s="181">
        <v>0</v>
      </c>
      <c r="K722" s="142" t="s">
        <v>1734</v>
      </c>
      <c r="M722" s="266" t="str" cm="1">
        <f t="array" ref="M722">_xlfn.TEXTJOIN(",", TRUE, _xlfn._xlws.FILTER(適用号機!D:D, (適用号機!B:B=改定!F722)*(適用号機!C:C=改定!G722), ""))</f>
        <v/>
      </c>
      <c r="N722" s="142" t="str">
        <f t="shared" si="14"/>
        <v>17301-43840-00</v>
      </c>
      <c r="O722" s="122" t="s">
        <v>47</v>
      </c>
    </row>
    <row r="723" spans="1:15">
      <c r="A723" s="122" t="s">
        <v>1749</v>
      </c>
      <c r="B723" s="189" t="str">
        <f>_xlfn.XLOOKUP(F723,品番!B:B,品番!G:G)</f>
        <v>A14IW、A13AW</v>
      </c>
      <c r="C723" s="189" t="str">
        <f>_xlfn.XLOOKUP(F723,品番!B:B,品番!C:C)</f>
        <v>ディスプレイ</v>
      </c>
      <c r="D723" s="189">
        <f>_xlfn.XLOOKUP(F723,品番!B:B,品番!D:D)</f>
        <v>0</v>
      </c>
      <c r="E723" s="179" t="s">
        <v>1735</v>
      </c>
      <c r="F723" s="180" t="s">
        <v>1725</v>
      </c>
      <c r="G723" s="181">
        <v>1</v>
      </c>
      <c r="H723" s="122" t="s">
        <v>1737</v>
      </c>
      <c r="K723" s="142" t="s">
        <v>1738</v>
      </c>
      <c r="M723" s="266" t="str" cm="1">
        <f t="array" ref="M723">_xlfn.TEXTJOIN(",", TRUE, _xlfn._xlws.FILTER(適用号機!D:D, (適用号機!B:B=改定!F723)*(適用号機!C:C=改定!G723), ""))</f>
        <v>A14IW,A13AW</v>
      </c>
      <c r="N723" s="142" t="str">
        <f t="shared" si="14"/>
        <v>17301-43840-01</v>
      </c>
      <c r="O723" s="122" t="s">
        <v>47</v>
      </c>
    </row>
    <row r="724" spans="1:15">
      <c r="A724" s="122" t="s">
        <v>1749</v>
      </c>
      <c r="B724" s="189" t="str">
        <f>_xlfn.XLOOKUP(F724,品番!B:B,品番!G:G)</f>
        <v>A14IW、A13AW</v>
      </c>
      <c r="C724" s="189" t="str">
        <f>_xlfn.XLOOKUP(F724,品番!B:B,品番!C:C)</f>
        <v>ディスプレイ</v>
      </c>
      <c r="D724" s="189">
        <f>_xlfn.XLOOKUP(F724,品番!B:B,品番!D:D)</f>
        <v>0</v>
      </c>
      <c r="E724" s="179" t="s">
        <v>1727</v>
      </c>
      <c r="F724" s="180" t="s">
        <v>1725</v>
      </c>
      <c r="G724" s="181">
        <v>2</v>
      </c>
      <c r="H724" s="122" t="s">
        <v>1739</v>
      </c>
      <c r="K724" s="142" t="s">
        <v>1740</v>
      </c>
      <c r="M724" s="266" t="str" cm="1">
        <f t="array" ref="M724">_xlfn.TEXTJOIN(",", TRUE, _xlfn._xlws.FILTER(適用号機!D:D, (適用号機!B:B=改定!F724)*(適用号機!C:C=改定!G724), ""))</f>
        <v>A14IW,A13AW</v>
      </c>
      <c r="N724" s="142" t="str">
        <f t="shared" si="14"/>
        <v>17301-43840-02</v>
      </c>
      <c r="O724" s="122" t="s">
        <v>47</v>
      </c>
    </row>
    <row r="725" spans="1:15">
      <c r="A725" s="122" t="s">
        <v>1749</v>
      </c>
      <c r="B725" s="189" t="str">
        <f>_xlfn.XLOOKUP(F725,品番!B:B,品番!G:G)</f>
        <v>A14IW、A13AW</v>
      </c>
      <c r="C725" s="189" t="str">
        <f>_xlfn.XLOOKUP(F725,品番!B:B,品番!C:C)</f>
        <v>ディスプレイ</v>
      </c>
      <c r="D725" s="189">
        <f>_xlfn.XLOOKUP(F725,品番!B:B,品番!D:D)</f>
        <v>0</v>
      </c>
      <c r="E725" s="179" t="s">
        <v>1728</v>
      </c>
      <c r="F725" s="180" t="s">
        <v>1725</v>
      </c>
      <c r="G725" s="181">
        <v>3</v>
      </c>
      <c r="H725" s="122" t="s">
        <v>1739</v>
      </c>
      <c r="K725" s="142" t="s">
        <v>1741</v>
      </c>
      <c r="M725" s="266" t="str" cm="1">
        <f t="array" ref="M725">_xlfn.TEXTJOIN(",", TRUE, _xlfn._xlws.FILTER(適用号機!D:D, (適用号機!B:B=改定!F725)*(適用号機!C:C=改定!G725), ""))</f>
        <v>A14IW,A13AW</v>
      </c>
      <c r="N725" s="142" t="str">
        <f t="shared" si="14"/>
        <v>17301-43840-03</v>
      </c>
      <c r="O725" s="122" t="s">
        <v>47</v>
      </c>
    </row>
    <row r="726" spans="1:15">
      <c r="A726" s="122" t="s">
        <v>1749</v>
      </c>
      <c r="B726" s="189" t="str">
        <f>_xlfn.XLOOKUP(F726,品番!B:B,品番!G:G)</f>
        <v>A14IW、A13AW</v>
      </c>
      <c r="C726" s="189" t="str">
        <f>_xlfn.XLOOKUP(F726,品番!B:B,品番!C:C)</f>
        <v>ディスプレイ</v>
      </c>
      <c r="D726" s="189">
        <f>_xlfn.XLOOKUP(F726,品番!B:B,品番!D:D)</f>
        <v>0</v>
      </c>
      <c r="E726" s="179" t="s">
        <v>1729</v>
      </c>
      <c r="F726" s="180" t="s">
        <v>1725</v>
      </c>
      <c r="G726" s="181">
        <v>4</v>
      </c>
      <c r="H726" s="122" t="s">
        <v>1739</v>
      </c>
      <c r="K726" s="142" t="s">
        <v>1876</v>
      </c>
      <c r="M726" s="266" t="str" cm="1">
        <f t="array" ref="M726">_xlfn.TEXTJOIN(",", TRUE, _xlfn._xlws.FILTER(適用号機!D:D, (適用号機!B:B=改定!F726)*(適用号機!C:C=改定!G726), ""))</f>
        <v>A14IW,A13AW</v>
      </c>
      <c r="N726" s="142" t="str">
        <f t="shared" si="14"/>
        <v>17301-43840-04</v>
      </c>
      <c r="O726" s="122" t="s">
        <v>47</v>
      </c>
    </row>
    <row r="727" spans="1:15" ht="27">
      <c r="A727" s="122" t="s">
        <v>1749</v>
      </c>
      <c r="B727" s="189" t="str">
        <f>_xlfn.XLOOKUP(F727,品番!B:B,品番!G:G)</f>
        <v>A14IW、A13AW</v>
      </c>
      <c r="C727" s="189" t="str">
        <f>_xlfn.XLOOKUP(F727,品番!B:B,品番!C:C)</f>
        <v>ディスプレイ</v>
      </c>
      <c r="D727" s="189">
        <f>_xlfn.XLOOKUP(F727,品番!B:B,品番!D:D)</f>
        <v>0</v>
      </c>
      <c r="E727" s="179" t="s">
        <v>1730</v>
      </c>
      <c r="F727" s="180" t="s">
        <v>1725</v>
      </c>
      <c r="G727" s="181">
        <v>5</v>
      </c>
      <c r="H727" s="122" t="s">
        <v>1742</v>
      </c>
      <c r="K727" s="186" t="s">
        <v>1877</v>
      </c>
      <c r="M727" s="266" t="str" cm="1">
        <f t="array" ref="M727">_xlfn.TEXTJOIN(",", TRUE, _xlfn._xlws.FILTER(適用号機!D:D, (適用号機!B:B=改定!F727)*(適用号機!C:C=改定!G727), ""))</f>
        <v>A14IW,A13AW</v>
      </c>
      <c r="N727" s="142" t="str">
        <f t="shared" si="14"/>
        <v>17301-43840-05</v>
      </c>
      <c r="O727" s="122" t="s">
        <v>47</v>
      </c>
    </row>
    <row r="728" spans="1:15" ht="54">
      <c r="A728" s="122" t="s">
        <v>1749</v>
      </c>
      <c r="B728" s="189" t="str">
        <f>_xlfn.XLOOKUP(F728,品番!B:B,品番!G:G)</f>
        <v>A14IW、A13AW</v>
      </c>
      <c r="C728" s="189" t="str">
        <f>_xlfn.XLOOKUP(F728,品番!B:B,品番!C:C)</f>
        <v>ディスプレイ</v>
      </c>
      <c r="D728" s="189">
        <f>_xlfn.XLOOKUP(F728,品番!B:B,品番!D:D)</f>
        <v>0</v>
      </c>
      <c r="E728" s="179" t="s">
        <v>1731</v>
      </c>
      <c r="F728" s="180" t="s">
        <v>1725</v>
      </c>
      <c r="G728" s="181">
        <v>6</v>
      </c>
      <c r="H728" s="122" t="s">
        <v>1743</v>
      </c>
      <c r="K728" s="186" t="s">
        <v>1744</v>
      </c>
      <c r="M728" s="266" t="str" cm="1">
        <f t="array" ref="M728">_xlfn.TEXTJOIN(",", TRUE, _xlfn._xlws.FILTER(適用号機!D:D, (適用号機!B:B=改定!F728)*(適用号機!C:C=改定!G728), ""))</f>
        <v>A14IW,A13AW</v>
      </c>
      <c r="N728" s="142" t="str">
        <f t="shared" si="14"/>
        <v>17301-43840-06</v>
      </c>
      <c r="O728" s="122" t="s">
        <v>47</v>
      </c>
    </row>
    <row r="729" spans="1:15">
      <c r="A729" s="122" t="s">
        <v>1749</v>
      </c>
      <c r="B729" s="189" t="str">
        <f>_xlfn.XLOOKUP(F729,品番!B:B,品番!G:G)</f>
        <v>A14IW、A13AW</v>
      </c>
      <c r="C729" s="189" t="str">
        <f>_xlfn.XLOOKUP(F729,品番!B:B,品番!C:C)</f>
        <v>ディスプレイ</v>
      </c>
      <c r="D729" s="189">
        <f>_xlfn.XLOOKUP(F729,品番!B:B,品番!D:D)</f>
        <v>0</v>
      </c>
      <c r="E729" s="179" t="s">
        <v>1732</v>
      </c>
      <c r="F729" s="180" t="s">
        <v>1725</v>
      </c>
      <c r="G729" s="181">
        <v>7</v>
      </c>
      <c r="H729" s="122" t="s">
        <v>1745</v>
      </c>
      <c r="K729" s="142" t="s">
        <v>1746</v>
      </c>
      <c r="M729" s="266" t="str" cm="1">
        <f t="array" ref="M729">_xlfn.TEXTJOIN(",", TRUE, _xlfn._xlws.FILTER(適用号機!D:D, (適用号機!B:B=改定!F729)*(適用号機!C:C=改定!G729), ""))</f>
        <v/>
      </c>
      <c r="N729" s="142" t="str">
        <f t="shared" si="14"/>
        <v>17301-43840-07</v>
      </c>
      <c r="O729" s="122" t="s">
        <v>47</v>
      </c>
    </row>
    <row r="730" spans="1:15" ht="40.5">
      <c r="A730" s="122" t="s">
        <v>1749</v>
      </c>
      <c r="B730" s="189" t="str">
        <f>_xlfn.XLOOKUP(F730,品番!B:B,品番!G:G)</f>
        <v>A14IW、A13AW</v>
      </c>
      <c r="C730" s="189" t="str">
        <f>_xlfn.XLOOKUP(F730,品番!B:B,品番!C:C)</f>
        <v>ディスプレイ</v>
      </c>
      <c r="D730" s="189">
        <f>_xlfn.XLOOKUP(F730,品番!B:B,品番!D:D)</f>
        <v>0</v>
      </c>
      <c r="E730" s="179" t="s">
        <v>1733</v>
      </c>
      <c r="F730" s="180" t="s">
        <v>1725</v>
      </c>
      <c r="G730" s="181">
        <v>8</v>
      </c>
      <c r="H730" s="122" t="s">
        <v>1747</v>
      </c>
      <c r="K730" s="186" t="s">
        <v>1748</v>
      </c>
      <c r="M730" s="266" t="str" cm="1">
        <f t="array" ref="M730">_xlfn.TEXTJOIN(",", TRUE, _xlfn._xlws.FILTER(適用号機!D:D, (適用号機!B:B=改定!F730)*(適用号機!C:C=改定!G730), ""))</f>
        <v/>
      </c>
      <c r="N730" s="142" t="str">
        <f t="shared" si="14"/>
        <v>17301-43840-08</v>
      </c>
      <c r="O730" s="122" t="s">
        <v>47</v>
      </c>
    </row>
    <row r="731" spans="1:15">
      <c r="A731" s="122" t="s">
        <v>1749</v>
      </c>
      <c r="B731" s="189" t="str">
        <f>_xlfn.XLOOKUP(F731,品番!B:B,品番!G:G)</f>
        <v>A14IW、A13AW</v>
      </c>
      <c r="C731" s="189" t="str">
        <f>_xlfn.XLOOKUP(F731,品番!B:B,品番!C:C)</f>
        <v>ディスプレイ</v>
      </c>
      <c r="D731" s="189">
        <f>_xlfn.XLOOKUP(F731,品番!B:B,品番!D:D)</f>
        <v>0</v>
      </c>
      <c r="E731" s="179" t="s">
        <v>1755</v>
      </c>
      <c r="F731" s="180" t="s">
        <v>1752</v>
      </c>
      <c r="G731" s="181">
        <v>0</v>
      </c>
      <c r="K731" s="142" t="s">
        <v>1758</v>
      </c>
      <c r="M731" s="266" t="str" cm="1">
        <f t="array" ref="M731">_xlfn.TEXTJOIN(",", TRUE, _xlfn._xlws.FILTER(適用号機!D:D, (適用号機!B:B=改定!F731)*(適用号機!C:C=改定!G731), ""))</f>
        <v>A14IW,A13AW</v>
      </c>
      <c r="N731" s="142" t="str">
        <f t="shared" si="14"/>
        <v>17301-43842-00</v>
      </c>
      <c r="O731" s="122" t="s">
        <v>47</v>
      </c>
    </row>
    <row r="732" spans="1:15">
      <c r="A732" s="122" t="s">
        <v>1749</v>
      </c>
      <c r="B732" s="189" t="str">
        <f>_xlfn.XLOOKUP(F732,品番!B:B,品番!G:G)</f>
        <v>A14IW、A13AW</v>
      </c>
      <c r="C732" s="189" t="str">
        <f>_xlfn.XLOOKUP(F732,品番!B:B,品番!C:C)</f>
        <v>ディスプレイ</v>
      </c>
      <c r="D732" s="189">
        <f>_xlfn.XLOOKUP(F732,品番!B:B,品番!D:D)</f>
        <v>0</v>
      </c>
      <c r="E732" s="179" t="s">
        <v>1756</v>
      </c>
      <c r="F732" s="180" t="s">
        <v>1752</v>
      </c>
      <c r="G732" s="181">
        <v>1</v>
      </c>
      <c r="H732" s="122" t="s">
        <v>1762</v>
      </c>
      <c r="K732" s="142" t="s">
        <v>1878</v>
      </c>
      <c r="M732" s="266" t="str" cm="1">
        <f t="array" ref="M732">_xlfn.TEXTJOIN(",", TRUE, _xlfn._xlws.FILTER(適用号機!D:D, (適用号機!B:B=改定!F732)*(適用号機!C:C=改定!G732), ""))</f>
        <v>A14IW,A13AW</v>
      </c>
      <c r="N732" s="142" t="str">
        <f t="shared" si="14"/>
        <v>17301-43842-01</v>
      </c>
      <c r="O732" s="122" t="s">
        <v>47</v>
      </c>
    </row>
    <row r="733" spans="1:15" ht="40.5">
      <c r="A733" s="122" t="s">
        <v>1749</v>
      </c>
      <c r="B733" s="189" t="str">
        <f>_xlfn.XLOOKUP(F733,品番!B:B,品番!G:G)</f>
        <v>A14IW、A13AW</v>
      </c>
      <c r="C733" s="189" t="str">
        <f>_xlfn.XLOOKUP(F733,品番!B:B,品番!C:C)</f>
        <v>ディスプレイ</v>
      </c>
      <c r="D733" s="189">
        <f>_xlfn.XLOOKUP(F733,品番!B:B,品番!D:D)</f>
        <v>0</v>
      </c>
      <c r="E733" s="179" t="s">
        <v>1733</v>
      </c>
      <c r="F733" s="180" t="s">
        <v>1752</v>
      </c>
      <c r="G733" s="181">
        <v>2</v>
      </c>
      <c r="H733" s="122" t="s">
        <v>1763</v>
      </c>
      <c r="K733" s="186" t="s">
        <v>1759</v>
      </c>
      <c r="M733" s="266" t="str" cm="1">
        <f t="array" ref="M733">_xlfn.TEXTJOIN(",", TRUE, _xlfn._xlws.FILTER(適用号機!D:D, (適用号機!B:B=改定!F733)*(適用号機!C:C=改定!G733), ""))</f>
        <v>A14IW,A13AW</v>
      </c>
      <c r="N733" s="142" t="str">
        <f t="shared" si="14"/>
        <v>17301-43842-02</v>
      </c>
      <c r="O733" s="122" t="s">
        <v>47</v>
      </c>
    </row>
    <row r="734" spans="1:15">
      <c r="A734" s="122" t="s">
        <v>1749</v>
      </c>
      <c r="B734" s="189" t="str">
        <f>_xlfn.XLOOKUP(F734,品番!B:B,品番!G:G)</f>
        <v>A14IW、A13AW</v>
      </c>
      <c r="C734" s="189" t="str">
        <f>_xlfn.XLOOKUP(F734,品番!B:B,品番!C:C)</f>
        <v>ディスプレイ</v>
      </c>
      <c r="D734" s="189">
        <f>_xlfn.XLOOKUP(F734,品番!B:B,品番!D:D)</f>
        <v>0</v>
      </c>
      <c r="E734" s="179" t="s">
        <v>1757</v>
      </c>
      <c r="F734" s="180" t="s">
        <v>1752</v>
      </c>
      <c r="G734" s="181">
        <v>3</v>
      </c>
      <c r="H734" s="122" t="s">
        <v>1760</v>
      </c>
      <c r="K734" s="142" t="s">
        <v>1761</v>
      </c>
      <c r="M734" s="266" t="str" cm="1">
        <f t="array" ref="M734">_xlfn.TEXTJOIN(",", TRUE, _xlfn._xlws.FILTER(適用号機!D:D, (適用号機!B:B=改定!F734)*(適用号機!C:C=改定!G734), ""))</f>
        <v>A14IW,A13AW</v>
      </c>
      <c r="N734" s="142" t="str">
        <f t="shared" si="14"/>
        <v>17301-43842-03</v>
      </c>
      <c r="O734" s="122" t="s">
        <v>47</v>
      </c>
    </row>
    <row r="735" spans="1:15" ht="40.5">
      <c r="A735" s="122" t="s">
        <v>1384</v>
      </c>
      <c r="B735" s="189" t="str">
        <f>_xlfn.XLOOKUP(F735,品番!B:B,品番!G:G)</f>
        <v>A25H/A27C</v>
      </c>
      <c r="C735" s="189" t="str">
        <f>_xlfn.XLOOKUP(F735,品番!B:B,品番!C:C)</f>
        <v>ディスプレイ</v>
      </c>
      <c r="D735" s="189">
        <f>_xlfn.XLOOKUP(F735,品番!B:B,品番!D:D)</f>
        <v>0</v>
      </c>
      <c r="E735" s="179" t="s">
        <v>1764</v>
      </c>
      <c r="F735" s="180" t="s">
        <v>1386</v>
      </c>
      <c r="G735" s="181">
        <v>2</v>
      </c>
      <c r="H735" s="122" t="s">
        <v>1765</v>
      </c>
      <c r="K735" s="186" t="s">
        <v>1879</v>
      </c>
      <c r="M735" s="266" t="str" cm="1">
        <f t="array" ref="M735">_xlfn.TEXTJOIN(",", TRUE, _xlfn._xlws.FILTER(適用号機!D:D, (適用号機!B:B=改定!F735)*(適用号機!C:C=改定!G735), ""))</f>
        <v>A25H,A27C</v>
      </c>
      <c r="N735" s="142" t="str">
        <f t="shared" si="14"/>
        <v>17301-43843-02</v>
      </c>
      <c r="O735" s="122" t="s">
        <v>1766</v>
      </c>
    </row>
    <row r="736" spans="1:15">
      <c r="A736" s="122" t="s">
        <v>1778</v>
      </c>
      <c r="B736" s="189">
        <f>_xlfn.XLOOKUP(F736,品番!B:B,品番!G:G)</f>
        <v>0</v>
      </c>
      <c r="C736" s="189" t="str">
        <f>_xlfn.XLOOKUP(F736,品番!B:B,品番!C:C)</f>
        <v>治具</v>
      </c>
      <c r="D736" s="189">
        <f>_xlfn.XLOOKUP(F736,品番!B:B,品番!D:D)</f>
        <v>0</v>
      </c>
      <c r="E736" s="179" t="s">
        <v>1771</v>
      </c>
      <c r="F736" s="180" t="s">
        <v>1767</v>
      </c>
      <c r="G736" s="181">
        <v>0</v>
      </c>
      <c r="M736" s="266" t="str" cm="1">
        <f t="array" ref="M736">_xlfn.TEXTJOIN(",", TRUE, _xlfn._xlws.FILTER(適用号機!D:D, (適用号機!B:B=改定!F736)*(適用号機!C:C=改定!G736), ""))</f>
        <v/>
      </c>
      <c r="N736" s="142" t="str">
        <f t="shared" si="14"/>
        <v>06896-00001-00</v>
      </c>
      <c r="O736" s="122" t="s">
        <v>47</v>
      </c>
    </row>
    <row r="737" spans="1:15">
      <c r="A737" s="122" t="s">
        <v>1778</v>
      </c>
      <c r="B737" s="189">
        <f>_xlfn.XLOOKUP(F737,品番!B:B,品番!G:G)</f>
        <v>0</v>
      </c>
      <c r="C737" s="189" t="str">
        <f>_xlfn.XLOOKUP(F737,品番!B:B,品番!C:C)</f>
        <v>治具</v>
      </c>
      <c r="D737" s="189">
        <f>_xlfn.XLOOKUP(F737,品番!B:B,品番!D:D)</f>
        <v>0</v>
      </c>
      <c r="E737" s="179" t="s">
        <v>1772</v>
      </c>
      <c r="F737" s="180" t="s">
        <v>1767</v>
      </c>
      <c r="G737" s="181">
        <v>1</v>
      </c>
      <c r="H737" s="122" t="s">
        <v>1770</v>
      </c>
      <c r="M737" s="266" t="str" cm="1">
        <f t="array" ref="M737">_xlfn.TEXTJOIN(",", TRUE, _xlfn._xlws.FILTER(適用号機!D:D, (適用号機!B:B=改定!F737)*(適用号機!C:C=改定!G737), ""))</f>
        <v/>
      </c>
      <c r="N737" s="142" t="str">
        <f t="shared" si="14"/>
        <v>06896-00001-01</v>
      </c>
      <c r="O737" s="122" t="s">
        <v>47</v>
      </c>
    </row>
    <row r="738" spans="1:15">
      <c r="A738" s="122" t="s">
        <v>1777</v>
      </c>
      <c r="B738" s="189" t="str">
        <f>_xlfn.XLOOKUP(F738,品番!B:B,品番!G:G)</f>
        <v>J7B.J10B</v>
      </c>
      <c r="C738" s="189" t="str">
        <f>_xlfn.XLOOKUP(F738,品番!B:B,品番!C:C)</f>
        <v>サービスツール</v>
      </c>
      <c r="D738" s="189">
        <f>_xlfn.XLOOKUP(F738,品番!B:B,品番!D:D)</f>
        <v>0</v>
      </c>
      <c r="E738" s="179" t="s">
        <v>1779</v>
      </c>
      <c r="F738" s="180" t="s">
        <v>1773</v>
      </c>
      <c r="G738" s="181">
        <v>0</v>
      </c>
      <c r="H738" s="122" t="s">
        <v>1783</v>
      </c>
      <c r="K738" s="142" t="s">
        <v>1784</v>
      </c>
      <c r="M738" s="266" t="str" cm="1">
        <f t="array" ref="M738">_xlfn.TEXTJOIN(",", TRUE, _xlfn._xlws.FILTER(適用号機!D:D, (適用号機!B:B=改定!F738)*(適用号機!C:C=改定!G738), ""))</f>
        <v/>
      </c>
      <c r="N738" s="142" t="str">
        <f t="shared" si="14"/>
        <v>03701-00065-00</v>
      </c>
      <c r="O738" s="122" t="s">
        <v>47</v>
      </c>
    </row>
    <row r="739" spans="1:15">
      <c r="A739" s="122" t="s">
        <v>1777</v>
      </c>
      <c r="B739" s="189" t="str">
        <f>_xlfn.XLOOKUP(F739,品番!B:B,品番!G:G)</f>
        <v>J7B.J10B</v>
      </c>
      <c r="C739" s="189" t="str">
        <f>_xlfn.XLOOKUP(F739,品番!B:B,品番!C:C)</f>
        <v>サービスツール</v>
      </c>
      <c r="D739" s="189">
        <f>_xlfn.XLOOKUP(F739,品番!B:B,品番!D:D)</f>
        <v>0</v>
      </c>
      <c r="E739" s="179" t="s">
        <v>1781</v>
      </c>
      <c r="F739" s="180" t="s">
        <v>1773</v>
      </c>
      <c r="G739" s="181">
        <v>1</v>
      </c>
      <c r="H739" s="122" t="s">
        <v>1785</v>
      </c>
      <c r="K739" s="142" t="s">
        <v>1786</v>
      </c>
      <c r="M739" s="266" t="str" cm="1">
        <f t="array" ref="M739">_xlfn.TEXTJOIN(",", TRUE, _xlfn._xlws.FILTER(適用号機!D:D, (適用号機!B:B=改定!F739)*(適用号機!C:C=改定!G739), ""))</f>
        <v/>
      </c>
      <c r="N739" s="142" t="str">
        <f t="shared" si="14"/>
        <v>03701-00065-01</v>
      </c>
      <c r="O739" s="122" t="s">
        <v>47</v>
      </c>
    </row>
    <row r="740" spans="1:15">
      <c r="A740" s="122" t="s">
        <v>1777</v>
      </c>
      <c r="B740" s="189" t="str">
        <f>_xlfn.XLOOKUP(F740,品番!B:B,品番!G:G)</f>
        <v>J7B.J10B</v>
      </c>
      <c r="C740" s="189" t="str">
        <f>_xlfn.XLOOKUP(F740,品番!B:B,品番!C:C)</f>
        <v>サービスツール</v>
      </c>
      <c r="D740" s="189">
        <f>_xlfn.XLOOKUP(F740,品番!B:B,品番!D:D)</f>
        <v>0</v>
      </c>
      <c r="E740" s="179" t="s">
        <v>1780</v>
      </c>
      <c r="F740" s="180" t="s">
        <v>1773</v>
      </c>
      <c r="G740" s="181">
        <v>2</v>
      </c>
      <c r="H740" s="122" t="s">
        <v>1788</v>
      </c>
      <c r="K740" s="142" t="s">
        <v>1787</v>
      </c>
      <c r="M740" s="266" t="str" cm="1">
        <f t="array" ref="M740">_xlfn.TEXTJOIN(",", TRUE, _xlfn._xlws.FILTER(適用号機!D:D, (適用号機!B:B=改定!F740)*(適用号機!C:C=改定!G740), ""))</f>
        <v/>
      </c>
      <c r="N740" s="142" t="str">
        <f t="shared" si="14"/>
        <v>03701-00065-02</v>
      </c>
      <c r="O740" s="122" t="s">
        <v>47</v>
      </c>
    </row>
    <row r="741" spans="1:15">
      <c r="A741" s="122" t="s">
        <v>1777</v>
      </c>
      <c r="B741" s="189" t="str">
        <f>_xlfn.XLOOKUP(F741,品番!B:B,品番!G:G)</f>
        <v>J7B.J10B</v>
      </c>
      <c r="C741" s="189" t="str">
        <f>_xlfn.XLOOKUP(F741,品番!B:B,品番!C:C)</f>
        <v>サービスツール</v>
      </c>
      <c r="D741" s="189">
        <f>_xlfn.XLOOKUP(F741,品番!B:B,品番!D:D)</f>
        <v>0</v>
      </c>
      <c r="E741" s="179" t="s">
        <v>1782</v>
      </c>
      <c r="F741" s="180" t="s">
        <v>1773</v>
      </c>
      <c r="G741" s="181">
        <v>3</v>
      </c>
      <c r="H741" s="122" t="s">
        <v>1571</v>
      </c>
      <c r="K741" s="142" t="s">
        <v>1791</v>
      </c>
      <c r="M741" s="266" t="str" cm="1">
        <f t="array" ref="M741">_xlfn.TEXTJOIN(",", TRUE, _xlfn._xlws.FILTER(適用号機!D:D, (適用号機!B:B=改定!F741)*(適用号機!C:C=改定!G741), ""))</f>
        <v/>
      </c>
      <c r="N741" s="142" t="str">
        <f t="shared" si="14"/>
        <v>03701-00065-03</v>
      </c>
      <c r="O741" s="122" t="s">
        <v>47</v>
      </c>
    </row>
    <row r="742" spans="1:15">
      <c r="A742" s="122" t="s">
        <v>1777</v>
      </c>
      <c r="B742" s="189" t="str">
        <f>_xlfn.XLOOKUP(F742,品番!B:B,品番!G:G)</f>
        <v>J7B.J10B</v>
      </c>
      <c r="C742" s="189" t="str">
        <f>_xlfn.XLOOKUP(F742,品番!B:B,品番!C:C)</f>
        <v>サービスツール</v>
      </c>
      <c r="D742" s="189">
        <f>_xlfn.XLOOKUP(F742,品番!B:B,品番!D:D)</f>
        <v>0</v>
      </c>
      <c r="E742" s="179" t="s">
        <v>1774</v>
      </c>
      <c r="F742" s="180" t="s">
        <v>1773</v>
      </c>
      <c r="G742" s="181">
        <v>4</v>
      </c>
      <c r="H742" s="122" t="s">
        <v>1789</v>
      </c>
      <c r="K742" s="142" t="s">
        <v>1880</v>
      </c>
      <c r="M742" s="266" t="str" cm="1">
        <f t="array" ref="M742">_xlfn.TEXTJOIN(",", TRUE, _xlfn._xlws.FILTER(適用号機!D:D, (適用号機!B:B=改定!F742)*(適用号機!C:C=改定!G742), ""))</f>
        <v/>
      </c>
      <c r="N742" s="142" t="str">
        <f t="shared" si="14"/>
        <v>03701-00065-04</v>
      </c>
      <c r="O742" s="122" t="s">
        <v>47</v>
      </c>
    </row>
    <row r="743" spans="1:15">
      <c r="A743" s="122" t="s">
        <v>1777</v>
      </c>
      <c r="B743" s="189" t="str">
        <f>_xlfn.XLOOKUP(F743,品番!B:B,品番!G:G)</f>
        <v>J7B.J10B</v>
      </c>
      <c r="C743" s="189" t="str">
        <f>_xlfn.XLOOKUP(F743,品番!B:B,品番!C:C)</f>
        <v>サービスツール</v>
      </c>
      <c r="D743" s="189">
        <f>_xlfn.XLOOKUP(F743,品番!B:B,品番!D:D)</f>
        <v>0</v>
      </c>
      <c r="E743" s="179" t="s">
        <v>1796</v>
      </c>
      <c r="F743" s="180" t="s">
        <v>1775</v>
      </c>
      <c r="G743" s="181">
        <v>0</v>
      </c>
      <c r="H743" s="122" t="s">
        <v>1792</v>
      </c>
      <c r="K743" s="142" t="s">
        <v>1793</v>
      </c>
      <c r="M743" s="266" t="str" cm="1">
        <f t="array" ref="M743">_xlfn.TEXTJOIN(",", TRUE, _xlfn._xlws.FILTER(適用号機!D:D, (適用号機!B:B=改定!F743)*(適用号機!C:C=改定!G743), ""))</f>
        <v/>
      </c>
      <c r="N743" s="142" t="str">
        <f t="shared" si="14"/>
        <v>03701-00066-00</v>
      </c>
      <c r="O743" s="122" t="s">
        <v>47</v>
      </c>
    </row>
    <row r="744" spans="1:15">
      <c r="A744" s="122" t="s">
        <v>1777</v>
      </c>
      <c r="B744" s="189" t="str">
        <f>_xlfn.XLOOKUP(F744,品番!B:B,品番!G:G)</f>
        <v>J7B.J10B</v>
      </c>
      <c r="C744" s="189" t="str">
        <f>_xlfn.XLOOKUP(F744,品番!B:B,品番!C:C)</f>
        <v>サービスツール</v>
      </c>
      <c r="D744" s="189">
        <f>_xlfn.XLOOKUP(F744,品番!B:B,品番!D:D)</f>
        <v>0</v>
      </c>
      <c r="E744" s="179" t="s">
        <v>1781</v>
      </c>
      <c r="F744" s="180" t="s">
        <v>1775</v>
      </c>
      <c r="G744" s="181">
        <v>1</v>
      </c>
      <c r="H744" s="122" t="s">
        <v>1794</v>
      </c>
      <c r="K744" s="142" t="s">
        <v>1786</v>
      </c>
      <c r="M744" s="266" t="str" cm="1">
        <f t="array" ref="M744">_xlfn.TEXTJOIN(",", TRUE, _xlfn._xlws.FILTER(適用号機!D:D, (適用号機!B:B=改定!F744)*(適用号機!C:C=改定!G744), ""))</f>
        <v/>
      </c>
      <c r="N744" s="142" t="str">
        <f t="shared" si="14"/>
        <v>03701-00066-01</v>
      </c>
      <c r="O744" s="122" t="s">
        <v>47</v>
      </c>
    </row>
    <row r="745" spans="1:15">
      <c r="A745" s="122" t="s">
        <v>1777</v>
      </c>
      <c r="B745" s="189" t="str">
        <f>_xlfn.XLOOKUP(F745,品番!B:B,品番!G:G)</f>
        <v>J7B.J10B</v>
      </c>
      <c r="C745" s="189" t="str">
        <f>_xlfn.XLOOKUP(F745,品番!B:B,品番!C:C)</f>
        <v>サービスツール</v>
      </c>
      <c r="D745" s="189">
        <f>_xlfn.XLOOKUP(F745,品番!B:B,品番!D:D)</f>
        <v>0</v>
      </c>
      <c r="E745" s="179" t="s">
        <v>1797</v>
      </c>
      <c r="F745" s="180" t="s">
        <v>1775</v>
      </c>
      <c r="G745" s="181">
        <v>2</v>
      </c>
      <c r="H745" s="122" t="s">
        <v>1699</v>
      </c>
      <c r="K745" s="142" t="s">
        <v>1799</v>
      </c>
      <c r="M745" s="266" t="str" cm="1">
        <f t="array" ref="M745">_xlfn.TEXTJOIN(",", TRUE, _xlfn._xlws.FILTER(適用号機!D:D, (適用号機!B:B=改定!F745)*(適用号機!C:C=改定!G745), ""))</f>
        <v/>
      </c>
      <c r="N745" s="142" t="str">
        <f t="shared" si="14"/>
        <v>03701-00066-02</v>
      </c>
      <c r="O745" s="122" t="s">
        <v>47</v>
      </c>
    </row>
    <row r="746" spans="1:15">
      <c r="A746" s="122" t="s">
        <v>1777</v>
      </c>
      <c r="B746" s="189" t="str">
        <f>_xlfn.XLOOKUP(F746,品番!B:B,品番!G:G)</f>
        <v>J7B.J10B</v>
      </c>
      <c r="C746" s="189" t="str">
        <f>_xlfn.XLOOKUP(F746,品番!B:B,品番!C:C)</f>
        <v>サービスツール</v>
      </c>
      <c r="D746" s="189">
        <f>_xlfn.XLOOKUP(F746,品番!B:B,品番!D:D)</f>
        <v>0</v>
      </c>
      <c r="E746" s="179" t="s">
        <v>1798</v>
      </c>
      <c r="F746" s="180" t="s">
        <v>1775</v>
      </c>
      <c r="G746" s="181">
        <v>3</v>
      </c>
      <c r="H746" s="122" t="s">
        <v>1795</v>
      </c>
      <c r="K746" s="142" t="s">
        <v>1799</v>
      </c>
      <c r="M746" s="266" t="str" cm="1">
        <f t="array" ref="M746">_xlfn.TEXTJOIN(",", TRUE, _xlfn._xlws.FILTER(適用号機!D:D, (適用号機!B:B=改定!F746)*(適用号機!C:C=改定!G746), ""))</f>
        <v/>
      </c>
      <c r="N746" s="142" t="str">
        <f t="shared" si="14"/>
        <v>03701-00066-03</v>
      </c>
      <c r="O746" s="122" t="s">
        <v>47</v>
      </c>
    </row>
    <row r="747" spans="1:15">
      <c r="A747" s="122" t="s">
        <v>1777</v>
      </c>
      <c r="B747" s="189" t="str">
        <f>_xlfn.XLOOKUP(F747,品番!B:B,品番!G:G)</f>
        <v>J7B.J10B</v>
      </c>
      <c r="C747" s="189" t="str">
        <f>_xlfn.XLOOKUP(F747,品番!B:B,品番!C:C)</f>
        <v>サービスツール</v>
      </c>
      <c r="D747" s="189">
        <f>_xlfn.XLOOKUP(F747,品番!B:B,品番!D:D)</f>
        <v>0</v>
      </c>
      <c r="E747" s="179" t="s">
        <v>1782</v>
      </c>
      <c r="F747" s="180" t="s">
        <v>1775</v>
      </c>
      <c r="G747" s="181">
        <v>4</v>
      </c>
      <c r="H747" s="122" t="s">
        <v>1685</v>
      </c>
      <c r="K747" s="142" t="s">
        <v>1791</v>
      </c>
      <c r="M747" s="266" t="str" cm="1">
        <f t="array" ref="M747">_xlfn.TEXTJOIN(",", TRUE, _xlfn._xlws.FILTER(適用号機!D:D, (適用号機!B:B=改定!F747)*(適用号機!C:C=改定!G747), ""))</f>
        <v/>
      </c>
      <c r="N747" s="142" t="str">
        <f t="shared" si="14"/>
        <v>03701-00066-04</v>
      </c>
      <c r="O747" s="122" t="s">
        <v>47</v>
      </c>
    </row>
    <row r="748" spans="1:15">
      <c r="A748" s="122" t="s">
        <v>1777</v>
      </c>
      <c r="B748" s="189" t="str">
        <f>_xlfn.XLOOKUP(F748,品番!B:B,品番!G:G)</f>
        <v>J7B.J10B</v>
      </c>
      <c r="C748" s="189" t="str">
        <f>_xlfn.XLOOKUP(F748,品番!B:B,品番!C:C)</f>
        <v>サービスツール</v>
      </c>
      <c r="D748" s="189">
        <f>_xlfn.XLOOKUP(F748,品番!B:B,品番!D:D)</f>
        <v>0</v>
      </c>
      <c r="E748" s="179" t="s">
        <v>1774</v>
      </c>
      <c r="F748" s="180" t="s">
        <v>1775</v>
      </c>
      <c r="G748" s="181">
        <v>5</v>
      </c>
      <c r="H748" s="122" t="s">
        <v>1881</v>
      </c>
      <c r="K748" s="142" t="s">
        <v>1880</v>
      </c>
      <c r="M748" s="266" t="str" cm="1">
        <f t="array" ref="M748">_xlfn.TEXTJOIN(",", TRUE, _xlfn._xlws.FILTER(適用号機!D:D, (適用号機!B:B=改定!F748)*(適用号機!C:C=改定!G748), ""))</f>
        <v/>
      </c>
      <c r="N748" s="142" t="str">
        <f t="shared" si="14"/>
        <v>03701-00066-05</v>
      </c>
      <c r="O748" s="122" t="s">
        <v>47</v>
      </c>
    </row>
    <row r="749" spans="1:15">
      <c r="A749" s="122" t="s">
        <v>1662</v>
      </c>
      <c r="B749" s="189" t="str">
        <f>_xlfn.XLOOKUP(F749,品番!B:B,品番!G:G)</f>
        <v>A25FG/A27AB</v>
      </c>
      <c r="C749" s="189" t="str">
        <f>_xlfn.XLOOKUP(F749,品番!B:B,品番!C:C)</f>
        <v>サービスツール</v>
      </c>
      <c r="D749" s="189">
        <f>_xlfn.XLOOKUP(F749,品番!B:B,品番!D:D)</f>
        <v>0</v>
      </c>
      <c r="E749" s="179" t="s">
        <v>1805</v>
      </c>
      <c r="F749" s="180" t="s">
        <v>1776</v>
      </c>
      <c r="G749" s="181">
        <v>0</v>
      </c>
      <c r="H749" s="122" t="s">
        <v>1800</v>
      </c>
      <c r="K749" s="142" t="s">
        <v>1814</v>
      </c>
      <c r="M749" s="266" t="str" cm="1">
        <f t="array" ref="M749">_xlfn.TEXTJOIN(",", TRUE, _xlfn._xlws.FILTER(適用号機!D:D, (適用号機!B:B=改定!F749)*(適用号機!C:C=改定!G749), ""))</f>
        <v/>
      </c>
      <c r="N749" s="142" t="str">
        <f t="shared" si="14"/>
        <v>05701-00058-00</v>
      </c>
      <c r="O749" s="122" t="s">
        <v>47</v>
      </c>
    </row>
    <row r="750" spans="1:15">
      <c r="A750" s="122" t="s">
        <v>1662</v>
      </c>
      <c r="B750" s="189" t="str">
        <f>_xlfn.XLOOKUP(F750,品番!B:B,品番!G:G)</f>
        <v>A25FG/A27AB</v>
      </c>
      <c r="C750" s="189" t="str">
        <f>_xlfn.XLOOKUP(F750,品番!B:B,品番!C:C)</f>
        <v>サービスツール</v>
      </c>
      <c r="D750" s="189">
        <f>_xlfn.XLOOKUP(F750,品番!B:B,品番!D:D)</f>
        <v>0</v>
      </c>
      <c r="E750" s="179" t="s">
        <v>1806</v>
      </c>
      <c r="F750" s="180" t="s">
        <v>1776</v>
      </c>
      <c r="G750" s="181">
        <v>1</v>
      </c>
      <c r="H750" s="122" t="s">
        <v>1788</v>
      </c>
      <c r="K750" s="142" t="s">
        <v>1882</v>
      </c>
      <c r="M750" s="266" t="str" cm="1">
        <f t="array" ref="M750">_xlfn.TEXTJOIN(",", TRUE, _xlfn._xlws.FILTER(適用号機!D:D, (適用号機!B:B=改定!F750)*(適用号機!C:C=改定!G750), ""))</f>
        <v/>
      </c>
      <c r="N750" s="142" t="str">
        <f t="shared" si="14"/>
        <v>05701-00058-01</v>
      </c>
      <c r="O750" s="122" t="s">
        <v>47</v>
      </c>
    </row>
    <row r="751" spans="1:15">
      <c r="A751" s="122" t="s">
        <v>1662</v>
      </c>
      <c r="B751" s="189" t="str">
        <f>_xlfn.XLOOKUP(F751,品番!B:B,品番!G:G)</f>
        <v>A25FG/A27AB</v>
      </c>
      <c r="C751" s="189" t="str">
        <f>_xlfn.XLOOKUP(F751,品番!B:B,品番!C:C)</f>
        <v>サービスツール</v>
      </c>
      <c r="D751" s="189">
        <f>_xlfn.XLOOKUP(F751,品番!B:B,品番!D:D)</f>
        <v>0</v>
      </c>
      <c r="E751" s="179" t="s">
        <v>1807</v>
      </c>
      <c r="F751" s="180" t="s">
        <v>1776</v>
      </c>
      <c r="G751" s="181">
        <v>2</v>
      </c>
      <c r="H751" s="122" t="s">
        <v>1571</v>
      </c>
      <c r="K751" s="142" t="s">
        <v>1883</v>
      </c>
      <c r="M751" s="266" t="str" cm="1">
        <f t="array" ref="M751">_xlfn.TEXTJOIN(",", TRUE, _xlfn._xlws.FILTER(適用号機!D:D, (適用号機!B:B=改定!F751)*(適用号機!C:C=改定!G751), ""))</f>
        <v/>
      </c>
      <c r="N751" s="142" t="str">
        <f t="shared" si="14"/>
        <v>05701-00058-02</v>
      </c>
      <c r="O751" s="122" t="s">
        <v>47</v>
      </c>
    </row>
    <row r="752" spans="1:15">
      <c r="A752" s="122" t="s">
        <v>1662</v>
      </c>
      <c r="B752" s="189" t="str">
        <f>_xlfn.XLOOKUP(F752,品番!B:B,品番!G:G)</f>
        <v>A25FG/A27AB</v>
      </c>
      <c r="C752" s="189" t="str">
        <f>_xlfn.XLOOKUP(F752,品番!B:B,品番!C:C)</f>
        <v>サービスツール</v>
      </c>
      <c r="D752" s="189">
        <f>_xlfn.XLOOKUP(F752,品番!B:B,品番!D:D)</f>
        <v>0</v>
      </c>
      <c r="E752" s="179" t="s">
        <v>1808</v>
      </c>
      <c r="F752" s="180" t="s">
        <v>1776</v>
      </c>
      <c r="G752" s="181">
        <v>3</v>
      </c>
      <c r="H752" s="122" t="s">
        <v>1789</v>
      </c>
      <c r="K752" s="142" t="s">
        <v>1815</v>
      </c>
      <c r="M752" s="266" t="str" cm="1">
        <f t="array" ref="M752">_xlfn.TEXTJOIN(",", TRUE, _xlfn._xlws.FILTER(適用号機!D:D, (適用号機!B:B=改定!F752)*(適用号機!C:C=改定!G752), ""))</f>
        <v/>
      </c>
      <c r="N752" s="142" t="str">
        <f t="shared" si="14"/>
        <v>05701-00058-03</v>
      </c>
      <c r="O752" s="122" t="s">
        <v>47</v>
      </c>
    </row>
    <row r="753" spans="1:15">
      <c r="A753" s="122" t="s">
        <v>1662</v>
      </c>
      <c r="B753" s="189" t="str">
        <f>_xlfn.XLOOKUP(F753,品番!B:B,品番!G:G)</f>
        <v>A25FG/A27AB</v>
      </c>
      <c r="C753" s="189" t="str">
        <f>_xlfn.XLOOKUP(F753,品番!B:B,品番!C:C)</f>
        <v>サービスツール</v>
      </c>
      <c r="D753" s="189">
        <f>_xlfn.XLOOKUP(F753,品番!B:B,品番!D:D)</f>
        <v>0</v>
      </c>
      <c r="E753" s="179" t="s">
        <v>1809</v>
      </c>
      <c r="F753" s="180" t="s">
        <v>1776</v>
      </c>
      <c r="G753" s="181">
        <v>4</v>
      </c>
      <c r="H753" s="122" t="s">
        <v>1801</v>
      </c>
      <c r="K753" s="142" t="s">
        <v>1816</v>
      </c>
      <c r="M753" s="266" t="str" cm="1">
        <f t="array" ref="M753">_xlfn.TEXTJOIN(",", TRUE, _xlfn._xlws.FILTER(適用号機!D:D, (適用号機!B:B=改定!F753)*(適用号機!C:C=改定!G753), ""))</f>
        <v/>
      </c>
      <c r="N753" s="142" t="str">
        <f t="shared" si="14"/>
        <v>05701-00058-04</v>
      </c>
      <c r="O753" s="122" t="s">
        <v>47</v>
      </c>
    </row>
    <row r="754" spans="1:15">
      <c r="A754" s="122" t="s">
        <v>1662</v>
      </c>
      <c r="B754" s="189" t="str">
        <f>_xlfn.XLOOKUP(F754,品番!B:B,品番!G:G)</f>
        <v>A25FG/A27AB</v>
      </c>
      <c r="C754" s="189" t="str">
        <f>_xlfn.XLOOKUP(F754,品番!B:B,品番!C:C)</f>
        <v>サービスツール</v>
      </c>
      <c r="D754" s="189">
        <f>_xlfn.XLOOKUP(F754,品番!B:B,品番!D:D)</f>
        <v>0</v>
      </c>
      <c r="E754" s="179" t="s">
        <v>1810</v>
      </c>
      <c r="F754" s="180" t="s">
        <v>1776</v>
      </c>
      <c r="G754" s="181">
        <v>5</v>
      </c>
      <c r="H754" s="122" t="s">
        <v>1802</v>
      </c>
      <c r="K754" s="142" t="s">
        <v>1884</v>
      </c>
      <c r="M754" s="266" t="str" cm="1">
        <f t="array" ref="M754">_xlfn.TEXTJOIN(",", TRUE, _xlfn._xlws.FILTER(適用号機!D:D, (適用号機!B:B=改定!F754)*(適用号機!C:C=改定!G754), ""))</f>
        <v/>
      </c>
      <c r="N754" s="142" t="str">
        <f t="shared" si="14"/>
        <v>05701-00058-05</v>
      </c>
      <c r="O754" s="122" t="s">
        <v>47</v>
      </c>
    </row>
    <row r="755" spans="1:15">
      <c r="A755" s="122" t="s">
        <v>1662</v>
      </c>
      <c r="B755" s="189" t="str">
        <f>_xlfn.XLOOKUP(F755,品番!B:B,品番!G:G)</f>
        <v>A25FG/A27AB</v>
      </c>
      <c r="C755" s="189" t="str">
        <f>_xlfn.XLOOKUP(F755,品番!B:B,品番!C:C)</f>
        <v>サービスツール</v>
      </c>
      <c r="D755" s="189">
        <f>_xlfn.XLOOKUP(F755,品番!B:B,品番!D:D)</f>
        <v>0</v>
      </c>
      <c r="E755" s="179" t="s">
        <v>1811</v>
      </c>
      <c r="F755" s="180" t="s">
        <v>1776</v>
      </c>
      <c r="G755" s="181">
        <v>6</v>
      </c>
      <c r="H755" s="122" t="s">
        <v>1803</v>
      </c>
      <c r="K755" s="142" t="s">
        <v>1817</v>
      </c>
      <c r="M755" s="266" t="str" cm="1">
        <f t="array" ref="M755">_xlfn.TEXTJOIN(",", TRUE, _xlfn._xlws.FILTER(適用号機!D:D, (適用号機!B:B=改定!F755)*(適用号機!C:C=改定!G755), ""))</f>
        <v/>
      </c>
      <c r="N755" s="142" t="str">
        <f t="shared" si="14"/>
        <v>05701-00058-06</v>
      </c>
      <c r="O755" s="122" t="s">
        <v>47</v>
      </c>
    </row>
    <row r="756" spans="1:15">
      <c r="A756" s="122" t="s">
        <v>1662</v>
      </c>
      <c r="B756" s="189" t="str">
        <f>_xlfn.XLOOKUP(F756,品番!B:B,品番!G:G)</f>
        <v>A25FG/A27AB</v>
      </c>
      <c r="C756" s="189" t="str">
        <f>_xlfn.XLOOKUP(F756,品番!B:B,品番!C:C)</f>
        <v>サービスツール</v>
      </c>
      <c r="D756" s="189">
        <f>_xlfn.XLOOKUP(F756,品番!B:B,品番!D:D)</f>
        <v>0</v>
      </c>
      <c r="E756" s="179" t="s">
        <v>1812</v>
      </c>
      <c r="F756" s="180" t="s">
        <v>1776</v>
      </c>
      <c r="G756" s="181">
        <v>7</v>
      </c>
      <c r="H756" s="122" t="s">
        <v>1684</v>
      </c>
      <c r="K756" s="142" t="s">
        <v>1818</v>
      </c>
      <c r="M756" s="266" t="str" cm="1">
        <f t="array" ref="M756">_xlfn.TEXTJOIN(",", TRUE, _xlfn._xlws.FILTER(適用号機!D:D, (適用号機!B:B=改定!F756)*(適用号機!C:C=改定!G756), ""))</f>
        <v/>
      </c>
      <c r="N756" s="142" t="str">
        <f t="shared" si="14"/>
        <v>05701-00058-07</v>
      </c>
      <c r="O756" s="122" t="s">
        <v>47</v>
      </c>
    </row>
    <row r="757" spans="1:15">
      <c r="A757" s="122" t="s">
        <v>1662</v>
      </c>
      <c r="B757" s="189" t="str">
        <f>_xlfn.XLOOKUP(F757,品番!B:B,品番!G:G)</f>
        <v>A25FG/A27AB</v>
      </c>
      <c r="C757" s="189" t="str">
        <f>_xlfn.XLOOKUP(F757,品番!B:B,品番!C:C)</f>
        <v>サービスツール</v>
      </c>
      <c r="D757" s="189">
        <f>_xlfn.XLOOKUP(F757,品番!B:B,品番!D:D)</f>
        <v>0</v>
      </c>
      <c r="E757" s="179" t="s">
        <v>1813</v>
      </c>
      <c r="F757" s="180" t="s">
        <v>1776</v>
      </c>
      <c r="G757" s="181">
        <v>8</v>
      </c>
      <c r="H757" s="122" t="s">
        <v>1696</v>
      </c>
      <c r="K757" s="142" t="s">
        <v>1885</v>
      </c>
      <c r="M757" s="266" t="str" cm="1">
        <f t="array" ref="M757">_xlfn.TEXTJOIN(",", TRUE, _xlfn._xlws.FILTER(適用号機!D:D, (適用号機!B:B=改定!F757)*(適用号機!C:C=改定!G757), ""))</f>
        <v/>
      </c>
      <c r="N757" s="142" t="str">
        <f t="shared" si="14"/>
        <v>05701-00058-08</v>
      </c>
      <c r="O757" s="122" t="s">
        <v>47</v>
      </c>
    </row>
    <row r="758" spans="1:15">
      <c r="A758" s="122" t="s">
        <v>1662</v>
      </c>
      <c r="B758" s="189" t="str">
        <f>_xlfn.XLOOKUP(F758,品番!B:B,品番!G:G)</f>
        <v>A25FG/A27AB</v>
      </c>
      <c r="C758" s="189" t="str">
        <f>_xlfn.XLOOKUP(F758,品番!B:B,品番!C:C)</f>
        <v>サービスツール</v>
      </c>
      <c r="D758" s="189">
        <f>_xlfn.XLOOKUP(F758,品番!B:B,品番!D:D)</f>
        <v>0</v>
      </c>
      <c r="E758" s="179" t="s">
        <v>1780</v>
      </c>
      <c r="F758" s="180" t="s">
        <v>1776</v>
      </c>
      <c r="G758" s="181">
        <v>9</v>
      </c>
      <c r="H758" s="122" t="s">
        <v>1804</v>
      </c>
      <c r="K758" s="142" t="s">
        <v>1787</v>
      </c>
      <c r="M758" s="266" t="str" cm="1">
        <f t="array" ref="M758">_xlfn.TEXTJOIN(",", TRUE, _xlfn._xlws.FILTER(適用号機!D:D, (適用号機!B:B=改定!F758)*(適用号機!C:C=改定!G758), ""))</f>
        <v/>
      </c>
      <c r="N758" s="142" t="str">
        <f t="shared" si="14"/>
        <v>05701-00058-09</v>
      </c>
      <c r="O758" s="122" t="s">
        <v>47</v>
      </c>
    </row>
    <row r="759" spans="1:15">
      <c r="A759" s="122" t="s">
        <v>1662</v>
      </c>
      <c r="B759" s="189" t="str">
        <f>_xlfn.XLOOKUP(F759,品番!B:B,品番!G:G)</f>
        <v>A25FG/A27AB</v>
      </c>
      <c r="C759" s="189" t="str">
        <f>_xlfn.XLOOKUP(F759,品番!B:B,品番!C:C)</f>
        <v>サービスツール</v>
      </c>
      <c r="D759" s="189">
        <f>_xlfn.XLOOKUP(F759,品番!B:B,品番!D:D)</f>
        <v>0</v>
      </c>
      <c r="E759" s="179" t="s">
        <v>1774</v>
      </c>
      <c r="F759" s="180" t="s">
        <v>1776</v>
      </c>
      <c r="G759" s="181">
        <v>10</v>
      </c>
      <c r="H759" s="122" t="s">
        <v>1790</v>
      </c>
      <c r="K759" s="142" t="s">
        <v>1880</v>
      </c>
      <c r="M759" s="266" t="str" cm="1">
        <f t="array" ref="M759">_xlfn.TEXTJOIN(",", TRUE, _xlfn._xlws.FILTER(適用号機!D:D, (適用号機!B:B=改定!F759)*(適用号機!C:C=改定!G759), ""))</f>
        <v/>
      </c>
      <c r="N759" s="142" t="str">
        <f t="shared" si="14"/>
        <v>05701-00058-10</v>
      </c>
      <c r="O759" s="122" t="s">
        <v>47</v>
      </c>
    </row>
    <row r="760" spans="1:15">
      <c r="A760" s="122" t="s">
        <v>1822</v>
      </c>
      <c r="B760" s="189" t="str">
        <f>_xlfn.XLOOKUP(F760,品番!B:B,品番!G:G)</f>
        <v>E3F(CBN)</v>
      </c>
      <c r="C760" s="189" t="str">
        <f>_xlfn.XLOOKUP(F760,品番!B:B,品番!C:C)</f>
        <v>コントローラ</v>
      </c>
      <c r="D760" s="189" t="str">
        <f>_xlfn.XLOOKUP(F760,品番!B:B,品番!D:D)</f>
        <v>メイン</v>
      </c>
      <c r="E760" s="179" t="s">
        <v>1821</v>
      </c>
      <c r="F760" s="180" t="s">
        <v>181</v>
      </c>
      <c r="G760" s="181">
        <v>2</v>
      </c>
      <c r="H760" s="122" t="s">
        <v>1819</v>
      </c>
      <c r="K760" s="142" t="s">
        <v>1823</v>
      </c>
      <c r="M760" s="266" t="str" cm="1">
        <f t="array" ref="M760">_xlfn.TEXTJOIN(",", TRUE, _xlfn._xlws.FILTER(適用号機!D:D, (適用号機!B:B=改定!F760)*(適用号機!C:C=改定!G760), ""))</f>
        <v/>
      </c>
      <c r="N760" s="142" t="str">
        <f t="shared" si="14"/>
        <v>03342-00130-02</v>
      </c>
      <c r="O760" s="122" t="s">
        <v>1829</v>
      </c>
    </row>
    <row r="761" spans="1:15">
      <c r="A761" s="122" t="s">
        <v>1822</v>
      </c>
      <c r="B761" s="189" t="str">
        <f>_xlfn.XLOOKUP(F761,品番!B:B,品番!G:G)</f>
        <v>E3F</v>
      </c>
      <c r="C761" s="189" t="str">
        <f>_xlfn.XLOOKUP(F761,品番!B:B,品番!C:C)</f>
        <v>コントローラ</v>
      </c>
      <c r="D761" s="189" t="str">
        <f>_xlfn.XLOOKUP(F761,品番!B:B,品番!D:D)</f>
        <v>メイン</v>
      </c>
      <c r="E761" s="179" t="s">
        <v>1821</v>
      </c>
      <c r="F761" s="180" t="s">
        <v>1259</v>
      </c>
      <c r="G761" s="181">
        <v>1</v>
      </c>
      <c r="H761" s="122" t="s">
        <v>1820</v>
      </c>
      <c r="K761" s="142" t="s">
        <v>1824</v>
      </c>
      <c r="M761" s="266" t="str" cm="1">
        <f t="array" ref="M761">_xlfn.TEXTJOIN(",", TRUE, _xlfn._xlws.FILTER(適用号機!D:D, (適用号機!B:B=改定!F761)*(適用号機!C:C=改定!G761), ""))</f>
        <v/>
      </c>
      <c r="N761" s="142" t="str">
        <f t="shared" si="14"/>
        <v>03342-00535-01</v>
      </c>
      <c r="O761" s="122" t="s">
        <v>1829</v>
      </c>
    </row>
    <row r="762" spans="1:15">
      <c r="A762" s="122" t="s">
        <v>1830</v>
      </c>
      <c r="B762" s="189" t="str">
        <f>_xlfn.XLOOKUP(F762,品番!B:B,品番!G:G)</f>
        <v>C9-5</v>
      </c>
      <c r="C762" s="189" t="str">
        <f>_xlfn.XLOOKUP(F762,品番!B:B,品番!C:C)</f>
        <v>サービスツール</v>
      </c>
      <c r="D762" s="189">
        <f>_xlfn.XLOOKUP(F762,品番!B:B,品番!D:D)</f>
        <v>0</v>
      </c>
      <c r="E762" s="179" t="s">
        <v>1827</v>
      </c>
      <c r="F762" s="180" t="s">
        <v>1825</v>
      </c>
      <c r="G762" s="181">
        <v>0</v>
      </c>
      <c r="H762" s="122" t="s">
        <v>1828</v>
      </c>
      <c r="K762" s="142" t="s">
        <v>1826</v>
      </c>
      <c r="M762" s="266" t="str" cm="1">
        <f t="array" ref="M762">_xlfn.TEXTJOIN(",", TRUE, _xlfn._xlws.FILTER(適用号機!D:D, (適用号機!B:B=改定!F762)*(適用号機!C:C=改定!G762), ""))</f>
        <v/>
      </c>
      <c r="N762" s="142" t="str">
        <f t="shared" si="14"/>
        <v>07101-00026-00</v>
      </c>
      <c r="O762" s="122" t="s">
        <v>1829</v>
      </c>
    </row>
    <row r="763" spans="1:15">
      <c r="A763" s="122" t="s">
        <v>1388</v>
      </c>
      <c r="B763" s="189" t="str">
        <f>_xlfn.XLOOKUP(F763,品番!B:B,品番!G:G)</f>
        <v>A27C</v>
      </c>
      <c r="C763" s="189" t="str">
        <f>_xlfn.XLOOKUP(F763,品番!B:B,品番!C:C)</f>
        <v>コントローラ</v>
      </c>
      <c r="D763" s="189" t="str">
        <f>_xlfn.XLOOKUP(F763,品番!B:B,品番!D:D)</f>
        <v>メイン</v>
      </c>
      <c r="E763" s="179" t="s">
        <v>1833</v>
      </c>
      <c r="F763" s="180" t="s">
        <v>1832</v>
      </c>
      <c r="G763" s="181">
        <v>2</v>
      </c>
      <c r="H763" s="122" t="s">
        <v>1834</v>
      </c>
      <c r="K763" s="142" t="s">
        <v>1835</v>
      </c>
      <c r="M763" s="266" t="str" cm="1">
        <f t="array" ref="M763">_xlfn.TEXTJOIN(",", TRUE, _xlfn._xlws.FILTER(適用号機!D:D, (適用号機!B:B=改定!F763)*(適用号機!C:C=改定!G763), ""))</f>
        <v>A27C</v>
      </c>
      <c r="N763" s="142" t="str">
        <f t="shared" si="14"/>
        <v>05742-00550-02</v>
      </c>
      <c r="O763" s="122" t="s">
        <v>47</v>
      </c>
    </row>
    <row r="764" spans="1:15">
      <c r="A764" s="122" t="s">
        <v>197</v>
      </c>
      <c r="B764" s="189" t="str">
        <f>_xlfn.XLOOKUP(F764,品番!B:B,品番!G:G)</f>
        <v>J7B/J10B</v>
      </c>
      <c r="C764" s="189" t="str">
        <f>_xlfn.XLOOKUP(F764,品番!B:B,品番!C:C)</f>
        <v>ディスプレイ</v>
      </c>
      <c r="D764" s="189">
        <f>_xlfn.XLOOKUP(F764,品番!B:B,品番!D:D)</f>
        <v>0</v>
      </c>
      <c r="E764" s="179" t="s">
        <v>1886</v>
      </c>
      <c r="F764" s="187" t="s">
        <v>1840</v>
      </c>
      <c r="G764" s="181">
        <v>0</v>
      </c>
      <c r="H764" s="122" t="s">
        <v>1907</v>
      </c>
      <c r="M764" s="266" t="str" cm="1">
        <f t="array" ref="M764">_xlfn.TEXTJOIN(",", TRUE, _xlfn._xlws.FILTER(適用号機!D:D, (適用号機!B:B=改定!F764)*(適用号機!C:C=改定!G764), ""))</f>
        <v>J7B,J10B</v>
      </c>
      <c r="N764" s="142" t="str">
        <f t="shared" si="14"/>
        <v>17301-43820-00</v>
      </c>
      <c r="O764" s="122" t="s">
        <v>47</v>
      </c>
    </row>
    <row r="765" spans="1:15">
      <c r="A765" s="122" t="s">
        <v>197</v>
      </c>
      <c r="B765" s="189" t="str">
        <f>_xlfn.XLOOKUP(F765,品番!B:B,品番!G:G)</f>
        <v>J7B/J10B</v>
      </c>
      <c r="C765" s="189" t="str">
        <f>_xlfn.XLOOKUP(F765,品番!B:B,品番!C:C)</f>
        <v>ディスプレイ</v>
      </c>
      <c r="D765" s="189">
        <f>_xlfn.XLOOKUP(F765,品番!B:B,品番!D:D)</f>
        <v>0</v>
      </c>
      <c r="E765" s="179" t="s">
        <v>1887</v>
      </c>
      <c r="F765" s="187" t="s">
        <v>1840</v>
      </c>
      <c r="G765" s="181">
        <v>1</v>
      </c>
      <c r="H765" s="122" t="s">
        <v>1907</v>
      </c>
      <c r="K765" s="142" t="s">
        <v>1894</v>
      </c>
      <c r="M765" s="266" t="str" cm="1">
        <f t="array" ref="M765">_xlfn.TEXTJOIN(",", TRUE, _xlfn._xlws.FILTER(適用号機!D:D, (適用号機!B:B=改定!F765)*(適用号機!C:C=改定!G765), ""))</f>
        <v>J7B,J10B</v>
      </c>
      <c r="N765" s="142" t="str">
        <f t="shared" si="14"/>
        <v>17301-43820-01</v>
      </c>
      <c r="O765" s="122" t="s">
        <v>47</v>
      </c>
    </row>
    <row r="766" spans="1:15">
      <c r="A766" s="122" t="s">
        <v>197</v>
      </c>
      <c r="B766" s="189" t="str">
        <f>_xlfn.XLOOKUP(F766,品番!B:B,品番!G:G)</f>
        <v>J7B/J10B</v>
      </c>
      <c r="C766" s="189" t="str">
        <f>_xlfn.XLOOKUP(F766,品番!B:B,品番!C:C)</f>
        <v>ディスプレイ</v>
      </c>
      <c r="D766" s="189">
        <f>_xlfn.XLOOKUP(F766,品番!B:B,品番!D:D)</f>
        <v>0</v>
      </c>
      <c r="E766" s="179" t="s">
        <v>1888</v>
      </c>
      <c r="F766" s="187" t="s">
        <v>1840</v>
      </c>
      <c r="G766" s="181">
        <v>2</v>
      </c>
      <c r="H766" s="122" t="s">
        <v>1907</v>
      </c>
      <c r="K766" s="142" t="s">
        <v>1895</v>
      </c>
      <c r="M766" s="266" t="str" cm="1">
        <f t="array" ref="M766">_xlfn.TEXTJOIN(",", TRUE, _xlfn._xlws.FILTER(適用号機!D:D, (適用号機!B:B=改定!F766)*(適用号機!C:C=改定!G766), ""))</f>
        <v>J10B</v>
      </c>
      <c r="N766" s="142" t="str">
        <f t="shared" ref="N766:N816" si="15">F766 &amp;"-" &amp; TEXT(G766,"00")</f>
        <v>17301-43820-02</v>
      </c>
      <c r="O766" s="122" t="s">
        <v>47</v>
      </c>
    </row>
    <row r="767" spans="1:15">
      <c r="A767" s="122" t="s">
        <v>197</v>
      </c>
      <c r="B767" s="189" t="str">
        <f>_xlfn.XLOOKUP(F767,品番!B:B,品番!G:G)</f>
        <v>J7B/J10B</v>
      </c>
      <c r="C767" s="189" t="str">
        <f>_xlfn.XLOOKUP(F767,品番!B:B,品番!C:C)</f>
        <v>ディスプレイ</v>
      </c>
      <c r="D767" s="189">
        <f>_xlfn.XLOOKUP(F767,品番!B:B,品番!D:D)</f>
        <v>0</v>
      </c>
      <c r="E767" s="179" t="s">
        <v>1889</v>
      </c>
      <c r="F767" s="187" t="s">
        <v>1840</v>
      </c>
      <c r="G767" s="181">
        <v>3</v>
      </c>
      <c r="H767" s="122" t="s">
        <v>1712</v>
      </c>
      <c r="K767" s="142" t="s">
        <v>1896</v>
      </c>
      <c r="M767" s="266" t="str" cm="1">
        <f t="array" ref="M767">_xlfn.TEXTJOIN(",", TRUE, _xlfn._xlws.FILTER(適用号機!D:D, (適用号機!B:B=改定!F767)*(適用号機!C:C=改定!G767), ""))</f>
        <v>J7B,J10B</v>
      </c>
      <c r="N767" s="142" t="str">
        <f t="shared" si="15"/>
        <v>17301-43820-03</v>
      </c>
      <c r="O767" s="122" t="s">
        <v>47</v>
      </c>
    </row>
    <row r="768" spans="1:15">
      <c r="A768" s="122" t="s">
        <v>197</v>
      </c>
      <c r="B768" s="189" t="str">
        <f>_xlfn.XLOOKUP(F768,品番!B:B,品番!G:G)</f>
        <v>J7B/J10B</v>
      </c>
      <c r="C768" s="189" t="str">
        <f>_xlfn.XLOOKUP(F768,品番!B:B,品番!C:C)</f>
        <v>ディスプレイ</v>
      </c>
      <c r="D768" s="189">
        <f>_xlfn.XLOOKUP(F768,品番!B:B,品番!D:D)</f>
        <v>0</v>
      </c>
      <c r="E768" s="179" t="s">
        <v>1890</v>
      </c>
      <c r="F768" s="187" t="s">
        <v>1840</v>
      </c>
      <c r="G768" s="181">
        <v>4</v>
      </c>
      <c r="H768" s="122" t="s">
        <v>1908</v>
      </c>
      <c r="K768" s="142" t="s">
        <v>1909</v>
      </c>
      <c r="M768" s="266" t="str" cm="1">
        <f t="array" ref="M768">_xlfn.TEXTJOIN(",", TRUE, _xlfn._xlws.FILTER(適用号機!D:D, (適用号機!B:B=改定!F768)*(適用号機!C:C=改定!G768), ""))</f>
        <v>J7B,J10B</v>
      </c>
      <c r="N768" s="142" t="str">
        <f t="shared" si="15"/>
        <v>17301-43820-04</v>
      </c>
      <c r="O768" s="122" t="s">
        <v>47</v>
      </c>
    </row>
    <row r="769" spans="1:15" ht="27">
      <c r="A769" s="122" t="s">
        <v>197</v>
      </c>
      <c r="B769" s="189" t="str">
        <f>_xlfn.XLOOKUP(F769,品番!B:B,品番!G:G)</f>
        <v>J7B/J10B</v>
      </c>
      <c r="C769" s="189" t="str">
        <f>_xlfn.XLOOKUP(F769,品番!B:B,品番!C:C)</f>
        <v>ディスプレイ</v>
      </c>
      <c r="D769" s="189">
        <f>_xlfn.XLOOKUP(F769,品番!B:B,品番!D:D)</f>
        <v>0</v>
      </c>
      <c r="E769" s="179" t="s">
        <v>1891</v>
      </c>
      <c r="F769" s="187" t="s">
        <v>1840</v>
      </c>
      <c r="G769" s="181">
        <v>5</v>
      </c>
      <c r="H769" s="122" t="s">
        <v>1910</v>
      </c>
      <c r="K769" s="186" t="s">
        <v>1897</v>
      </c>
      <c r="M769" s="266" t="str" cm="1">
        <f t="array" ref="M769">_xlfn.TEXTJOIN(",", TRUE, _xlfn._xlws.FILTER(適用号機!D:D, (適用号機!B:B=改定!F769)*(適用号機!C:C=改定!G769), ""))</f>
        <v>J7B,J10B</v>
      </c>
      <c r="N769" s="142" t="str">
        <f t="shared" si="15"/>
        <v>17301-43820-05</v>
      </c>
      <c r="O769" s="122" t="s">
        <v>47</v>
      </c>
    </row>
    <row r="770" spans="1:15">
      <c r="A770" s="122" t="s">
        <v>197</v>
      </c>
      <c r="B770" s="189" t="str">
        <f>_xlfn.XLOOKUP(F770,品番!B:B,品番!G:G)</f>
        <v>J7B/J10B</v>
      </c>
      <c r="C770" s="189" t="str">
        <f>_xlfn.XLOOKUP(F770,品番!B:B,品番!C:C)</f>
        <v>ディスプレイ</v>
      </c>
      <c r="D770" s="189">
        <f>_xlfn.XLOOKUP(F770,品番!B:B,品番!D:D)</f>
        <v>0</v>
      </c>
      <c r="E770" s="179" t="s">
        <v>1892</v>
      </c>
      <c r="F770" s="187" t="s">
        <v>1840</v>
      </c>
      <c r="G770" s="181">
        <v>6</v>
      </c>
      <c r="H770" s="122" t="s">
        <v>1905</v>
      </c>
      <c r="K770" s="142" t="s">
        <v>1898</v>
      </c>
      <c r="M770" s="266" t="str" cm="1">
        <f t="array" ref="M770">_xlfn.TEXTJOIN(",", TRUE, _xlfn._xlws.FILTER(適用号機!D:D, (適用号機!B:B=改定!F770)*(適用号機!C:C=改定!G770), ""))</f>
        <v>J7B,J10B</v>
      </c>
      <c r="N770" s="142" t="str">
        <f t="shared" si="15"/>
        <v>17301-43820-06</v>
      </c>
      <c r="O770" s="122" t="s">
        <v>47</v>
      </c>
    </row>
    <row r="771" spans="1:15">
      <c r="A771" s="122" t="s">
        <v>197</v>
      </c>
      <c r="B771" s="189" t="str">
        <f>_xlfn.XLOOKUP(F771,品番!B:B,品番!G:G)</f>
        <v>J7B/J10B</v>
      </c>
      <c r="C771" s="189" t="str">
        <f>_xlfn.XLOOKUP(F771,品番!B:B,品番!C:C)</f>
        <v>ディスプレイ</v>
      </c>
      <c r="D771" s="189">
        <f>_xlfn.XLOOKUP(F771,品番!B:B,品番!D:D)</f>
        <v>0</v>
      </c>
      <c r="E771" s="179" t="s">
        <v>1893</v>
      </c>
      <c r="F771" s="187" t="s">
        <v>1840</v>
      </c>
      <c r="G771" s="181">
        <v>7</v>
      </c>
      <c r="H771" s="122" t="s">
        <v>1911</v>
      </c>
      <c r="K771" s="142" t="s">
        <v>1899</v>
      </c>
      <c r="M771" s="266" t="str" cm="1">
        <f t="array" ref="M771">_xlfn.TEXTJOIN(",", TRUE, _xlfn._xlws.FILTER(適用号機!D:D, (適用号機!B:B=改定!F771)*(適用号機!C:C=改定!G771), ""))</f>
        <v>J7B,J10B</v>
      </c>
      <c r="N771" s="142" t="str">
        <f t="shared" si="15"/>
        <v>17301-43820-07</v>
      </c>
      <c r="O771" s="122" t="s">
        <v>47</v>
      </c>
    </row>
    <row r="772" spans="1:15">
      <c r="A772" s="122" t="s">
        <v>197</v>
      </c>
      <c r="B772" s="189" t="str">
        <f>_xlfn.XLOOKUP(F772,品番!B:B,品番!G:G)</f>
        <v>J7B/J10B</v>
      </c>
      <c r="C772" s="189" t="str">
        <f>_xlfn.XLOOKUP(F772,品番!B:B,品番!C:C)</f>
        <v>ディスプレイ</v>
      </c>
      <c r="D772" s="189">
        <f>_xlfn.XLOOKUP(F772,品番!B:B,品番!D:D)</f>
        <v>0</v>
      </c>
      <c r="E772" s="179" t="s">
        <v>1900</v>
      </c>
      <c r="F772" s="172" t="s">
        <v>1842</v>
      </c>
      <c r="G772" s="181">
        <v>0</v>
      </c>
      <c r="K772" s="142" t="s">
        <v>1903</v>
      </c>
      <c r="M772" s="266" t="str" cm="1">
        <f t="array" ref="M772">_xlfn.TEXTJOIN(",", TRUE, _xlfn._xlws.FILTER(適用号機!D:D, (適用号機!B:B=改定!F772)*(適用号機!C:C=改定!G772), ""))</f>
        <v>J7B,J10B</v>
      </c>
      <c r="N772" s="142" t="str">
        <f t="shared" si="15"/>
        <v>17301-43821-00</v>
      </c>
      <c r="O772" s="122" t="s">
        <v>47</v>
      </c>
    </row>
    <row r="773" spans="1:15">
      <c r="A773" s="122" t="s">
        <v>197</v>
      </c>
      <c r="B773" s="189" t="str">
        <f>_xlfn.XLOOKUP(F773,品番!B:B,品番!G:G)</f>
        <v>J7B/J10B</v>
      </c>
      <c r="C773" s="189" t="str">
        <f>_xlfn.XLOOKUP(F773,品番!B:B,品番!C:C)</f>
        <v>ディスプレイ</v>
      </c>
      <c r="D773" s="189">
        <f>_xlfn.XLOOKUP(F773,品番!B:B,品番!D:D)</f>
        <v>0</v>
      </c>
      <c r="E773" s="179" t="s">
        <v>1901</v>
      </c>
      <c r="F773" s="172" t="s">
        <v>1842</v>
      </c>
      <c r="G773" s="181">
        <v>1</v>
      </c>
      <c r="K773" s="142" t="s">
        <v>1904</v>
      </c>
      <c r="M773" s="266" t="str" cm="1">
        <f t="array" ref="M773">_xlfn.TEXTJOIN(",", TRUE, _xlfn._xlws.FILTER(適用号機!D:D, (適用号機!B:B=改定!F773)*(適用号機!C:C=改定!G773), ""))</f>
        <v>J7B,J10B</v>
      </c>
      <c r="N773" s="142" t="str">
        <f t="shared" si="15"/>
        <v>17301-43821-01</v>
      </c>
      <c r="O773" s="122" t="s">
        <v>47</v>
      </c>
    </row>
    <row r="774" spans="1:15">
      <c r="A774" s="122" t="s">
        <v>197</v>
      </c>
      <c r="B774" s="189" t="str">
        <f>_xlfn.XLOOKUP(F774,品番!B:B,品番!G:G)</f>
        <v>J7B/J10B</v>
      </c>
      <c r="C774" s="189" t="str">
        <f>_xlfn.XLOOKUP(F774,品番!B:B,品番!C:C)</f>
        <v>ディスプレイ</v>
      </c>
      <c r="D774" s="189">
        <f>_xlfn.XLOOKUP(F774,品番!B:B,品番!D:D)</f>
        <v>0</v>
      </c>
      <c r="E774" s="179" t="s">
        <v>1892</v>
      </c>
      <c r="F774" s="172" t="s">
        <v>1842</v>
      </c>
      <c r="G774" s="181">
        <v>2</v>
      </c>
      <c r="H774" s="122" t="s">
        <v>1712</v>
      </c>
      <c r="K774" s="142" t="s">
        <v>1898</v>
      </c>
      <c r="M774" s="266" t="str" cm="1">
        <f t="array" ref="M774">_xlfn.TEXTJOIN(",", TRUE, _xlfn._xlws.FILTER(適用号機!D:D, (適用号機!B:B=改定!F774)*(適用号機!C:C=改定!G774), ""))</f>
        <v>J7B,J10B</v>
      </c>
      <c r="N774" s="142" t="str">
        <f t="shared" si="15"/>
        <v>17301-43821-02</v>
      </c>
      <c r="O774" s="122" t="s">
        <v>47</v>
      </c>
    </row>
    <row r="775" spans="1:15">
      <c r="A775" s="122" t="s">
        <v>197</v>
      </c>
      <c r="B775" s="189" t="str">
        <f>_xlfn.XLOOKUP(F775,品番!B:B,品番!G:G)</f>
        <v>J7B/J10B</v>
      </c>
      <c r="C775" s="189" t="str">
        <f>_xlfn.XLOOKUP(F775,品番!B:B,品番!C:C)</f>
        <v>ディスプレイ</v>
      </c>
      <c r="D775" s="189">
        <f>_xlfn.XLOOKUP(F775,品番!B:B,品番!D:D)</f>
        <v>0</v>
      </c>
      <c r="E775" s="179" t="s">
        <v>1902</v>
      </c>
      <c r="F775" s="172" t="s">
        <v>1842</v>
      </c>
      <c r="G775" s="181">
        <v>3</v>
      </c>
      <c r="H775" s="122" t="s">
        <v>1908</v>
      </c>
      <c r="K775" s="142" t="s">
        <v>1899</v>
      </c>
      <c r="M775" s="266" t="str" cm="1">
        <f t="array" ref="M775">_xlfn.TEXTJOIN(",", TRUE, _xlfn._xlws.FILTER(適用号機!D:D, (適用号機!B:B=改定!F775)*(適用号機!C:C=改定!G775), ""))</f>
        <v>J7B,J10B</v>
      </c>
      <c r="N775" s="142" t="str">
        <f t="shared" si="15"/>
        <v>17301-43821-03</v>
      </c>
      <c r="O775" s="122" t="s">
        <v>47</v>
      </c>
    </row>
    <row r="776" spans="1:15">
      <c r="A776" s="122" t="s">
        <v>1920</v>
      </c>
      <c r="B776" s="189" t="str">
        <f>_xlfn.XLOOKUP(F776,品番!B:B,品番!G:G)</f>
        <v>C9-5/C10-5</v>
      </c>
      <c r="C776" s="189" t="str">
        <f>_xlfn.XLOOKUP(F776,品番!B:B,品番!C:C)</f>
        <v>ディスプレイ</v>
      </c>
      <c r="D776" s="189">
        <f>_xlfn.XLOOKUP(F776,品番!B:B,品番!D:D)</f>
        <v>0</v>
      </c>
      <c r="E776" s="179" t="s">
        <v>1918</v>
      </c>
      <c r="F776" s="172" t="s">
        <v>1379</v>
      </c>
      <c r="G776" s="181">
        <v>0</v>
      </c>
      <c r="K776" s="142" t="s">
        <v>1927</v>
      </c>
      <c r="M776" s="266" t="str" cm="1">
        <f t="array" ref="M776">_xlfn.TEXTJOIN(",", TRUE, _xlfn._xlws.FILTER(適用号機!D:D, (適用号機!B:B=改定!F776)*(適用号機!C:C=改定!G776), ""))</f>
        <v>C10-5,C9-5</v>
      </c>
      <c r="N776" s="142" t="str">
        <f t="shared" si="15"/>
        <v>17301-43695-00</v>
      </c>
      <c r="O776" s="122" t="s">
        <v>47</v>
      </c>
    </row>
    <row r="777" spans="1:15">
      <c r="A777" s="122" t="s">
        <v>1920</v>
      </c>
      <c r="B777" s="189" t="str">
        <f>_xlfn.XLOOKUP(F777,品番!B:B,品番!G:G)</f>
        <v>C9-5/C10-5</v>
      </c>
      <c r="C777" s="189" t="str">
        <f>_xlfn.XLOOKUP(F777,品番!B:B,品番!C:C)</f>
        <v>ディスプレイ</v>
      </c>
      <c r="D777" s="189">
        <f>_xlfn.XLOOKUP(F777,品番!B:B,品番!D:D)</f>
        <v>0</v>
      </c>
      <c r="E777" s="179" t="s">
        <v>1919</v>
      </c>
      <c r="F777" s="172" t="s">
        <v>1379</v>
      </c>
      <c r="G777" s="181">
        <v>1</v>
      </c>
      <c r="K777" s="142" t="s">
        <v>1928</v>
      </c>
      <c r="M777" s="266" t="str" cm="1">
        <f t="array" ref="M777">_xlfn.TEXTJOIN(",", TRUE, _xlfn._xlws.FILTER(適用号機!D:D, (適用号機!B:B=改定!F777)*(適用号機!C:C=改定!G777), ""))</f>
        <v>C10-5,C9-5</v>
      </c>
      <c r="N777" s="142" t="str">
        <f t="shared" si="15"/>
        <v>17301-43695-01</v>
      </c>
      <c r="O777" s="122" t="s">
        <v>47</v>
      </c>
    </row>
    <row r="778" spans="1:15">
      <c r="B778" s="189">
        <f>_xlfn.XLOOKUP(F778,品番!B:B,品番!G:G)</f>
        <v>0</v>
      </c>
      <c r="C778" s="189" t="str">
        <f>_xlfn.XLOOKUP(F778,品番!B:B,品番!C:C)</f>
        <v>ディスプレイ</v>
      </c>
      <c r="D778" s="189">
        <f>_xlfn.XLOOKUP(F778,品番!B:B,品番!D:D)</f>
        <v>0</v>
      </c>
      <c r="E778" s="179" t="s">
        <v>1924</v>
      </c>
      <c r="F778" s="180" t="s">
        <v>1923</v>
      </c>
      <c r="G778" s="181">
        <v>0</v>
      </c>
      <c r="H778" s="122" t="s">
        <v>1949</v>
      </c>
      <c r="K778" s="142" t="s">
        <v>1927</v>
      </c>
      <c r="M778" s="266" t="str" cm="1">
        <f t="array" ref="M778">_xlfn.TEXTJOIN(",", TRUE, _xlfn._xlws.FILTER(適用号機!D:D, (適用号機!B:B=改定!F778)*(適用号機!C:C=改定!G778), ""))</f>
        <v>L5E,L5E2,L6F,L9ER,	L9EV,	L8EV2,L8EV,L9EV2,L9ER2</v>
      </c>
      <c r="N778" s="142" t="str">
        <f t="shared" si="15"/>
        <v>17301-43667-00</v>
      </c>
      <c r="O778" s="122" t="s">
        <v>47</v>
      </c>
    </row>
    <row r="779" spans="1:15">
      <c r="B779" s="189">
        <f>_xlfn.XLOOKUP(F779,品番!B:B,品番!G:G)</f>
        <v>0</v>
      </c>
      <c r="C779" s="189" t="str">
        <f>_xlfn.XLOOKUP(F779,品番!B:B,品番!C:C)</f>
        <v>ディスプレイ</v>
      </c>
      <c r="D779" s="189">
        <f>_xlfn.XLOOKUP(F779,品番!B:B,品番!D:D)</f>
        <v>0</v>
      </c>
      <c r="E779" s="179" t="s">
        <v>1925</v>
      </c>
      <c r="F779" s="180" t="s">
        <v>1923</v>
      </c>
      <c r="G779" s="181">
        <v>1</v>
      </c>
      <c r="H779" s="122" t="s">
        <v>1948</v>
      </c>
      <c r="K779" s="142" t="s">
        <v>1950</v>
      </c>
      <c r="M779" s="266" t="str" cm="1">
        <f t="array" ref="M779">_xlfn.TEXTJOIN(",", TRUE, _xlfn._xlws.FILTER(適用号機!D:D, (適用号機!B:B=改定!F779)*(適用号機!C:C=改定!G779), ""))</f>
        <v>L5E,	L5E2,	L6F,	L9ER,	L9EV,L8EV2,	L8EV,L9EV2,L9ER2</v>
      </c>
      <c r="N779" s="142" t="str">
        <f t="shared" si="15"/>
        <v>17301-43667-01</v>
      </c>
      <c r="O779" s="122" t="s">
        <v>47</v>
      </c>
    </row>
    <row r="780" spans="1:15">
      <c r="B780" s="189">
        <f>_xlfn.XLOOKUP(F780,品番!B:B,品番!G:G)</f>
        <v>0</v>
      </c>
      <c r="C780" s="189" t="str">
        <f>_xlfn.XLOOKUP(F780,品番!B:B,品番!C:C)</f>
        <v>ディスプレイ</v>
      </c>
      <c r="D780" s="189">
        <f>_xlfn.XLOOKUP(F780,品番!B:B,品番!D:D)</f>
        <v>0</v>
      </c>
      <c r="E780" s="179" t="s">
        <v>1926</v>
      </c>
      <c r="F780" s="180" t="s">
        <v>1923</v>
      </c>
      <c r="G780" s="181">
        <v>2</v>
      </c>
      <c r="H780" s="122" t="s">
        <v>1951</v>
      </c>
      <c r="K780" s="142" t="s">
        <v>1950</v>
      </c>
      <c r="M780" s="266" t="str" cm="1">
        <f t="array" ref="M780">_xlfn.TEXTJOIN(",", TRUE, _xlfn._xlws.FILTER(適用号機!D:D, (適用号機!B:B=改定!F780)*(適用号機!C:C=改定!G780), ""))</f>
        <v>L5E,L5E2,L6F,L8EV,L8EV2,L9ER,L9ER2,L9EV,L9EV2</v>
      </c>
      <c r="N780" s="142" t="str">
        <f t="shared" si="15"/>
        <v>17301-43667-02</v>
      </c>
      <c r="O780" s="122" t="s">
        <v>47</v>
      </c>
    </row>
    <row r="781" spans="1:15" ht="27">
      <c r="B781" s="189">
        <f>_xlfn.XLOOKUP(F781,品番!B:B,品番!G:G)</f>
        <v>0</v>
      </c>
      <c r="C781" s="189" t="str">
        <f>_xlfn.XLOOKUP(F781,品番!B:B,品番!C:C)</f>
        <v>ディスプレイ</v>
      </c>
      <c r="D781" s="189">
        <f>_xlfn.XLOOKUP(F781,品番!B:B,品番!D:D)</f>
        <v>0</v>
      </c>
      <c r="E781" s="179" t="s">
        <v>1929</v>
      </c>
      <c r="F781" s="180" t="s">
        <v>1923</v>
      </c>
      <c r="G781" s="181">
        <v>3</v>
      </c>
      <c r="H781" s="122" t="s">
        <v>1952</v>
      </c>
      <c r="K781" s="186" t="s">
        <v>1953</v>
      </c>
      <c r="M781" s="266" t="str" cm="1">
        <f t="array" ref="M781">_xlfn.TEXTJOIN(",", TRUE, _xlfn._xlws.FILTER(適用号機!D:D, (適用号機!B:B=改定!F781)*(適用号機!C:C=改定!G781), ""))</f>
        <v>L5E,L5E2,L6F,L8EV,L8EV2,L9ER,L9ER2,L9EV,L9EV2</v>
      </c>
      <c r="N781" s="142" t="str">
        <f t="shared" si="15"/>
        <v>17301-43667-03</v>
      </c>
      <c r="O781" s="122" t="s">
        <v>47</v>
      </c>
    </row>
    <row r="782" spans="1:15" ht="67.5">
      <c r="B782" s="189">
        <f>_xlfn.XLOOKUP(F782,品番!B:B,品番!G:G)</f>
        <v>0</v>
      </c>
      <c r="C782" s="189" t="str">
        <f>_xlfn.XLOOKUP(F782,品番!B:B,品番!C:C)</f>
        <v>ディスプレイ</v>
      </c>
      <c r="D782" s="189">
        <f>_xlfn.XLOOKUP(F782,品番!B:B,品番!D:D)</f>
        <v>0</v>
      </c>
      <c r="E782" s="179" t="s">
        <v>1930</v>
      </c>
      <c r="F782" s="180" t="s">
        <v>1923</v>
      </c>
      <c r="G782" s="181">
        <v>4</v>
      </c>
      <c r="H782" s="122" t="s">
        <v>1954</v>
      </c>
      <c r="K782" s="186" t="s">
        <v>1955</v>
      </c>
      <c r="M782" s="266" t="str" cm="1">
        <f t="array" ref="M782">_xlfn.TEXTJOIN(",", TRUE, _xlfn._xlws.FILTER(適用号機!D:D, (適用号機!B:B=改定!F782)*(適用号機!C:C=改定!G782), ""))</f>
        <v>L5E,L5E2,L6F,L8EV,L8EV2,L9ER,L9ER2,L9EV,L9EV2</v>
      </c>
      <c r="N782" s="142" t="str">
        <f t="shared" si="15"/>
        <v>17301-43667-04</v>
      </c>
      <c r="O782" s="122" t="s">
        <v>47</v>
      </c>
    </row>
    <row r="783" spans="1:15">
      <c r="B783" s="189">
        <f>_xlfn.XLOOKUP(F783,品番!B:B,品番!G:G)</f>
        <v>0</v>
      </c>
      <c r="C783" s="189" t="str">
        <f>_xlfn.XLOOKUP(F783,品番!B:B,品番!C:C)</f>
        <v>ディスプレイ</v>
      </c>
      <c r="D783" s="189">
        <f>_xlfn.XLOOKUP(F783,品番!B:B,品番!D:D)</f>
        <v>0</v>
      </c>
      <c r="E783" s="179" t="s">
        <v>1932</v>
      </c>
      <c r="F783" s="180" t="s">
        <v>1923</v>
      </c>
      <c r="G783" s="181">
        <v>5</v>
      </c>
      <c r="H783" s="122" t="s">
        <v>1954</v>
      </c>
      <c r="K783" s="142" t="s">
        <v>1958</v>
      </c>
      <c r="M783" s="266" t="str" cm="1">
        <f t="array" ref="M783">_xlfn.TEXTJOIN(",", TRUE, _xlfn._xlws.FILTER(適用号機!D:D, (適用号機!B:B=改定!F783)*(適用号機!C:C=改定!G783), ""))</f>
        <v>L5E,L5E2,L6F,L8EV,L8EV2,L9ER,L9ER2,L9EV,L9EV2</v>
      </c>
      <c r="N783" s="142" t="str">
        <f t="shared" si="15"/>
        <v>17301-43667-05</v>
      </c>
      <c r="O783" s="122" t="s">
        <v>47</v>
      </c>
    </row>
    <row r="784" spans="1:15">
      <c r="B784" s="189">
        <f>_xlfn.XLOOKUP(F784,品番!B:B,品番!G:G)</f>
        <v>0</v>
      </c>
      <c r="C784" s="189" t="str">
        <f>_xlfn.XLOOKUP(F784,品番!B:B,品番!C:C)</f>
        <v>ディスプレイ</v>
      </c>
      <c r="D784" s="189">
        <f>_xlfn.XLOOKUP(F784,品番!B:B,品番!D:D)</f>
        <v>0</v>
      </c>
      <c r="E784" s="179" t="s">
        <v>1931</v>
      </c>
      <c r="F784" s="180" t="s">
        <v>1923</v>
      </c>
      <c r="G784" s="181">
        <v>6</v>
      </c>
      <c r="H784" s="122" t="s">
        <v>1954</v>
      </c>
      <c r="K784" s="142" t="s">
        <v>1956</v>
      </c>
      <c r="M784" s="266" t="str" cm="1">
        <f t="array" ref="M784">_xlfn.TEXTJOIN(",", TRUE, _xlfn._xlws.FILTER(適用号機!D:D, (適用号機!B:B=改定!F784)*(適用号機!C:C=改定!G784), ""))</f>
        <v>L5E,L5E2,L6F,L8EV,L8EV2,L9ER,L9ER2,L9EV,L9EV2</v>
      </c>
      <c r="N784" s="142" t="str">
        <f t="shared" si="15"/>
        <v>17301-43667-06</v>
      </c>
      <c r="O784" s="122" t="s">
        <v>47</v>
      </c>
    </row>
    <row r="785" spans="1:15">
      <c r="B785" s="189">
        <f>_xlfn.XLOOKUP(F785,品番!B:B,品番!G:G)</f>
        <v>0</v>
      </c>
      <c r="C785" s="189" t="str">
        <f>_xlfn.XLOOKUP(F785,品番!B:B,品番!C:C)</f>
        <v>ディスプレイ</v>
      </c>
      <c r="D785" s="189">
        <f>_xlfn.XLOOKUP(F785,品番!B:B,品番!D:D)</f>
        <v>0</v>
      </c>
      <c r="E785" s="179" t="s">
        <v>1933</v>
      </c>
      <c r="F785" s="180" t="s">
        <v>1923</v>
      </c>
      <c r="G785" s="181">
        <v>7</v>
      </c>
      <c r="H785" s="122" t="s">
        <v>1959</v>
      </c>
      <c r="K785" s="142" t="s">
        <v>1957</v>
      </c>
      <c r="M785" s="266" t="str" cm="1">
        <f t="array" ref="M785">_xlfn.TEXTJOIN(",", TRUE, _xlfn._xlws.FILTER(適用号機!D:D, (適用号機!B:B=改定!F785)*(適用号機!C:C=改定!G785), ""))</f>
        <v>L5E,L5E2,L6F,L8EV,L8EV2,L9ER,L9ER2,L9EV,L9EV2</v>
      </c>
      <c r="N785" s="142" t="str">
        <f t="shared" si="15"/>
        <v>17301-43667-07</v>
      </c>
      <c r="O785" s="122" t="s">
        <v>47</v>
      </c>
    </row>
    <row r="786" spans="1:15" ht="27">
      <c r="B786" s="189">
        <f>_xlfn.XLOOKUP(F786,品番!B:B,品番!G:G)</f>
        <v>0</v>
      </c>
      <c r="C786" s="189" t="str">
        <f>_xlfn.XLOOKUP(F786,品番!B:B,品番!C:C)</f>
        <v>ディスプレイ</v>
      </c>
      <c r="D786" s="189">
        <f>_xlfn.XLOOKUP(F786,品番!B:B,品番!D:D)</f>
        <v>0</v>
      </c>
      <c r="E786" s="179" t="s">
        <v>1963</v>
      </c>
      <c r="F786" s="180" t="s">
        <v>1962</v>
      </c>
      <c r="G786" s="181">
        <v>0</v>
      </c>
      <c r="H786" s="122" t="s">
        <v>1964</v>
      </c>
      <c r="K786" s="186" t="s">
        <v>1965</v>
      </c>
      <c r="M786" s="266" t="str" cm="1">
        <f t="array" ref="M786">_xlfn.TEXTJOIN(",", TRUE, _xlfn._xlws.FILTER(適用号機!D:D, (適用号機!B:B=改定!F786)*(適用号機!C:C=改定!G786), ""))</f>
        <v>L5E,L5E2,L6F,L8EV,L8EV2,L9ER,L9ER2,L9EV,L9EV2</v>
      </c>
      <c r="N786" s="142" t="str">
        <f t="shared" si="15"/>
        <v>17301-43671-00</v>
      </c>
      <c r="O786" s="122" t="s">
        <v>47</v>
      </c>
    </row>
    <row r="787" spans="1:15">
      <c r="A787" s="122" t="s">
        <v>1983</v>
      </c>
      <c r="B787" s="189" t="str">
        <f>_xlfn.XLOOKUP(F787,品番!B:B,品番!G:G)</f>
        <v>A14HW/GW、A25F/G、A27A/B</v>
      </c>
      <c r="C787" s="189" t="str">
        <f>_xlfn.XLOOKUP(F787,品番!B:B,品番!C:C)</f>
        <v>ディスプレイ</v>
      </c>
      <c r="D787" s="189">
        <f>_xlfn.XLOOKUP(F787,品番!B:B,品番!D:D)</f>
        <v>0</v>
      </c>
      <c r="E787" s="179" t="s">
        <v>1984</v>
      </c>
      <c r="F787" s="180" t="s">
        <v>1972</v>
      </c>
      <c r="G787" s="181">
        <v>0</v>
      </c>
      <c r="H787" s="122" t="s">
        <v>1987</v>
      </c>
      <c r="K787" s="142" t="s">
        <v>1985</v>
      </c>
      <c r="M787" s="266" t="str" cm="1">
        <f t="array" ref="M787">_xlfn.TEXTJOIN(",", TRUE, _xlfn._xlws.FILTER(適用号機!D:D, (適用号機!B:B=改定!F787)*(適用号機!C:C=改定!G787), ""))</f>
        <v>A14HW,A25F,A25G,A25G,A27A,A27B,A27B</v>
      </c>
      <c r="N787" s="142" t="str">
        <f t="shared" si="15"/>
        <v>17301-43850-00</v>
      </c>
      <c r="O787" s="122" t="s">
        <v>47</v>
      </c>
    </row>
    <row r="788" spans="1:15">
      <c r="A788" s="122" t="s">
        <v>1983</v>
      </c>
      <c r="B788" s="189" t="str">
        <f>_xlfn.XLOOKUP(F788,品番!B:B,品番!G:G)</f>
        <v>A14HW/GW、A25F/G、A27A/B</v>
      </c>
      <c r="C788" s="189" t="str">
        <f>_xlfn.XLOOKUP(F788,品番!B:B,品番!C:C)</f>
        <v>ディスプレイ</v>
      </c>
      <c r="D788" s="189">
        <f>_xlfn.XLOOKUP(F788,品番!B:B,品番!D:D)</f>
        <v>0</v>
      </c>
      <c r="E788" s="179" t="s">
        <v>1979</v>
      </c>
      <c r="F788" s="180" t="s">
        <v>1972</v>
      </c>
      <c r="G788" s="181">
        <v>1</v>
      </c>
      <c r="H788" s="122" t="s">
        <v>1986</v>
      </c>
      <c r="K788" s="142" t="s">
        <v>1988</v>
      </c>
      <c r="M788" s="266" t="str" cm="1">
        <f t="array" ref="M788">_xlfn.TEXTJOIN(",", TRUE, _xlfn._xlws.FILTER(適用号機!D:D, (適用号機!B:B=改定!F788)*(適用号機!C:C=改定!G788), ""))</f>
        <v>A14HW,A25F,A25G,A27A,A27B</v>
      </c>
      <c r="N788" s="142" t="str">
        <f t="shared" si="15"/>
        <v>17301-43850-01</v>
      </c>
      <c r="O788" s="122" t="s">
        <v>47</v>
      </c>
    </row>
    <row r="789" spans="1:15">
      <c r="A789" s="122" t="s">
        <v>1983</v>
      </c>
      <c r="B789" s="189" t="str">
        <f>_xlfn.XLOOKUP(F789,品番!B:B,品番!G:G)</f>
        <v>A14HW/GW、A25F/G、A27A/B</v>
      </c>
      <c r="C789" s="189" t="str">
        <f>_xlfn.XLOOKUP(F789,品番!B:B,品番!C:C)</f>
        <v>ディスプレイ</v>
      </c>
      <c r="D789" s="189">
        <f>_xlfn.XLOOKUP(F789,品番!B:B,品番!D:D)</f>
        <v>0</v>
      </c>
      <c r="E789" s="179" t="s">
        <v>1980</v>
      </c>
      <c r="F789" s="180" t="s">
        <v>1972</v>
      </c>
      <c r="G789" s="181">
        <v>2</v>
      </c>
      <c r="H789" s="122" t="s">
        <v>1986</v>
      </c>
      <c r="K789" s="142" t="s">
        <v>1989</v>
      </c>
      <c r="M789" s="266" t="str" cm="1">
        <f t="array" ref="M789">_xlfn.TEXTJOIN(",", TRUE, _xlfn._xlws.FILTER(適用号機!D:D, (適用号機!B:B=改定!F789)*(適用号機!C:C=改定!G789), ""))</f>
        <v>A25F,A25G,A27A,A27B</v>
      </c>
      <c r="N789" s="142" t="str">
        <f t="shared" si="15"/>
        <v>17301-43850-02</v>
      </c>
      <c r="O789" s="122" t="s">
        <v>47</v>
      </c>
    </row>
    <row r="790" spans="1:15">
      <c r="A790" s="122" t="s">
        <v>1983</v>
      </c>
      <c r="B790" s="189" t="str">
        <f>_xlfn.XLOOKUP(F790,品番!B:B,品番!G:G)</f>
        <v>A14HW/GW、A25F/G、A27A/B</v>
      </c>
      <c r="C790" s="189" t="str">
        <f>_xlfn.XLOOKUP(F790,品番!B:B,品番!C:C)</f>
        <v>ディスプレイ</v>
      </c>
      <c r="D790" s="189">
        <f>_xlfn.XLOOKUP(F790,品番!B:B,品番!D:D)</f>
        <v>0</v>
      </c>
      <c r="E790" s="179" t="s">
        <v>1981</v>
      </c>
      <c r="F790" s="180" t="s">
        <v>1972</v>
      </c>
      <c r="G790" s="181">
        <v>3</v>
      </c>
      <c r="H790" s="122" t="s">
        <v>1990</v>
      </c>
      <c r="K790" s="142" t="s">
        <v>1991</v>
      </c>
      <c r="M790" s="266" t="str" cm="1">
        <f t="array" ref="M790">_xlfn.TEXTJOIN(",", TRUE, _xlfn._xlws.FILTER(適用号機!D:D, (適用号機!B:B=改定!F790)*(適用号機!C:C=改定!G790), ""))</f>
        <v>A25F,A25G,A27A,A27B</v>
      </c>
      <c r="N790" s="142" t="str">
        <f t="shared" si="15"/>
        <v>17301-43850-03</v>
      </c>
      <c r="O790" s="122" t="s">
        <v>47</v>
      </c>
    </row>
    <row r="791" spans="1:15">
      <c r="A791" s="122" t="s">
        <v>1983</v>
      </c>
      <c r="B791" s="189" t="str">
        <f>_xlfn.XLOOKUP(F791,品番!B:B,品番!G:G)</f>
        <v>A14HW/GW、A25F/G、A27A/B</v>
      </c>
      <c r="C791" s="189" t="str">
        <f>_xlfn.XLOOKUP(F791,品番!B:B,品番!C:C)</f>
        <v>ディスプレイ</v>
      </c>
      <c r="D791" s="189">
        <f>_xlfn.XLOOKUP(F791,品番!B:B,品番!D:D)</f>
        <v>0</v>
      </c>
      <c r="E791" s="179" t="s">
        <v>1982</v>
      </c>
      <c r="F791" s="180" t="s">
        <v>1972</v>
      </c>
      <c r="G791" s="181">
        <v>4</v>
      </c>
      <c r="H791" s="122" t="s">
        <v>1992</v>
      </c>
      <c r="K791" s="142" t="s">
        <v>1993</v>
      </c>
      <c r="M791" s="266" t="str" cm="1">
        <f t="array" ref="M791">_xlfn.TEXTJOIN(",", TRUE, _xlfn._xlws.FILTER(適用号機!D:D, (適用号機!B:B=改定!F791)*(適用号機!C:C=改定!G791), ""))</f>
        <v/>
      </c>
      <c r="N791" s="142" t="str">
        <f t="shared" si="15"/>
        <v>17301-43850-04</v>
      </c>
      <c r="O791" s="122" t="s">
        <v>47</v>
      </c>
    </row>
    <row r="792" spans="1:15">
      <c r="A792" s="122" t="s">
        <v>1970</v>
      </c>
      <c r="B792" s="189" t="str">
        <f>_xlfn.XLOOKUP(F792,品番!B:B,品番!G:G)</f>
        <v>A25F/G、A27A/B</v>
      </c>
      <c r="C792" s="189" t="str">
        <f>_xlfn.XLOOKUP(F792,品番!B:B,品番!C:C)</f>
        <v>ディスプレイ</v>
      </c>
      <c r="D792" s="189">
        <f>_xlfn.XLOOKUP(F792,品番!B:B,品番!D:D)</f>
        <v>0</v>
      </c>
      <c r="E792" s="179" t="s">
        <v>1994</v>
      </c>
      <c r="F792" s="180" t="s">
        <v>1975</v>
      </c>
      <c r="G792" s="181">
        <v>0</v>
      </c>
      <c r="H792" s="122" t="s">
        <v>1907</v>
      </c>
      <c r="K792" s="142" t="s">
        <v>1998</v>
      </c>
      <c r="M792" s="266" t="str" cm="1">
        <f t="array" ref="M792">_xlfn.TEXTJOIN(",", TRUE, _xlfn._xlws.FILTER(適用号機!D:D, (適用号機!B:B=改定!F792)*(適用号機!C:C=改定!G792), ""))</f>
        <v>A25F,A25G,A27A,A27B</v>
      </c>
      <c r="N792" s="142" t="str">
        <f t="shared" si="15"/>
        <v>17301-43852-00</v>
      </c>
      <c r="O792" s="122" t="s">
        <v>47</v>
      </c>
    </row>
    <row r="793" spans="1:15" ht="40.5">
      <c r="A793" s="122" t="s">
        <v>1970</v>
      </c>
      <c r="B793" s="189" t="str">
        <f>_xlfn.XLOOKUP(F793,品番!B:B,品番!G:G)</f>
        <v>A25F/G、A27A/B</v>
      </c>
      <c r="C793" s="189" t="str">
        <f>_xlfn.XLOOKUP(F793,品番!B:B,品番!C:C)</f>
        <v>ディスプレイ</v>
      </c>
      <c r="D793" s="189">
        <f>_xlfn.XLOOKUP(F793,品番!B:B,品番!D:D)</f>
        <v>0</v>
      </c>
      <c r="E793" s="179" t="s">
        <v>1995</v>
      </c>
      <c r="F793" s="180" t="s">
        <v>1975</v>
      </c>
      <c r="G793" s="181">
        <v>1</v>
      </c>
      <c r="K793" s="186" t="s">
        <v>1999</v>
      </c>
      <c r="M793" s="266" t="str" cm="1">
        <f t="array" ref="M793">_xlfn.TEXTJOIN(",", TRUE, _xlfn._xlws.FILTER(適用号機!D:D, (適用号機!B:B=改定!F793)*(適用号機!C:C=改定!G793), ""))</f>
        <v>A25F,A25G,A27A,A27B</v>
      </c>
      <c r="N793" s="142" t="str">
        <f t="shared" si="15"/>
        <v>17301-43852-01</v>
      </c>
      <c r="O793" s="122" t="s">
        <v>47</v>
      </c>
    </row>
    <row r="794" spans="1:15">
      <c r="A794" s="122" t="s">
        <v>2006</v>
      </c>
      <c r="B794" s="189" t="str">
        <f>_xlfn.XLOOKUP(F794,品番!B:B,品番!G:G)</f>
        <v>L85G</v>
      </c>
      <c r="C794" s="189" t="str">
        <f>_xlfn.XLOOKUP(F794,品番!B:B,品番!C:C)</f>
        <v>ディスプレイ</v>
      </c>
      <c r="D794" s="189">
        <f>_xlfn.XLOOKUP(F794,品番!B:B,品番!D:D)</f>
        <v>0</v>
      </c>
      <c r="E794" s="179" t="s">
        <v>2007</v>
      </c>
      <c r="F794" s="180" t="s">
        <v>2001</v>
      </c>
      <c r="G794" s="181">
        <v>0</v>
      </c>
      <c r="M794" s="266" t="str" cm="1">
        <f t="array" ref="M794">_xlfn.TEXTJOIN(",", TRUE, _xlfn._xlws.FILTER(適用号機!D:D, (適用号機!B:B=改定!F794)*(適用号機!C:C=改定!G794), ""))</f>
        <v/>
      </c>
      <c r="N794" s="142" t="str">
        <f t="shared" si="15"/>
        <v>17301-43880-00</v>
      </c>
      <c r="O794" s="122" t="s">
        <v>47</v>
      </c>
    </row>
    <row r="795" spans="1:15">
      <c r="A795" s="122" t="s">
        <v>2006</v>
      </c>
      <c r="B795" s="189" t="str">
        <f>_xlfn.XLOOKUP(F795,品番!B:B,品番!G:G)</f>
        <v>L85G</v>
      </c>
      <c r="C795" s="189" t="str">
        <f>_xlfn.XLOOKUP(F795,品番!B:B,品番!C:C)</f>
        <v>ディスプレイ</v>
      </c>
      <c r="D795" s="189">
        <f>_xlfn.XLOOKUP(F795,品番!B:B,品番!D:D)</f>
        <v>0</v>
      </c>
      <c r="E795" s="179" t="s">
        <v>2008</v>
      </c>
      <c r="F795" s="180" t="s">
        <v>2001</v>
      </c>
      <c r="G795" s="181">
        <v>1</v>
      </c>
      <c r="H795" s="122" t="s">
        <v>1992</v>
      </c>
      <c r="K795" s="142" t="s">
        <v>2011</v>
      </c>
      <c r="M795" s="266" t="str" cm="1">
        <f t="array" ref="M795">_xlfn.TEXTJOIN(",", TRUE, _xlfn._xlws.FILTER(適用号機!D:D, (適用号機!B:B=改定!F795)*(適用号機!C:C=改定!G795), ""))</f>
        <v>L85G</v>
      </c>
      <c r="N795" s="142" t="str">
        <f t="shared" si="15"/>
        <v>17301-43880-01</v>
      </c>
      <c r="O795" s="122" t="s">
        <v>47</v>
      </c>
    </row>
    <row r="796" spans="1:15">
      <c r="A796" s="122" t="s">
        <v>2006</v>
      </c>
      <c r="B796" s="189" t="str">
        <f>_xlfn.XLOOKUP(F796,品番!B:B,品番!G:G)</f>
        <v>L85G</v>
      </c>
      <c r="C796" s="189" t="str">
        <f>_xlfn.XLOOKUP(F796,品番!B:B,品番!C:C)</f>
        <v>ディスプレイ</v>
      </c>
      <c r="D796" s="189">
        <f>_xlfn.XLOOKUP(F796,品番!B:B,品番!D:D)</f>
        <v>0</v>
      </c>
      <c r="E796" s="179" t="s">
        <v>2009</v>
      </c>
      <c r="F796" s="180" t="s">
        <v>2001</v>
      </c>
      <c r="G796" s="181">
        <v>2</v>
      </c>
      <c r="H796" s="122" t="s">
        <v>2012</v>
      </c>
      <c r="K796" s="142" t="s">
        <v>2013</v>
      </c>
      <c r="M796" s="266" t="str" cm="1">
        <f t="array" ref="M796">_xlfn.TEXTJOIN(",", TRUE, _xlfn._xlws.FILTER(適用号機!D:D, (適用号機!B:B=改定!F796)*(適用号機!C:C=改定!G796), ""))</f>
        <v>L85G</v>
      </c>
      <c r="N796" s="142" t="str">
        <f t="shared" si="15"/>
        <v>17301-43880-02</v>
      </c>
      <c r="O796" s="122" t="s">
        <v>47</v>
      </c>
    </row>
    <row r="797" spans="1:15">
      <c r="A797" s="122" t="s">
        <v>2006</v>
      </c>
      <c r="B797" s="189" t="str">
        <f>_xlfn.XLOOKUP(F797,品番!B:B,品番!G:G)</f>
        <v>L85G</v>
      </c>
      <c r="C797" s="189" t="str">
        <f>_xlfn.XLOOKUP(F797,品番!B:B,品番!C:C)</f>
        <v>ディスプレイ</v>
      </c>
      <c r="D797" s="189">
        <f>_xlfn.XLOOKUP(F797,品番!B:B,品番!D:D)</f>
        <v>0</v>
      </c>
      <c r="E797" s="179" t="s">
        <v>2010</v>
      </c>
      <c r="F797" s="180" t="s">
        <v>2001</v>
      </c>
      <c r="G797" s="181">
        <v>3</v>
      </c>
      <c r="H797" s="122" t="s">
        <v>2014</v>
      </c>
      <c r="K797" s="142" t="s">
        <v>2015</v>
      </c>
      <c r="M797" s="266" t="str" cm="1">
        <f t="array" ref="M797">_xlfn.TEXTJOIN(",", TRUE, _xlfn._xlws.FILTER(適用号機!D:D, (適用号機!B:B=改定!F797)*(適用号機!C:C=改定!G797), ""))</f>
        <v/>
      </c>
      <c r="N797" s="142" t="str">
        <f t="shared" si="15"/>
        <v>17301-43880-03</v>
      </c>
      <c r="O797" s="122" t="s">
        <v>47</v>
      </c>
    </row>
    <row r="798" spans="1:15">
      <c r="A798" s="122" t="s">
        <v>1971</v>
      </c>
      <c r="B798" s="189" t="str">
        <f>_xlfn.XLOOKUP(F798,品番!B:B,品番!G:G)</f>
        <v>A13A</v>
      </c>
      <c r="C798" s="189" t="str">
        <f>_xlfn.XLOOKUP(F798,品番!B:B,品番!C:C)</f>
        <v>ディスプレイ</v>
      </c>
      <c r="D798" s="189">
        <f>_xlfn.XLOOKUP(F798,品番!B:B,品番!D:D)</f>
        <v>0</v>
      </c>
      <c r="E798" s="179" t="s">
        <v>2016</v>
      </c>
      <c r="F798" s="180" t="s">
        <v>2002</v>
      </c>
      <c r="G798" s="181">
        <v>0</v>
      </c>
      <c r="K798" s="142" t="s">
        <v>2021</v>
      </c>
      <c r="M798" s="266" t="str" cm="1">
        <f t="array" ref="M798">_xlfn.TEXTJOIN(",", TRUE, _xlfn._xlws.FILTER(適用号機!D:D, (適用号機!B:B=改定!F798)*(適用号機!C:C=改定!G798), ""))</f>
        <v/>
      </c>
      <c r="N798" s="142" t="str">
        <f t="shared" si="15"/>
        <v>17301-43860-00</v>
      </c>
      <c r="O798" s="122" t="s">
        <v>47</v>
      </c>
    </row>
    <row r="799" spans="1:15" ht="40.5">
      <c r="A799" s="122" t="s">
        <v>1971</v>
      </c>
      <c r="B799" s="189" t="str">
        <f>_xlfn.XLOOKUP(F799,品番!B:B,品番!G:G)</f>
        <v>A13A</v>
      </c>
      <c r="C799" s="189" t="str">
        <f>_xlfn.XLOOKUP(F799,品番!B:B,品番!C:C)</f>
        <v>ディスプレイ</v>
      </c>
      <c r="D799" s="189">
        <f>_xlfn.XLOOKUP(F799,品番!B:B,品番!D:D)</f>
        <v>0</v>
      </c>
      <c r="E799" s="179" t="s">
        <v>2017</v>
      </c>
      <c r="F799" s="180" t="s">
        <v>2002</v>
      </c>
      <c r="G799" s="181">
        <v>1</v>
      </c>
      <c r="H799" s="122" t="s">
        <v>2020</v>
      </c>
      <c r="K799" s="186" t="s">
        <v>2022</v>
      </c>
      <c r="M799" s="266" t="str" cm="1">
        <f t="array" ref="M799">_xlfn.TEXTJOIN(",", TRUE, _xlfn._xlws.FILTER(適用号機!D:D, (適用号機!B:B=改定!F799)*(適用号機!C:C=改定!G799), ""))</f>
        <v>A13A</v>
      </c>
      <c r="N799" s="142" t="str">
        <f t="shared" si="15"/>
        <v>17301-43860-01</v>
      </c>
      <c r="O799" s="122" t="s">
        <v>47</v>
      </c>
    </row>
    <row r="800" spans="1:15">
      <c r="A800" s="122" t="s">
        <v>1971</v>
      </c>
      <c r="B800" s="189" t="str">
        <f>_xlfn.XLOOKUP(F800,品番!B:B,品番!G:G)</f>
        <v>A13A</v>
      </c>
      <c r="C800" s="189" t="str">
        <f>_xlfn.XLOOKUP(F800,品番!B:B,品番!C:C)</f>
        <v>ディスプレイ</v>
      </c>
      <c r="D800" s="189">
        <f>_xlfn.XLOOKUP(F800,品番!B:B,品番!D:D)</f>
        <v>0</v>
      </c>
      <c r="E800" s="179" t="s">
        <v>2018</v>
      </c>
      <c r="F800" s="180" t="s">
        <v>2002</v>
      </c>
      <c r="G800" s="181">
        <v>2</v>
      </c>
      <c r="H800" s="122" t="s">
        <v>2020</v>
      </c>
      <c r="K800" s="142" t="s">
        <v>1989</v>
      </c>
      <c r="M800" s="266" t="str" cm="1">
        <f t="array" ref="M800">_xlfn.TEXTJOIN(",", TRUE, _xlfn._xlws.FILTER(適用号機!D:D, (適用号機!B:B=改定!F800)*(適用号機!C:C=改定!G800), ""))</f>
        <v/>
      </c>
      <c r="N800" s="142" t="str">
        <f t="shared" si="15"/>
        <v>17301-43860-02</v>
      </c>
      <c r="O800" s="122" t="s">
        <v>47</v>
      </c>
    </row>
    <row r="801" spans="1:15">
      <c r="A801" s="122" t="s">
        <v>1971</v>
      </c>
      <c r="B801" s="189" t="str">
        <f>_xlfn.XLOOKUP(F801,品番!B:B,品番!G:G)</f>
        <v>A13A</v>
      </c>
      <c r="C801" s="189" t="str">
        <f>_xlfn.XLOOKUP(F801,品番!B:B,品番!C:C)</f>
        <v>ディスプレイ</v>
      </c>
      <c r="D801" s="189">
        <f>_xlfn.XLOOKUP(F801,品番!B:B,品番!D:D)</f>
        <v>0</v>
      </c>
      <c r="E801" s="179" t="s">
        <v>2019</v>
      </c>
      <c r="F801" s="180" t="s">
        <v>2002</v>
      </c>
      <c r="G801" s="181">
        <v>3</v>
      </c>
      <c r="H801" s="122" t="s">
        <v>1990</v>
      </c>
      <c r="K801" s="142" t="s">
        <v>2023</v>
      </c>
      <c r="M801" s="266" t="str" cm="1">
        <f t="array" ref="M801">_xlfn.TEXTJOIN(",", TRUE, _xlfn._xlws.FILTER(適用号機!D:D, (適用号機!B:B=改定!F801)*(適用号機!C:C=改定!G801), ""))</f>
        <v>A13A</v>
      </c>
      <c r="N801" s="142" t="str">
        <f t="shared" si="15"/>
        <v>17301-43860-03</v>
      </c>
      <c r="O801" s="122" t="s">
        <v>47</v>
      </c>
    </row>
    <row r="802" spans="1:15">
      <c r="A802" s="122" t="s">
        <v>1971</v>
      </c>
      <c r="B802" s="189" t="str">
        <f>_xlfn.XLOOKUP(F802,品番!B:B,品番!G:G)</f>
        <v>A13A</v>
      </c>
      <c r="C802" s="189" t="str">
        <f>_xlfn.XLOOKUP(F802,品番!B:B,品番!C:C)</f>
        <v>ディスプレイ</v>
      </c>
      <c r="D802" s="189">
        <f>_xlfn.XLOOKUP(F802,品番!B:B,品番!D:D)</f>
        <v>0</v>
      </c>
      <c r="E802" s="179" t="s">
        <v>1994</v>
      </c>
      <c r="F802" s="180" t="s">
        <v>2005</v>
      </c>
      <c r="G802" s="181">
        <v>0</v>
      </c>
      <c r="K802" s="142" t="s">
        <v>1998</v>
      </c>
      <c r="M802" s="266" t="str" cm="1">
        <f t="array" ref="M802">_xlfn.TEXTJOIN(",", TRUE, _xlfn._xlws.FILTER(適用号機!D:D, (適用号機!B:B=改定!F802)*(適用号機!C:C=改定!G802), ""))</f>
        <v>A13A</v>
      </c>
      <c r="N802" s="142" t="str">
        <f t="shared" si="15"/>
        <v>17301-43861-00</v>
      </c>
      <c r="O802" s="122" t="s">
        <v>47</v>
      </c>
    </row>
    <row r="803" spans="1:15">
      <c r="A803" s="122" t="s">
        <v>1971</v>
      </c>
      <c r="B803" s="189" t="str">
        <f>_xlfn.XLOOKUP(F803,品番!B:B,品番!G:G)</f>
        <v>A13A</v>
      </c>
      <c r="C803" s="189" t="str">
        <f>_xlfn.XLOOKUP(F803,品番!B:B,品番!C:C)</f>
        <v>ディスプレイ</v>
      </c>
      <c r="D803" s="189">
        <f>_xlfn.XLOOKUP(F803,品番!B:B,品番!D:D)</f>
        <v>0</v>
      </c>
      <c r="E803" s="179" t="s">
        <v>2024</v>
      </c>
      <c r="F803" s="180" t="s">
        <v>2005</v>
      </c>
      <c r="G803" s="181">
        <v>1</v>
      </c>
      <c r="H803" s="122" t="s">
        <v>2025</v>
      </c>
      <c r="K803" s="142" t="s">
        <v>1996</v>
      </c>
      <c r="M803" s="266" t="str" cm="1">
        <f t="array" ref="M803">_xlfn.TEXTJOIN(",", TRUE, _xlfn._xlws.FILTER(適用号機!D:D, (適用号機!B:B=改定!F803)*(適用号機!C:C=改定!G803), ""))</f>
        <v>A13A</v>
      </c>
      <c r="N803" s="142" t="str">
        <f t="shared" si="15"/>
        <v>17301-43861-01</v>
      </c>
      <c r="O803" s="122" t="s">
        <v>47</v>
      </c>
    </row>
    <row r="804" spans="1:15">
      <c r="A804" s="122" t="s">
        <v>2030</v>
      </c>
      <c r="B804" s="189" t="str">
        <f>_xlfn.XLOOKUP(F804,品番!B:B,品番!G:G)</f>
        <v>J7B(CNP)/J10B(CNP)</v>
      </c>
      <c r="C804" s="189" t="str">
        <f>_xlfn.XLOOKUP(F804,品番!B:B,品番!C:C)</f>
        <v>ディスプレイ</v>
      </c>
      <c r="D804" s="189">
        <f>_xlfn.XLOOKUP(F804,品番!B:B,品番!D:D)</f>
        <v>0</v>
      </c>
      <c r="E804" s="179" t="s">
        <v>2027</v>
      </c>
      <c r="F804" s="180" t="s">
        <v>1968</v>
      </c>
      <c r="G804" s="181">
        <v>0</v>
      </c>
      <c r="K804" s="142" t="s">
        <v>2031</v>
      </c>
      <c r="M804" s="266" t="str" cm="1">
        <f t="array" ref="M804">_xlfn.TEXTJOIN(",", TRUE, _xlfn._xlws.FILTER(適用号機!D:D, (適用号機!B:B=改定!F804)*(適用号機!C:C=改定!G804), ""))</f>
        <v/>
      </c>
      <c r="N804" s="142" t="str">
        <f t="shared" si="15"/>
        <v>17301-43870-00</v>
      </c>
      <c r="O804" s="122" t="s">
        <v>47</v>
      </c>
    </row>
    <row r="805" spans="1:15">
      <c r="A805" s="122" t="s">
        <v>2030</v>
      </c>
      <c r="B805" s="189" t="str">
        <f>_xlfn.XLOOKUP(F805,品番!B:B,品番!G:G)</f>
        <v>J7B(CNP)/J10B(CNP)</v>
      </c>
      <c r="C805" s="189" t="str">
        <f>_xlfn.XLOOKUP(F805,品番!B:B,品番!C:C)</f>
        <v>ディスプレイ</v>
      </c>
      <c r="D805" s="189">
        <f>_xlfn.XLOOKUP(F805,品番!B:B,品番!D:D)</f>
        <v>0</v>
      </c>
      <c r="E805" s="179" t="s">
        <v>2028</v>
      </c>
      <c r="F805" s="180" t="s">
        <v>1968</v>
      </c>
      <c r="G805" s="181">
        <v>1</v>
      </c>
      <c r="H805" s="122" t="s">
        <v>2032</v>
      </c>
      <c r="K805" s="142" t="s">
        <v>2033</v>
      </c>
      <c r="M805" s="266" t="str" cm="1">
        <f t="array" ref="M805">_xlfn.TEXTJOIN(",", TRUE, _xlfn._xlws.FILTER(適用号機!D:D, (適用号機!B:B=改定!F805)*(適用号機!C:C=改定!G805), ""))</f>
        <v>J7B</v>
      </c>
      <c r="N805" s="142" t="str">
        <f t="shared" si="15"/>
        <v>17301-43870-01</v>
      </c>
      <c r="O805" s="122" t="s">
        <v>47</v>
      </c>
    </row>
    <row r="806" spans="1:15">
      <c r="A806" s="122" t="s">
        <v>2030</v>
      </c>
      <c r="B806" s="189" t="str">
        <f>_xlfn.XLOOKUP(F806,品番!B:B,品番!G:G)</f>
        <v>J7B(CNP)/J10B(CNP)</v>
      </c>
      <c r="C806" s="189" t="str">
        <f>_xlfn.XLOOKUP(F806,品番!B:B,品番!C:C)</f>
        <v>ディスプレイ</v>
      </c>
      <c r="D806" s="189">
        <f>_xlfn.XLOOKUP(F806,品番!B:B,品番!D:D)</f>
        <v>0</v>
      </c>
      <c r="E806" s="179" t="s">
        <v>2029</v>
      </c>
      <c r="F806" s="180" t="s">
        <v>1968</v>
      </c>
      <c r="G806" s="181">
        <v>2</v>
      </c>
      <c r="H806" s="122" t="s">
        <v>2032</v>
      </c>
      <c r="K806" s="142" t="s">
        <v>2034</v>
      </c>
      <c r="M806" s="266" t="str" cm="1">
        <f t="array" ref="M806">_xlfn.TEXTJOIN(",", TRUE, _xlfn._xlws.FILTER(適用号機!D:D, (適用号機!B:B=改定!F806)*(適用号機!C:C=改定!G806), ""))</f>
        <v>J7B</v>
      </c>
      <c r="N806" s="142" t="str">
        <f t="shared" si="15"/>
        <v>17301-43870-02</v>
      </c>
      <c r="O806" s="122" t="s">
        <v>47</v>
      </c>
    </row>
    <row r="807" spans="1:15">
      <c r="A807" s="122" t="s">
        <v>2043</v>
      </c>
      <c r="B807" s="189" t="str">
        <f>_xlfn.XLOOKUP(F807,品番!B:B,品番!G:G)</f>
        <v>A14IW</v>
      </c>
      <c r="C807" s="189" t="str">
        <f>_xlfn.XLOOKUP(F807,品番!B:B,品番!C:C)</f>
        <v>コントローラ</v>
      </c>
      <c r="D807" s="189" t="str">
        <f>_xlfn.XLOOKUP(F807,品番!B:B,品番!D:D)</f>
        <v>メイン</v>
      </c>
      <c r="E807" s="179" t="s">
        <v>2039</v>
      </c>
      <c r="F807" s="180" t="s">
        <v>2038</v>
      </c>
      <c r="G807" s="181">
        <v>0</v>
      </c>
      <c r="H807" s="122" t="s">
        <v>1907</v>
      </c>
      <c r="K807" s="142" t="s">
        <v>2041</v>
      </c>
      <c r="M807" s="266" t="str" cm="1">
        <f t="array" ref="M807">_xlfn.TEXTJOIN(",", TRUE, _xlfn._xlws.FILTER(適用号機!D:D, (適用号機!B:B=改定!F807)*(適用号機!C:C=改定!G807), ""))</f>
        <v>A14IW</v>
      </c>
      <c r="N807" s="142" t="str">
        <f t="shared" si="15"/>
        <v>05642-01054-00</v>
      </c>
      <c r="O807" s="122" t="s">
        <v>47</v>
      </c>
    </row>
    <row r="808" spans="1:15">
      <c r="A808" s="122" t="s">
        <v>2043</v>
      </c>
      <c r="B808" s="189" t="str">
        <f>_xlfn.XLOOKUP(F808,品番!B:B,品番!G:G)</f>
        <v>A14IW</v>
      </c>
      <c r="C808" s="189" t="str">
        <f>_xlfn.XLOOKUP(F808,品番!B:B,品番!C:C)</f>
        <v>コントローラ</v>
      </c>
      <c r="D808" s="189" t="str">
        <f>_xlfn.XLOOKUP(F808,品番!B:B,品番!D:D)</f>
        <v>メイン</v>
      </c>
      <c r="E808" s="179" t="s">
        <v>1757</v>
      </c>
      <c r="F808" s="180" t="s">
        <v>1500</v>
      </c>
      <c r="G808" s="181">
        <v>1</v>
      </c>
      <c r="H808" s="122" t="s">
        <v>679</v>
      </c>
      <c r="K808" s="142" t="s">
        <v>2042</v>
      </c>
      <c r="M808" s="266" t="str" cm="1">
        <f t="array" ref="M808">_xlfn.TEXTJOIN(",", TRUE, _xlfn._xlws.FILTER(適用号機!D:D, (適用号機!B:B=改定!F808)*(適用号機!C:C=改定!G808), ""))</f>
        <v>A14IW</v>
      </c>
      <c r="N808" s="142" t="str">
        <f t="shared" si="15"/>
        <v>05642-01054-01</v>
      </c>
      <c r="O808" s="122" t="s">
        <v>47</v>
      </c>
    </row>
    <row r="809" spans="1:15">
      <c r="A809" s="122" t="s">
        <v>2043</v>
      </c>
      <c r="B809" s="189" t="str">
        <f>_xlfn.XLOOKUP(F809,品番!B:B,品番!G:G)</f>
        <v>A14IW</v>
      </c>
      <c r="C809" s="189" t="str">
        <f>_xlfn.XLOOKUP(F809,品番!B:B,品番!C:C)</f>
        <v>コントローラ</v>
      </c>
      <c r="D809" s="189" t="str">
        <f>_xlfn.XLOOKUP(F809,品番!B:B,品番!D:D)</f>
        <v>メイン</v>
      </c>
      <c r="E809" s="179" t="s">
        <v>2039</v>
      </c>
      <c r="F809" s="180" t="s">
        <v>2045</v>
      </c>
      <c r="G809" s="181">
        <v>0</v>
      </c>
      <c r="H809" s="122" t="s">
        <v>1907</v>
      </c>
      <c r="K809" s="142" t="s">
        <v>2041</v>
      </c>
      <c r="M809" s="266" t="str" cm="1">
        <f t="array" ref="M809">_xlfn.TEXTJOIN(",", TRUE, _xlfn._xlws.FILTER(適用号機!D:D, (適用号機!B:B=改定!F809)*(適用号機!C:C=改定!G809), ""))</f>
        <v>A14IW</v>
      </c>
      <c r="N809" s="142" t="str">
        <f t="shared" si="15"/>
        <v>05642-01061-00</v>
      </c>
      <c r="O809" s="122" t="s">
        <v>47</v>
      </c>
    </row>
    <row r="810" spans="1:15">
      <c r="A810" s="122" t="s">
        <v>2043</v>
      </c>
      <c r="B810" s="189" t="str">
        <f>_xlfn.XLOOKUP(F810,品番!B:B,品番!G:G)</f>
        <v>A14IW</v>
      </c>
      <c r="C810" s="189" t="str">
        <f>_xlfn.XLOOKUP(F810,品番!B:B,品番!C:C)</f>
        <v>コントローラ</v>
      </c>
      <c r="D810" s="189" t="str">
        <f>_xlfn.XLOOKUP(F810,品番!B:B,品番!D:D)</f>
        <v>メイン</v>
      </c>
      <c r="E810" s="179" t="s">
        <v>2040</v>
      </c>
      <c r="F810" s="180" t="s">
        <v>2045</v>
      </c>
      <c r="G810" s="181">
        <v>1</v>
      </c>
      <c r="H810" s="122" t="s">
        <v>679</v>
      </c>
      <c r="K810" s="142" t="s">
        <v>2042</v>
      </c>
      <c r="M810" s="266" t="str" cm="1">
        <f t="array" ref="M810">_xlfn.TEXTJOIN(",", TRUE, _xlfn._xlws.FILTER(適用号機!D:D, (適用号機!B:B=改定!F810)*(適用号機!C:C=改定!G810), ""))</f>
        <v>A14IW</v>
      </c>
      <c r="N810" s="142" t="str">
        <f t="shared" si="15"/>
        <v>05642-01061-01</v>
      </c>
      <c r="O810" s="122" t="s">
        <v>47</v>
      </c>
    </row>
    <row r="811" spans="1:15">
      <c r="A811" s="122" t="s">
        <v>245</v>
      </c>
      <c r="B811" s="189" t="str">
        <f>_xlfn.XLOOKUP(F811,品番!B:B,品番!G:G)</f>
        <v>A13AW</v>
      </c>
      <c r="C811" s="189" t="str">
        <f>_xlfn.XLOOKUP(F811,品番!B:B,品番!C:C)</f>
        <v>コントローラ</v>
      </c>
      <c r="D811" s="189" t="str">
        <f>_xlfn.XLOOKUP(F811,品番!B:B,品番!D:D)</f>
        <v>メイン</v>
      </c>
      <c r="E811" s="179" t="s">
        <v>2048</v>
      </c>
      <c r="F811" s="180" t="s">
        <v>2047</v>
      </c>
      <c r="G811" s="181">
        <v>0</v>
      </c>
      <c r="H811" s="122" t="s">
        <v>1907</v>
      </c>
      <c r="K811" s="142" t="s">
        <v>2041</v>
      </c>
      <c r="M811" s="266" t="str" cm="1">
        <f t="array" ref="M811">_xlfn.TEXTJOIN(",", TRUE, _xlfn._xlws.FILTER(適用号機!D:D, (適用号機!B:B=改定!F811)*(適用号機!C:C=改定!G811), ""))</f>
        <v>A13AW</v>
      </c>
      <c r="N811" s="142" t="str">
        <f t="shared" si="15"/>
        <v>05542-00189-00</v>
      </c>
      <c r="O811" s="122" t="s">
        <v>47</v>
      </c>
    </row>
    <row r="812" spans="1:15">
      <c r="A812" s="122" t="s">
        <v>245</v>
      </c>
      <c r="B812" s="189" t="str">
        <f>_xlfn.XLOOKUP(F812,品番!B:B,品番!G:G)</f>
        <v>A13AW</v>
      </c>
      <c r="C812" s="189" t="str">
        <f>_xlfn.XLOOKUP(F812,品番!B:B,品番!C:C)</f>
        <v>コントローラ</v>
      </c>
      <c r="D812" s="189" t="str">
        <f>_xlfn.XLOOKUP(F812,品番!B:B,品番!D:D)</f>
        <v>メイン</v>
      </c>
      <c r="E812" s="179" t="s">
        <v>2040</v>
      </c>
      <c r="F812" s="180" t="s">
        <v>2047</v>
      </c>
      <c r="G812" s="181">
        <v>1</v>
      </c>
      <c r="H812" s="122" t="s">
        <v>679</v>
      </c>
      <c r="K812" s="142" t="s">
        <v>2042</v>
      </c>
      <c r="M812" s="266" t="str" cm="1">
        <f t="array" ref="M812">_xlfn.TEXTJOIN(",", TRUE, _xlfn._xlws.FILTER(適用号機!D:D, (適用号機!B:B=改定!F812)*(適用号機!C:C=改定!G812), ""))</f>
        <v>A13AW</v>
      </c>
      <c r="N812" s="142" t="str">
        <f t="shared" si="15"/>
        <v>05542-00189-01</v>
      </c>
      <c r="O812" s="122" t="s">
        <v>47</v>
      </c>
    </row>
    <row r="813" spans="1:15">
      <c r="A813" s="122" t="s">
        <v>245</v>
      </c>
      <c r="B813" s="189" t="str">
        <f>_xlfn.XLOOKUP(F813,品番!B:B,品番!G:G)</f>
        <v>A13AW</v>
      </c>
      <c r="C813" s="189" t="str">
        <f>_xlfn.XLOOKUP(F813,品番!B:B,品番!C:C)</f>
        <v>コントローラ</v>
      </c>
      <c r="D813" s="189" t="str">
        <f>_xlfn.XLOOKUP(F813,品番!B:B,品番!D:D)</f>
        <v>メイン</v>
      </c>
      <c r="E813" s="179" t="s">
        <v>2048</v>
      </c>
      <c r="F813" s="180" t="s">
        <v>2050</v>
      </c>
      <c r="G813" s="181">
        <v>0</v>
      </c>
      <c r="H813" s="122" t="s">
        <v>1907</v>
      </c>
      <c r="K813" s="142" t="s">
        <v>2041</v>
      </c>
      <c r="M813" s="266" t="str" cm="1">
        <f t="array" ref="M813">_xlfn.TEXTJOIN(",", TRUE, _xlfn._xlws.FILTER(適用号機!D:D, (適用号機!B:B=改定!F813)*(適用号機!C:C=改定!G813), ""))</f>
        <v>A13AW</v>
      </c>
      <c r="N813" s="142" t="str">
        <f t="shared" si="15"/>
        <v>05542-00198-00</v>
      </c>
      <c r="O813" s="122" t="s">
        <v>47</v>
      </c>
    </row>
    <row r="814" spans="1:15">
      <c r="A814" s="122" t="s">
        <v>245</v>
      </c>
      <c r="B814" s="189" t="str">
        <f>_xlfn.XLOOKUP(F814,品番!B:B,品番!G:G)</f>
        <v>A13AW</v>
      </c>
      <c r="C814" s="189" t="str">
        <f>_xlfn.XLOOKUP(F814,品番!B:B,品番!C:C)</f>
        <v>コントローラ</v>
      </c>
      <c r="D814" s="189" t="str">
        <f>_xlfn.XLOOKUP(F814,品番!B:B,品番!D:D)</f>
        <v>メイン</v>
      </c>
      <c r="E814" s="179" t="s">
        <v>2040</v>
      </c>
      <c r="F814" s="180" t="s">
        <v>2050</v>
      </c>
      <c r="G814" s="181">
        <v>1</v>
      </c>
      <c r="H814" s="122" t="s">
        <v>679</v>
      </c>
      <c r="K814" s="142" t="s">
        <v>2042</v>
      </c>
      <c r="M814" s="266" t="str" cm="1">
        <f t="array" ref="M814">_xlfn.TEXTJOIN(",", TRUE, _xlfn._xlws.FILTER(適用号機!D:D, (適用号機!B:B=改定!F814)*(適用号機!C:C=改定!G814), ""))</f>
        <v>A13AW</v>
      </c>
      <c r="N814" s="142" t="str">
        <f t="shared" si="15"/>
        <v>05542-00198-01</v>
      </c>
      <c r="O814" s="122" t="s">
        <v>47</v>
      </c>
    </row>
    <row r="815" spans="1:15">
      <c r="A815" s="122" t="s">
        <v>174</v>
      </c>
      <c r="B815" s="189" t="str">
        <f>_xlfn.XLOOKUP(F815,品番!B:B,品番!G:G)</f>
        <v>E3F</v>
      </c>
      <c r="C815" s="189" t="str">
        <f>_xlfn.XLOOKUP(F815,品番!B:B,品番!C:C)</f>
        <v>コントローラ</v>
      </c>
      <c r="D815" s="189" t="str">
        <f>_xlfn.XLOOKUP(F815,品番!B:B,品番!D:D)</f>
        <v>メイン</v>
      </c>
      <c r="E815" s="179" t="s">
        <v>2053</v>
      </c>
      <c r="F815" s="180" t="s">
        <v>2052</v>
      </c>
      <c r="G815" s="181">
        <v>0</v>
      </c>
      <c r="H815" s="122" t="s">
        <v>2057</v>
      </c>
      <c r="K815" s="142" t="s">
        <v>2055</v>
      </c>
      <c r="M815" s="266" t="str" cm="1">
        <f t="array" ref="M815">_xlfn.TEXTJOIN(",", TRUE, _xlfn._xlws.FILTER(適用号機!D:D, (適用号機!B:B=改定!F815)*(適用号機!C:C=改定!G815), ""))</f>
        <v>E3F</v>
      </c>
      <c r="N815" s="142" t="str">
        <f t="shared" si="15"/>
        <v>03342-00503-00</v>
      </c>
      <c r="O815" s="122" t="s">
        <v>47</v>
      </c>
    </row>
    <row r="816" spans="1:15">
      <c r="A816" s="122" t="s">
        <v>174</v>
      </c>
      <c r="B816" s="189" t="str">
        <f>_xlfn.XLOOKUP(F816,品番!B:B,品番!G:G)</f>
        <v>E3F</v>
      </c>
      <c r="C816" s="189" t="str">
        <f>_xlfn.XLOOKUP(F816,品番!B:B,品番!C:C)</f>
        <v>コントローラ</v>
      </c>
      <c r="D816" s="189" t="str">
        <f>_xlfn.XLOOKUP(F816,品番!B:B,品番!D:D)</f>
        <v>メイン</v>
      </c>
      <c r="E816" s="179" t="s">
        <v>2054</v>
      </c>
      <c r="F816" s="180" t="s">
        <v>2052</v>
      </c>
      <c r="G816" s="181">
        <v>1</v>
      </c>
      <c r="H816" s="122" t="s">
        <v>453</v>
      </c>
      <c r="M816" s="266" t="str" cm="1">
        <f t="array" ref="M816">_xlfn.TEXTJOIN(",", TRUE, _xlfn._xlws.FILTER(適用号機!D:D, (適用号機!B:B=改定!F816)*(適用号機!C:C=改定!G816), ""))</f>
        <v>E3F</v>
      </c>
      <c r="N816" s="142" t="str">
        <f t="shared" si="15"/>
        <v>03342-00503-01</v>
      </c>
      <c r="O816" s="122" t="s">
        <v>47</v>
      </c>
    </row>
    <row r="817" spans="2:15">
      <c r="B817" s="189" t="str">
        <f>_xlfn.XLOOKUP(F817,品番!B:B,品番!G:G)</f>
        <v>A14IW</v>
      </c>
      <c r="C817" s="189" t="str">
        <f>_xlfn.XLOOKUP(F817,品番!B:B,品番!C:C)</f>
        <v>グリップ</v>
      </c>
      <c r="D817" s="189" t="str">
        <f>_xlfn.XLOOKUP(F817,品番!B:B,品番!D:D)</f>
        <v>グリップ左</v>
      </c>
      <c r="E817" s="179" t="s">
        <v>2068</v>
      </c>
      <c r="F817" s="173" t="s">
        <v>2063</v>
      </c>
      <c r="G817" s="181">
        <v>0</v>
      </c>
      <c r="H817" s="122" t="s">
        <v>2072</v>
      </c>
      <c r="K817" s="142" t="s">
        <v>2066</v>
      </c>
      <c r="M817" s="266" t="str" cm="1">
        <f t="array" ref="M817">_xlfn.TEXTJOIN(",", TRUE, _xlfn._xlws.FILTER(適用号機!D:D, (適用号機!B:B=改定!F817)*(適用号機!C:C=改定!G817), ""))</f>
        <v>A14IW,A13AW</v>
      </c>
      <c r="N817" s="142" t="str">
        <f t="shared" ref="N817:N840" si="16">F817 &amp;"-" &amp; TEXT(G817,"00")</f>
        <v>16502-06460-00</v>
      </c>
      <c r="O817" s="122" t="s">
        <v>47</v>
      </c>
    </row>
    <row r="818" spans="2:15">
      <c r="B818" s="189" t="str">
        <f>_xlfn.XLOOKUP(F818,品番!B:B,品番!G:G)</f>
        <v>A14IW</v>
      </c>
      <c r="C818" s="189" t="str">
        <f>_xlfn.XLOOKUP(F818,品番!B:B,品番!C:C)</f>
        <v>グリップ</v>
      </c>
      <c r="D818" s="189" t="str">
        <f>_xlfn.XLOOKUP(F818,品番!B:B,品番!D:D)</f>
        <v>グリップ左</v>
      </c>
      <c r="E818" s="179" t="s">
        <v>2069</v>
      </c>
      <c r="F818" s="173" t="s">
        <v>2063</v>
      </c>
      <c r="G818" s="181">
        <v>1</v>
      </c>
      <c r="H818" s="122" t="s">
        <v>2072</v>
      </c>
      <c r="K818" s="142" t="s">
        <v>2070</v>
      </c>
      <c r="M818" s="266" t="str" cm="1">
        <f t="array" ref="M818">_xlfn.TEXTJOIN(",", TRUE, _xlfn._xlws.FILTER(適用号機!D:D, (適用号機!B:B=改定!F818)*(適用号機!C:C=改定!G818), ""))</f>
        <v/>
      </c>
      <c r="N818" s="142" t="str">
        <f t="shared" si="16"/>
        <v>16502-06460-01</v>
      </c>
      <c r="O818" s="122" t="s">
        <v>47</v>
      </c>
    </row>
    <row r="819" spans="2:15">
      <c r="B819" s="189" t="str">
        <f>_xlfn.XLOOKUP(F819,品番!B:B,品番!G:G)</f>
        <v>A14IW</v>
      </c>
      <c r="C819" s="189" t="str">
        <f>_xlfn.XLOOKUP(F819,品番!B:B,品番!C:C)</f>
        <v>グリップ</v>
      </c>
      <c r="D819" s="189" t="str">
        <f>_xlfn.XLOOKUP(F819,品番!B:B,品番!D:D)</f>
        <v>グリップ左</v>
      </c>
      <c r="E819" s="179" t="s">
        <v>2067</v>
      </c>
      <c r="F819" s="173" t="s">
        <v>2063</v>
      </c>
      <c r="G819" s="181">
        <v>2</v>
      </c>
      <c r="H819" s="122" t="s">
        <v>2072</v>
      </c>
      <c r="K819" s="142" t="s">
        <v>2071</v>
      </c>
      <c r="M819" s="266" t="str" cm="1">
        <f t="array" ref="M819">_xlfn.TEXTJOIN(",", TRUE, _xlfn._xlws.FILTER(適用号機!D:D, (適用号機!B:B=改定!F819)*(適用号機!C:C=改定!G819), ""))</f>
        <v/>
      </c>
      <c r="N819" s="142" t="str">
        <f t="shared" si="16"/>
        <v>16502-06460-02</v>
      </c>
      <c r="O819" s="122" t="s">
        <v>47</v>
      </c>
    </row>
    <row r="820" spans="2:15">
      <c r="B820" s="189" t="str">
        <f>_xlfn.XLOOKUP(F820,品番!B:B,品番!G:G)</f>
        <v>A14IW</v>
      </c>
      <c r="C820" s="189" t="str">
        <f>_xlfn.XLOOKUP(F820,品番!B:B,品番!C:C)</f>
        <v>グリップ</v>
      </c>
      <c r="D820" s="189" t="str">
        <f>_xlfn.XLOOKUP(F820,品番!B:B,品番!D:D)</f>
        <v>グリップ右</v>
      </c>
      <c r="E820" s="179" t="s">
        <v>2068</v>
      </c>
      <c r="F820" s="173" t="s">
        <v>2065</v>
      </c>
      <c r="G820" s="181">
        <v>0</v>
      </c>
      <c r="H820" s="122" t="s">
        <v>2072</v>
      </c>
      <c r="K820" s="142" t="s">
        <v>2066</v>
      </c>
      <c r="M820" s="266" t="str" cm="1">
        <f t="array" ref="M820">_xlfn.TEXTJOIN(",", TRUE, _xlfn._xlws.FILTER(適用号機!D:D, (適用号機!B:B=改定!F820)*(適用号機!C:C=改定!G820), ""))</f>
        <v/>
      </c>
      <c r="N820" s="142" t="str">
        <f t="shared" si="16"/>
        <v>16502-06470-00</v>
      </c>
      <c r="O820" s="122" t="s">
        <v>47</v>
      </c>
    </row>
    <row r="821" spans="2:15">
      <c r="B821" s="189" t="str">
        <f>_xlfn.XLOOKUP(F821,品番!B:B,品番!G:G)</f>
        <v>A14IW</v>
      </c>
      <c r="C821" s="189" t="str">
        <f>_xlfn.XLOOKUP(F821,品番!B:B,品番!C:C)</f>
        <v>グリップ</v>
      </c>
      <c r="D821" s="189" t="str">
        <f>_xlfn.XLOOKUP(F821,品番!B:B,品番!D:D)</f>
        <v>グリップ右</v>
      </c>
      <c r="E821" s="179" t="s">
        <v>2069</v>
      </c>
      <c r="F821" s="173" t="s">
        <v>2065</v>
      </c>
      <c r="G821" s="181">
        <v>1</v>
      </c>
      <c r="H821" s="122" t="s">
        <v>2072</v>
      </c>
      <c r="K821" s="142" t="s">
        <v>2070</v>
      </c>
      <c r="M821" s="266" t="str" cm="1">
        <f t="array" ref="M821">_xlfn.TEXTJOIN(",", TRUE, _xlfn._xlws.FILTER(適用号機!D:D, (適用号機!B:B=改定!F821)*(適用号機!C:C=改定!G821), ""))</f>
        <v>A14IW,A13AW</v>
      </c>
      <c r="N821" s="142" t="str">
        <f t="shared" si="16"/>
        <v>16502-06470-01</v>
      </c>
      <c r="O821" s="122" t="s">
        <v>47</v>
      </c>
    </row>
    <row r="822" spans="2:15">
      <c r="B822" s="189" t="str">
        <f>_xlfn.XLOOKUP(F822,品番!B:B,品番!G:G)</f>
        <v>A14IW</v>
      </c>
      <c r="C822" s="189" t="str">
        <f>_xlfn.XLOOKUP(F822,品番!B:B,品番!C:C)</f>
        <v>グリップ</v>
      </c>
      <c r="D822" s="189" t="str">
        <f>_xlfn.XLOOKUP(F822,品番!B:B,品番!D:D)</f>
        <v>グリップ右</v>
      </c>
      <c r="E822" s="179" t="s">
        <v>2067</v>
      </c>
      <c r="F822" s="173" t="s">
        <v>2065</v>
      </c>
      <c r="G822" s="181">
        <v>2</v>
      </c>
      <c r="H822" s="122" t="s">
        <v>2072</v>
      </c>
      <c r="K822" s="142" t="s">
        <v>2071</v>
      </c>
      <c r="M822" s="266" t="str" cm="1">
        <f t="array" ref="M822">_xlfn.TEXTJOIN(",", TRUE, _xlfn._xlws.FILTER(適用号機!D:D, (適用号機!B:B=改定!F822)*(適用号機!C:C=改定!G822), ""))</f>
        <v>A14IW,A13AW</v>
      </c>
      <c r="N822" s="142" t="str">
        <f t="shared" si="16"/>
        <v>16502-06470-02</v>
      </c>
      <c r="O822" s="122" t="s">
        <v>47</v>
      </c>
    </row>
    <row r="823" spans="2:15">
      <c r="B823" s="189" t="e">
        <f>_xlfn.XLOOKUP(F823,品番!B:B,品番!G:G)</f>
        <v>#N/A</v>
      </c>
      <c r="C823" s="189" t="e">
        <f>_xlfn.XLOOKUP(F823,品番!B:B,品番!C:C)</f>
        <v>#N/A</v>
      </c>
      <c r="D823" s="189" t="e">
        <f>_xlfn.XLOOKUP(F823,品番!B:B,品番!D:D)</f>
        <v>#N/A</v>
      </c>
      <c r="M823" s="266" t="str" cm="1">
        <f t="array" ref="M823">_xlfn.TEXTJOIN(",", TRUE, _xlfn._xlws.FILTER(適用号機!D:D, (適用号機!B:B=改定!F823)*(適用号機!C:C=改定!G823), ""))</f>
        <v/>
      </c>
      <c r="N823" s="142" t="str">
        <f t="shared" si="16"/>
        <v>-00</v>
      </c>
    </row>
    <row r="824" spans="2:15">
      <c r="B824" s="189" t="e">
        <f>_xlfn.XLOOKUP(F824,品番!B:B,品番!G:G)</f>
        <v>#N/A</v>
      </c>
      <c r="C824" s="189" t="e">
        <f>_xlfn.XLOOKUP(F824,品番!B:B,品番!C:C)</f>
        <v>#N/A</v>
      </c>
      <c r="D824" s="189">
        <f>_xlfn.XLOOKUP(F824,品番!B:B,品番!D:D)</f>
        <v>0</v>
      </c>
      <c r="M824" s="266" t="str" cm="1">
        <f t="array" ref="M824">_xlfn.TEXTJOIN(",", TRUE, _xlfn._xlws.FILTER(適用号機!D:D, (適用号機!B:B=改定!F824)*(適用号機!C:C=改定!G824), ""))</f>
        <v/>
      </c>
      <c r="N824" s="142" t="str">
        <f t="shared" si="16"/>
        <v>-00</v>
      </c>
    </row>
    <row r="825" spans="2:15">
      <c r="B825" s="189" t="e">
        <f>_xlfn.XLOOKUP(F825,品番!B:B,品番!G:G)</f>
        <v>#N/A</v>
      </c>
      <c r="C825" s="189" t="e">
        <f>_xlfn.XLOOKUP(F825,品番!B:B,品番!C:C)</f>
        <v>#N/A</v>
      </c>
      <c r="D825" s="189" t="e">
        <f>_xlfn.XLOOKUP(F825,品番!B:B,品番!D:D)</f>
        <v>#N/A</v>
      </c>
      <c r="M825" s="266" t="str" cm="1">
        <f t="array" ref="M825">_xlfn.TEXTJOIN(",", TRUE, _xlfn._xlws.FILTER(適用号機!D:D, (適用号機!B:B=改定!F825)*(適用号機!C:C=改定!G825), ""))</f>
        <v/>
      </c>
      <c r="N825" s="142" t="str">
        <f t="shared" si="16"/>
        <v>-00</v>
      </c>
    </row>
    <row r="826" spans="2:15">
      <c r="B826" s="189" t="e">
        <f>_xlfn.XLOOKUP(F826,品番!B:B,品番!G:G)</f>
        <v>#N/A</v>
      </c>
      <c r="C826" s="189" t="e">
        <f>_xlfn.XLOOKUP(F826,品番!B:B,品番!C:C)</f>
        <v>#N/A</v>
      </c>
      <c r="D826" s="189" t="e">
        <f>_xlfn.XLOOKUP(F826,品番!B:B,品番!D:D)</f>
        <v>#N/A</v>
      </c>
      <c r="M826" s="266" t="str" cm="1">
        <f t="array" ref="M826">_xlfn.TEXTJOIN(",", TRUE, _xlfn._xlws.FILTER(適用号機!D:D, (適用号機!B:B=改定!F826)*(適用号機!C:C=改定!G826), ""))</f>
        <v/>
      </c>
      <c r="N826" s="142" t="str">
        <f t="shared" si="16"/>
        <v>-00</v>
      </c>
    </row>
    <row r="827" spans="2:15">
      <c r="B827" s="189" t="e">
        <f>_xlfn.XLOOKUP(F827,品番!B:B,品番!G:G)</f>
        <v>#N/A</v>
      </c>
      <c r="C827" s="189">
        <f>_xlfn.XLOOKUP(F827,品番!B:B,品番!C:C)</f>
        <v>0</v>
      </c>
      <c r="D827" s="189" t="e">
        <f>_xlfn.XLOOKUP(F827,品番!B:B,品番!D:D)</f>
        <v>#N/A</v>
      </c>
      <c r="M827" s="266" t="str" cm="1">
        <f t="array" ref="M827">_xlfn.TEXTJOIN(",", TRUE, _xlfn._xlws.FILTER(適用号機!D:D, (適用号機!B:B=改定!F827)*(適用号機!C:C=改定!G827), ""))</f>
        <v/>
      </c>
      <c r="N827" s="142" t="str">
        <f t="shared" si="16"/>
        <v>-00</v>
      </c>
    </row>
    <row r="828" spans="2:15">
      <c r="B828" s="189" t="e">
        <f>_xlfn.XLOOKUP(F828,品番!B:B,品番!G:G)</f>
        <v>#N/A</v>
      </c>
      <c r="C828" s="189" t="e">
        <f>_xlfn.XLOOKUP(F828,品番!B:B,品番!C:C)</f>
        <v>#N/A</v>
      </c>
      <c r="D828" s="189">
        <f>_xlfn.XLOOKUP(F828,品番!B:B,品番!D:D)</f>
        <v>0</v>
      </c>
      <c r="M828" s="266" t="str" cm="1">
        <f t="array" ref="M828">_xlfn.TEXTJOIN(",", TRUE, _xlfn._xlws.FILTER(適用号機!D:D, (適用号機!B:B=改定!F828)*(適用号機!C:C=改定!G828), ""))</f>
        <v/>
      </c>
      <c r="N828" s="142" t="str">
        <f t="shared" si="16"/>
        <v>-00</v>
      </c>
    </row>
    <row r="829" spans="2:15">
      <c r="B829" s="189" t="e">
        <f>_xlfn.XLOOKUP(F829,品番!B:B,品番!G:G)</f>
        <v>#N/A</v>
      </c>
      <c r="C829" s="189" t="e">
        <f>_xlfn.XLOOKUP(F829,品番!B:B,品番!C:C)</f>
        <v>#N/A</v>
      </c>
      <c r="D829" s="189" t="e">
        <f>_xlfn.XLOOKUP(F829,品番!B:B,品番!D:D)</f>
        <v>#N/A</v>
      </c>
      <c r="M829" s="266" t="str" cm="1">
        <f t="array" ref="M829">_xlfn.TEXTJOIN(",", TRUE, _xlfn._xlws.FILTER(適用号機!D:D, (適用号機!B:B=改定!F829)*(適用号機!C:C=改定!G829), ""))</f>
        <v/>
      </c>
      <c r="N829" s="142" t="str">
        <f t="shared" si="16"/>
        <v>-00</v>
      </c>
    </row>
    <row r="830" spans="2:15">
      <c r="B830" s="189" t="e">
        <f>_xlfn.XLOOKUP(F830,品番!B:B,品番!G:G)</f>
        <v>#N/A</v>
      </c>
      <c r="C830" s="189" t="e">
        <f>_xlfn.XLOOKUP(F830,品番!B:B,品番!C:C)</f>
        <v>#N/A</v>
      </c>
      <c r="D830" s="189" t="e">
        <f>_xlfn.XLOOKUP(F830,品番!B:B,品番!D:D)</f>
        <v>#N/A</v>
      </c>
      <c r="M830" s="266" t="str" cm="1">
        <f t="array" ref="M830">_xlfn.TEXTJOIN(",", TRUE, _xlfn._xlws.FILTER(適用号機!D:D, (適用号機!B:B=改定!F830)*(適用号機!C:C=改定!G830), ""))</f>
        <v/>
      </c>
      <c r="N830" s="142" t="str">
        <f t="shared" si="16"/>
        <v>-00</v>
      </c>
    </row>
    <row r="831" spans="2:15">
      <c r="B831" s="189" t="e">
        <f>_xlfn.XLOOKUP(F831,品番!B:B,品番!G:G)</f>
        <v>#N/A</v>
      </c>
      <c r="C831" s="189" t="e">
        <f>_xlfn.XLOOKUP(F831,品番!B:B,品番!C:C)</f>
        <v>#N/A</v>
      </c>
      <c r="D831" s="189" t="e">
        <f>_xlfn.XLOOKUP(F831,品番!B:B,品番!D:D)</f>
        <v>#N/A</v>
      </c>
      <c r="M831" s="266" t="str" cm="1">
        <f t="array" ref="M831">_xlfn.TEXTJOIN(",", TRUE, _xlfn._xlws.FILTER(適用号機!D:D, (適用号機!B:B=改定!F831)*(適用号機!C:C=改定!G831), ""))</f>
        <v/>
      </c>
      <c r="N831" s="142" t="str">
        <f t="shared" si="16"/>
        <v>-00</v>
      </c>
    </row>
    <row r="832" spans="2:15">
      <c r="B832" s="189" t="e">
        <f>_xlfn.XLOOKUP(F832,品番!B:B,品番!G:G)</f>
        <v>#N/A</v>
      </c>
      <c r="C832" s="189" t="e">
        <f>_xlfn.XLOOKUP(F832,品番!B:B,品番!C:C)</f>
        <v>#N/A</v>
      </c>
      <c r="D832" s="189" t="e">
        <f>_xlfn.XLOOKUP(F832,品番!B:B,品番!D:D)</f>
        <v>#N/A</v>
      </c>
      <c r="M832" s="266" t="str" cm="1">
        <f t="array" ref="M832">_xlfn.TEXTJOIN(",", TRUE, _xlfn._xlws.FILTER(適用号機!D:D, (適用号機!B:B=改定!F832)*(適用号機!C:C=改定!G832), ""))</f>
        <v/>
      </c>
      <c r="N832" s="142" t="str">
        <f t="shared" si="16"/>
        <v>-00</v>
      </c>
    </row>
    <row r="833" spans="2:14">
      <c r="B833" s="189" t="e">
        <f>_xlfn.XLOOKUP(F833,品番!B:B,品番!G:G)</f>
        <v>#N/A</v>
      </c>
      <c r="C833" s="189" t="e">
        <f>_xlfn.XLOOKUP(F833,品番!B:B,品番!C:C)</f>
        <v>#N/A</v>
      </c>
      <c r="D833" s="189" t="e">
        <f>_xlfn.XLOOKUP(F833,品番!B:B,品番!D:D)</f>
        <v>#N/A</v>
      </c>
      <c r="M833" s="266" t="str" cm="1">
        <f t="array" ref="M833">_xlfn.TEXTJOIN(",", TRUE, _xlfn._xlws.FILTER(適用号機!D:D, (適用号機!B:B=改定!F833)*(適用号機!C:C=改定!G833), ""))</f>
        <v/>
      </c>
      <c r="N833" s="142" t="str">
        <f t="shared" si="16"/>
        <v>-00</v>
      </c>
    </row>
    <row r="834" spans="2:14">
      <c r="B834" s="189" t="e">
        <f>_xlfn.XLOOKUP(F834,品番!B:B,品番!G:G)</f>
        <v>#N/A</v>
      </c>
      <c r="C834" s="189" t="e">
        <f>_xlfn.XLOOKUP(F834,品番!B:B,品番!C:C)</f>
        <v>#N/A</v>
      </c>
      <c r="D834" s="189" t="e">
        <f>_xlfn.XLOOKUP(F834,品番!B:B,品番!D:D)</f>
        <v>#N/A</v>
      </c>
      <c r="M834" s="266" t="str" cm="1">
        <f t="array" ref="M834">_xlfn.TEXTJOIN(",", TRUE, _xlfn._xlws.FILTER(適用号機!D:D, (適用号機!B:B=改定!F834)*(適用号機!C:C=改定!G834), ""))</f>
        <v/>
      </c>
      <c r="N834" s="142" t="str">
        <f t="shared" si="16"/>
        <v>-00</v>
      </c>
    </row>
    <row r="835" spans="2:14">
      <c r="B835" s="189" t="e">
        <f>_xlfn.XLOOKUP(F835,品番!B:B,品番!G:G)</f>
        <v>#N/A</v>
      </c>
      <c r="C835" s="189">
        <f>_xlfn.XLOOKUP(F835,品番!B:B,品番!C:C)</f>
        <v>0</v>
      </c>
      <c r="D835" s="189" t="e">
        <f>_xlfn.XLOOKUP(F835,品番!B:B,品番!D:D)</f>
        <v>#N/A</v>
      </c>
      <c r="M835" s="266" t="str" cm="1">
        <f t="array" ref="M835">_xlfn.TEXTJOIN(",", TRUE, _xlfn._xlws.FILTER(適用号機!D:D, (適用号機!B:B=改定!F835)*(適用号機!C:C=改定!G835), ""))</f>
        <v/>
      </c>
      <c r="N835" s="142" t="str">
        <f t="shared" si="16"/>
        <v>-00</v>
      </c>
    </row>
    <row r="836" spans="2:14">
      <c r="B836" s="189" t="e">
        <f>_xlfn.XLOOKUP(F836,品番!B:B,品番!G:G)</f>
        <v>#N/A</v>
      </c>
      <c r="C836" s="189" t="e">
        <f>_xlfn.XLOOKUP(F836,品番!B:B,品番!C:C)</f>
        <v>#N/A</v>
      </c>
      <c r="D836" s="189">
        <f>_xlfn.XLOOKUP(F836,品番!B:B,品番!D:D)</f>
        <v>0</v>
      </c>
      <c r="M836" s="266" t="str" cm="1">
        <f t="array" ref="M836">_xlfn.TEXTJOIN(",", TRUE, _xlfn._xlws.FILTER(適用号機!D:D, (適用号機!B:B=改定!F836)*(適用号機!C:C=改定!G836), ""))</f>
        <v/>
      </c>
      <c r="N836" s="142" t="str">
        <f t="shared" si="16"/>
        <v>-00</v>
      </c>
    </row>
    <row r="837" spans="2:14">
      <c r="B837" s="189" t="e">
        <f>_xlfn.XLOOKUP(F837,品番!B:B,品番!G:G)</f>
        <v>#N/A</v>
      </c>
      <c r="C837" s="189" t="e">
        <f>_xlfn.XLOOKUP(F837,品番!B:B,品番!C:C)</f>
        <v>#N/A</v>
      </c>
      <c r="D837" s="189" t="e">
        <f>_xlfn.XLOOKUP(F837,品番!B:B,品番!D:D)</f>
        <v>#N/A</v>
      </c>
      <c r="M837" s="266" t="str" cm="1">
        <f t="array" ref="M837">_xlfn.TEXTJOIN(",", TRUE, _xlfn._xlws.FILTER(適用号機!D:D, (適用号機!B:B=改定!F837)*(適用号機!C:C=改定!G837), ""))</f>
        <v/>
      </c>
      <c r="N837" s="142" t="str">
        <f t="shared" si="16"/>
        <v>-00</v>
      </c>
    </row>
    <row r="838" spans="2:14">
      <c r="B838" s="189" t="e">
        <f>_xlfn.XLOOKUP(F838,品番!B:B,品番!G:G)</f>
        <v>#N/A</v>
      </c>
      <c r="C838" s="189" t="e">
        <f>_xlfn.XLOOKUP(F838,品番!B:B,品番!C:C)</f>
        <v>#N/A</v>
      </c>
      <c r="D838" s="189" t="e">
        <f>_xlfn.XLOOKUP(F838,品番!B:B,品番!D:D)</f>
        <v>#N/A</v>
      </c>
      <c r="M838" s="266" t="str" cm="1">
        <f t="array" ref="M838">_xlfn.TEXTJOIN(",", TRUE, _xlfn._xlws.FILTER(適用号機!D:D, (適用号機!B:B=改定!F838)*(適用号機!C:C=改定!G838), ""))</f>
        <v/>
      </c>
      <c r="N838" s="142" t="str">
        <f t="shared" si="16"/>
        <v>-00</v>
      </c>
    </row>
    <row r="839" spans="2:14">
      <c r="B839" s="189" t="e">
        <f>_xlfn.XLOOKUP(F839,品番!B:B,品番!G:G)</f>
        <v>#N/A</v>
      </c>
      <c r="C839" s="189" t="e">
        <f>_xlfn.XLOOKUP(F839,品番!B:B,品番!C:C)</f>
        <v>#N/A</v>
      </c>
      <c r="D839" s="189" t="e">
        <f>_xlfn.XLOOKUP(F839,品番!B:B,品番!D:D)</f>
        <v>#N/A</v>
      </c>
      <c r="M839" s="266" t="str" cm="1">
        <f t="array" ref="M839">_xlfn.TEXTJOIN(",", TRUE, _xlfn._xlws.FILTER(適用号機!D:D, (適用号機!B:B=改定!F839)*(適用号機!C:C=改定!G839), ""))</f>
        <v/>
      </c>
      <c r="N839" s="142" t="str">
        <f t="shared" si="16"/>
        <v>-00</v>
      </c>
    </row>
    <row r="840" spans="2:14">
      <c r="B840" s="189" t="e">
        <f>_xlfn.XLOOKUP(F840,品番!B:B,品番!G:G)</f>
        <v>#N/A</v>
      </c>
      <c r="C840" s="189" t="e">
        <f>_xlfn.XLOOKUP(F840,品番!B:B,品番!C:C)</f>
        <v>#N/A</v>
      </c>
      <c r="D840" s="189" t="e">
        <f>_xlfn.XLOOKUP(F840,品番!B:B,品番!D:D)</f>
        <v>#N/A</v>
      </c>
      <c r="M840" s="266" t="str" cm="1">
        <f t="array" ref="M840">_xlfn.TEXTJOIN(",", TRUE, _xlfn._xlws.FILTER(適用号機!D:D, (適用号機!B:B=改定!F840)*(適用号機!C:C=改定!G840), ""))</f>
        <v/>
      </c>
      <c r="N840" s="142" t="str">
        <f t="shared" si="16"/>
        <v>-00</v>
      </c>
    </row>
    <row r="841" spans="2:14">
      <c r="B841" s="189" t="e">
        <f>_xlfn.XLOOKUP(F841,品番!B:B,品番!G:G)</f>
        <v>#N/A</v>
      </c>
      <c r="C841" s="189" t="e">
        <f>_xlfn.XLOOKUP(F841,品番!B:B,品番!C:C)</f>
        <v>#N/A</v>
      </c>
      <c r="D841" s="189" t="e">
        <f>_xlfn.XLOOKUP(F841,品番!B:B,品番!D:D)</f>
        <v>#N/A</v>
      </c>
      <c r="M841" s="266" t="str" cm="1">
        <f t="array" ref="M841">_xlfn.TEXTJOIN(",", TRUE, _xlfn._xlws.FILTER(適用号機!D:D, (適用号機!B:B=改定!F841)*(適用号機!C:C=改定!G841), ""))</f>
        <v/>
      </c>
    </row>
    <row r="842" spans="2:14">
      <c r="M842" s="266" t="str" cm="1">
        <f t="array" ref="M842">_xlfn.TEXTJOIN(",", TRUE, _xlfn._xlws.FILTER(適用号機!D:D, (適用号機!B:B=改定!F842)*(適用号機!C:C=改定!G842), ""))</f>
        <v/>
      </c>
    </row>
    <row r="843" spans="2:14">
      <c r="M843" s="266" t="str" cm="1">
        <f t="array" ref="M843">_xlfn.TEXTJOIN(",", TRUE, _xlfn._xlws.FILTER(適用号機!D:D, (適用号機!B:B=改定!F843)*(適用号機!C:C=改定!G843), ""))</f>
        <v/>
      </c>
    </row>
    <row r="844" spans="2:14">
      <c r="M844" s="266" t="str" cm="1">
        <f t="array" ref="M844">_xlfn.TEXTJOIN(",", TRUE, _xlfn._xlws.FILTER(適用号機!D:D, (適用号機!B:B=改定!F844)*(適用号機!C:C=改定!G844), ""))</f>
        <v/>
      </c>
    </row>
    <row r="845" spans="2:14">
      <c r="M845" s="266" t="str" cm="1">
        <f t="array" ref="M845">_xlfn.TEXTJOIN(",", TRUE, _xlfn._xlws.FILTER(適用号機!D:D, (適用号機!B:B=改定!F845)*(適用号機!C:C=改定!G845), ""))</f>
        <v/>
      </c>
    </row>
    <row r="846" spans="2:14">
      <c r="M846" s="266" t="str" cm="1">
        <f t="array" ref="M846">_xlfn.TEXTJOIN(",", TRUE, _xlfn._xlws.FILTER(適用号機!D:D, (適用号機!B:B=改定!F846)*(適用号機!C:C=改定!G846), ""))</f>
        <v/>
      </c>
    </row>
    <row r="847" spans="2:14">
      <c r="M847" s="266" t="str" cm="1">
        <f t="array" ref="M847">_xlfn.TEXTJOIN(",", TRUE, _xlfn._xlws.FILTER(適用号機!D:D, (適用号機!B:B=改定!F847)*(適用号機!C:C=改定!G847), ""))</f>
        <v/>
      </c>
    </row>
    <row r="848" spans="2:14">
      <c r="M848" s="266" t="str" cm="1">
        <f t="array" ref="M848">_xlfn.TEXTJOIN(",", TRUE, _xlfn._xlws.FILTER(適用号機!D:D, (適用号機!B:B=改定!F848)*(適用号機!C:C=改定!G848), ""))</f>
        <v/>
      </c>
    </row>
    <row r="849" spans="13:13">
      <c r="M849" s="266" t="str" cm="1">
        <f t="array" ref="M849">_xlfn.TEXTJOIN(",", TRUE, _xlfn._xlws.FILTER(適用号機!D:D, (適用号機!B:B=改定!F849)*(適用号機!C:C=改定!G849), ""))</f>
        <v/>
      </c>
    </row>
    <row r="850" spans="13:13">
      <c r="M850" s="266" t="str" cm="1">
        <f t="array" ref="M850">_xlfn.TEXTJOIN(",", TRUE, _xlfn._xlws.FILTER(適用号機!D:D, (適用号機!B:B=改定!F850)*(適用号機!C:C=改定!G850), ""))</f>
        <v/>
      </c>
    </row>
    <row r="851" spans="13:13">
      <c r="M851" s="266" t="str" cm="1">
        <f t="array" ref="M851">_xlfn.TEXTJOIN(",", TRUE, _xlfn._xlws.FILTER(適用号機!D:D, (適用号機!B:B=改定!F851)*(適用号機!C:C=改定!G851), ""))</f>
        <v/>
      </c>
    </row>
    <row r="852" spans="13:13">
      <c r="M852" s="266" t="str" cm="1">
        <f t="array" ref="M852">_xlfn.TEXTJOIN(",", TRUE, _xlfn._xlws.FILTER(適用号機!D:D, (適用号機!B:B=改定!F852)*(適用号機!C:C=改定!G852), ""))</f>
        <v/>
      </c>
    </row>
    <row r="853" spans="13:13">
      <c r="M853" s="266" t="str" cm="1">
        <f t="array" ref="M853">_xlfn.TEXTJOIN(",", TRUE, _xlfn._xlws.FILTER(適用号機!D:D, (適用号機!B:B=改定!F853)*(適用号機!C:C=改定!G853), ""))</f>
        <v/>
      </c>
    </row>
    <row r="854" spans="13:13">
      <c r="M854" s="266" t="str" cm="1">
        <f t="array" ref="M854">_xlfn.TEXTJOIN(",", TRUE, _xlfn._xlws.FILTER(適用号機!D:D, (適用号機!B:B=改定!F854)*(適用号機!C:C=改定!G854), ""))</f>
        <v/>
      </c>
    </row>
    <row r="855" spans="13:13">
      <c r="M855" s="266" t="str" cm="1">
        <f t="array" ref="M855">_xlfn.TEXTJOIN(",", TRUE, _xlfn._xlws.FILTER(適用号機!D:D, (適用号機!B:B=改定!F855)*(適用号機!C:C=改定!G855), ""))</f>
        <v/>
      </c>
    </row>
    <row r="856" spans="13:13">
      <c r="M856" s="266" t="str" cm="1">
        <f t="array" ref="M856">_xlfn.TEXTJOIN(",", TRUE, _xlfn._xlws.FILTER(適用号機!D:D, (適用号機!B:B=改定!F856)*(適用号機!C:C=改定!G856), ""))</f>
        <v/>
      </c>
    </row>
    <row r="857" spans="13:13">
      <c r="M857" s="266" t="str" cm="1">
        <f t="array" ref="M857">_xlfn.TEXTJOIN(",", TRUE, _xlfn._xlws.FILTER(適用号機!D:D, (適用号機!B:B=改定!F857)*(適用号機!C:C=改定!G857), ""))</f>
        <v/>
      </c>
    </row>
    <row r="858" spans="13:13">
      <c r="M858" s="266" t="str" cm="1">
        <f t="array" ref="M858">_xlfn.TEXTJOIN(",", TRUE, _xlfn._xlws.FILTER(適用号機!D:D, (適用号機!B:B=改定!F858)*(適用号機!C:C=改定!G858), ""))</f>
        <v/>
      </c>
    </row>
    <row r="859" spans="13:13">
      <c r="M859" s="266" t="str" cm="1">
        <f t="array" ref="M859">_xlfn.TEXTJOIN(",", TRUE, _xlfn._xlws.FILTER(適用号機!D:D, (適用号機!B:B=改定!F859)*(適用号機!C:C=改定!G859), ""))</f>
        <v/>
      </c>
    </row>
    <row r="860" spans="13:13">
      <c r="M860" s="266" t="str" cm="1">
        <f t="array" ref="M860">_xlfn.TEXTJOIN(",", TRUE, _xlfn._xlws.FILTER(適用号機!D:D, (適用号機!B:B=改定!F860)*(適用号機!C:C=改定!G860), ""))</f>
        <v/>
      </c>
    </row>
    <row r="861" spans="13:13">
      <c r="M861" s="266" t="str" cm="1">
        <f t="array" ref="M861">_xlfn.TEXTJOIN(",", TRUE, _xlfn._xlws.FILTER(適用号機!D:D, (適用号機!B:B=改定!F861)*(適用号機!C:C=改定!G861), ""))</f>
        <v/>
      </c>
    </row>
    <row r="862" spans="13:13">
      <c r="M862" s="266" t="str" cm="1">
        <f t="array" ref="M862">_xlfn.TEXTJOIN(",", TRUE, _xlfn._xlws.FILTER(適用号機!D:D, (適用号機!B:B=改定!F862)*(適用号機!C:C=改定!G862), ""))</f>
        <v/>
      </c>
    </row>
    <row r="863" spans="13:13">
      <c r="M863" s="266" t="str" cm="1">
        <f t="array" ref="M863">_xlfn.TEXTJOIN(",", TRUE, _xlfn._xlws.FILTER(適用号機!D:D, (適用号機!B:B=改定!F863)*(適用号機!C:C=改定!G863), ""))</f>
        <v/>
      </c>
    </row>
    <row r="864" spans="13:13">
      <c r="M864" s="266" t="str" cm="1">
        <f t="array" ref="M864">_xlfn.TEXTJOIN(",", TRUE, _xlfn._xlws.FILTER(適用号機!D:D, (適用号機!B:B=改定!F864)*(適用号機!C:C=改定!G864), ""))</f>
        <v/>
      </c>
    </row>
    <row r="865" spans="13:13">
      <c r="M865" s="266" t="str" cm="1">
        <f t="array" ref="M865">_xlfn.TEXTJOIN(",", TRUE, _xlfn._xlws.FILTER(適用号機!D:D, (適用号機!B:B=改定!F865)*(適用号機!C:C=改定!G865), ""))</f>
        <v/>
      </c>
    </row>
    <row r="866" spans="13:13">
      <c r="M866" s="266" t="str" cm="1">
        <f t="array" ref="M866">_xlfn.TEXTJOIN(",", TRUE, _xlfn._xlws.FILTER(適用号機!D:D, (適用号機!B:B=改定!F866)*(適用号機!C:C=改定!G866), ""))</f>
        <v/>
      </c>
    </row>
    <row r="867" spans="13:13">
      <c r="M867" s="266" t="str" cm="1">
        <f t="array" ref="M867">_xlfn.TEXTJOIN(",", TRUE, _xlfn._xlws.FILTER(適用号機!D:D, (適用号機!B:B=改定!F867)*(適用号機!C:C=改定!G867), ""))</f>
        <v/>
      </c>
    </row>
    <row r="868" spans="13:13">
      <c r="M868" s="266" t="str" cm="1">
        <f t="array" ref="M868">_xlfn.TEXTJOIN(",", TRUE, _xlfn._xlws.FILTER(適用号機!D:D, (適用号機!B:B=改定!F868)*(適用号機!C:C=改定!G868), ""))</f>
        <v/>
      </c>
    </row>
    <row r="869" spans="13:13">
      <c r="M869" s="266" t="str" cm="1">
        <f t="array" ref="M869">_xlfn.TEXTJOIN(",", TRUE, _xlfn._xlws.FILTER(適用号機!D:D, (適用号機!B:B=改定!F869)*(適用号機!C:C=改定!G869), ""))</f>
        <v/>
      </c>
    </row>
    <row r="870" spans="13:13">
      <c r="M870" s="266" t="str" cm="1">
        <f t="array" ref="M870">_xlfn.TEXTJOIN(",", TRUE, _xlfn._xlws.FILTER(適用号機!D:D, (適用号機!B:B=改定!F870)*(適用号機!C:C=改定!G870), ""))</f>
        <v/>
      </c>
    </row>
    <row r="871" spans="13:13">
      <c r="M871" s="266" t="str" cm="1">
        <f t="array" ref="M871">_xlfn.TEXTJOIN(",", TRUE, _xlfn._xlws.FILTER(適用号機!D:D, (適用号機!B:B=改定!F871)*(適用号機!C:C=改定!G871), ""))</f>
        <v/>
      </c>
    </row>
    <row r="872" spans="13:13">
      <c r="M872" s="266" t="str" cm="1">
        <f t="array" ref="M872">_xlfn.TEXTJOIN(",", TRUE, _xlfn._xlws.FILTER(適用号機!D:D, (適用号機!B:B=改定!F872)*(適用号機!C:C=改定!G872), ""))</f>
        <v/>
      </c>
    </row>
    <row r="873" spans="13:13">
      <c r="M873" s="266" t="str" cm="1">
        <f t="array" ref="M873">_xlfn.TEXTJOIN(",", TRUE, _xlfn._xlws.FILTER(適用号機!D:D, (適用号機!B:B=改定!F873)*(適用号機!C:C=改定!G873), ""))</f>
        <v/>
      </c>
    </row>
    <row r="874" spans="13:13">
      <c r="M874" s="266" t="str" cm="1">
        <f t="array" ref="M874">_xlfn.TEXTJOIN(",", TRUE, _xlfn._xlws.FILTER(適用号機!D:D, (適用号機!B:B=改定!F874)*(適用号機!C:C=改定!G874), ""))</f>
        <v/>
      </c>
    </row>
    <row r="875" spans="13:13">
      <c r="M875" s="266" t="str" cm="1">
        <f t="array" ref="M875">_xlfn.TEXTJOIN(",", TRUE, _xlfn._xlws.FILTER(適用号機!D:D, (適用号機!B:B=改定!F875)*(適用号機!C:C=改定!G875), ""))</f>
        <v/>
      </c>
    </row>
    <row r="876" spans="13:13">
      <c r="M876" s="266" t="str" cm="1">
        <f t="array" ref="M876">_xlfn.TEXTJOIN(",", TRUE, _xlfn._xlws.FILTER(適用号機!D:D, (適用号機!B:B=改定!F876)*(適用号機!C:C=改定!G876), ""))</f>
        <v/>
      </c>
    </row>
    <row r="877" spans="13:13">
      <c r="M877" s="266" t="str" cm="1">
        <f t="array" ref="M877">_xlfn.TEXTJOIN(",", TRUE, _xlfn._xlws.FILTER(適用号機!D:D, (適用号機!B:B=改定!F877)*(適用号機!C:C=改定!G877), ""))</f>
        <v/>
      </c>
    </row>
    <row r="878" spans="13:13">
      <c r="M878" s="266" t="str" cm="1">
        <f t="array" ref="M878">_xlfn.TEXTJOIN(",", TRUE, _xlfn._xlws.FILTER(適用号機!D:D, (適用号機!B:B=改定!F878)*(適用号機!C:C=改定!G878), ""))</f>
        <v/>
      </c>
    </row>
    <row r="879" spans="13:13">
      <c r="M879" s="266" t="str" cm="1">
        <f t="array" ref="M879">_xlfn.TEXTJOIN(",", TRUE, _xlfn._xlws.FILTER(適用号機!D:D, (適用号機!B:B=改定!F879)*(適用号機!C:C=改定!G879), ""))</f>
        <v/>
      </c>
    </row>
    <row r="882" spans="2:15">
      <c r="B882" s="189">
        <f>_xlfn.XLOOKUP(F882,品番!B:B,品番!G:G)</f>
        <v>0</v>
      </c>
      <c r="C882" s="189" t="str">
        <f>_xlfn.XLOOKUP(F882,品番!B:B,品番!C:C)</f>
        <v>ディスプレイ</v>
      </c>
      <c r="D882" s="189">
        <f>_xlfn.XLOOKUP(F882,品番!B:B,品番!D:D)</f>
        <v>0</v>
      </c>
      <c r="E882" s="179" t="s">
        <v>1932</v>
      </c>
      <c r="F882" s="180" t="s">
        <v>1923</v>
      </c>
      <c r="G882" s="181">
        <v>5</v>
      </c>
      <c r="H882" s="122" t="s">
        <v>305</v>
      </c>
      <c r="K882" s="142" t="s">
        <v>1958</v>
      </c>
      <c r="M882" s="266">
        <f>COUNTIF(適用号機!B:B,改定!F882)</f>
        <v>72</v>
      </c>
      <c r="N882" s="142" t="str">
        <f t="shared" ref="N882" si="17">F882 &amp;"-" &amp; TEXT(G882,"00")</f>
        <v>17301-43667-05</v>
      </c>
      <c r="O882" s="122" t="s">
        <v>47</v>
      </c>
    </row>
    <row r="883" spans="2:15">
      <c r="M883" s="266" t="e" cm="1" vm="1">
        <f t="array" aca="1" ref="M883" ca="1">IF(適用号機!B:B=改定!F883,"OK","NG")</f>
        <v>#VALUE!</v>
      </c>
    </row>
  </sheetData>
  <autoFilter ref="A1:O857" xr:uid="{64A729B8-C4D0-4CE2-9108-57EB31D6998F}"/>
  <sortState xmlns:xlrd2="http://schemas.microsoft.com/office/spreadsheetml/2017/richdata2" ref="A2:S607">
    <sortCondition ref="F2:F607"/>
    <sortCondition ref="G2:G607"/>
  </sortState>
  <phoneticPr fontId="1"/>
  <conditionalFormatting sqref="G1:G1048576">
    <cfRule type="expression" dxfId="2" priority="1">
      <formula>COUNTIFS(F:F,F1,G:G,G1)&gt;1</formula>
    </cfRule>
  </conditionalFormatting>
  <pageMargins left="0.35433070866141736" right="0.27559055118110237" top="0.55118110236220474" bottom="0.47244094488188981" header="0.51181102362204722" footer="0.51181102362204722"/>
  <pageSetup paperSize="9" scale="5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B213F-EECF-4467-93B1-0C0D5949006F}">
  <dimension ref="A1:C7"/>
  <sheetViews>
    <sheetView workbookViewId="0">
      <selection activeCell="B7" sqref="B7"/>
    </sheetView>
  </sheetViews>
  <sheetFormatPr defaultRowHeight="13.5"/>
  <cols>
    <col min="1" max="1" width="4.5" bestFit="1" customWidth="1"/>
    <col min="2" max="2" width="3.5" bestFit="1" customWidth="1"/>
  </cols>
  <sheetData>
    <row r="1" spans="1:3">
      <c r="A1" t="s">
        <v>2089</v>
      </c>
      <c r="B1" t="s">
        <v>2090</v>
      </c>
      <c r="C1" t="b">
        <f>COUNTIFS($A$2:$A$7,$A1,$B$2:$B$7,$B1)&gt;1</f>
        <v>0</v>
      </c>
    </row>
    <row r="2" spans="1:3">
      <c r="A2" t="s">
        <v>2084</v>
      </c>
      <c r="B2">
        <v>10</v>
      </c>
      <c r="C2" t="b">
        <f t="shared" ref="C2:C7" si="0">COUNTIFS($A$2:$A$7,$A2,$B$2:$B$7,$B2)&gt;1</f>
        <v>0</v>
      </c>
    </row>
    <row r="3" spans="1:3">
      <c r="A3" t="s">
        <v>2084</v>
      </c>
      <c r="B3">
        <v>11</v>
      </c>
      <c r="C3" t="b">
        <f t="shared" si="0"/>
        <v>1</v>
      </c>
    </row>
    <row r="4" spans="1:3">
      <c r="A4" t="s">
        <v>2085</v>
      </c>
      <c r="B4">
        <v>1</v>
      </c>
      <c r="C4" t="b">
        <f t="shared" si="0"/>
        <v>0</v>
      </c>
    </row>
    <row r="5" spans="1:3">
      <c r="A5" t="s">
        <v>2085</v>
      </c>
      <c r="B5">
        <v>2</v>
      </c>
      <c r="C5" t="b">
        <f t="shared" si="0"/>
        <v>0</v>
      </c>
    </row>
    <row r="6" spans="1:3">
      <c r="A6" t="s">
        <v>2085</v>
      </c>
      <c r="B6">
        <v>3</v>
      </c>
      <c r="C6" t="b">
        <f t="shared" si="0"/>
        <v>0</v>
      </c>
    </row>
    <row r="7" spans="1:3">
      <c r="A7" t="s">
        <v>2084</v>
      </c>
      <c r="B7">
        <v>11</v>
      </c>
      <c r="C7" t="b">
        <f t="shared" si="0"/>
        <v>1</v>
      </c>
    </row>
  </sheetData>
  <phoneticPr fontId="1"/>
  <conditionalFormatting sqref="A1:B7">
    <cfRule type="expression" dxfId="1" priority="1">
      <formula>COUNTIFS($A$2:$A$7,$A1,$B$2:$B$7,$B1)&gt;1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F3FAF-CA73-438B-8BC3-5C3841A3CDA0}">
  <sheetPr codeName="Sheet1"/>
  <dimension ref="A1:R1548"/>
  <sheetViews>
    <sheetView tabSelected="1" zoomScaleNormal="100" workbookViewId="0">
      <pane ySplit="1" topLeftCell="A1501" activePane="bottomLeft" state="frozen"/>
      <selection activeCell="D736" sqref="D736"/>
      <selection pane="bottomLeft" activeCell="B1423" sqref="B1423:C1423"/>
    </sheetView>
  </sheetViews>
  <sheetFormatPr defaultColWidth="15.375" defaultRowHeight="13.5"/>
  <cols>
    <col min="1" max="1" width="10" style="170" bestFit="1" customWidth="1"/>
    <col min="2" max="2" width="13.75" style="119" customWidth="1"/>
    <col min="3" max="3" width="4.375" style="120" bestFit="1" customWidth="1"/>
    <col min="4" max="4" width="14" style="234" customWidth="1"/>
    <col min="5" max="6" width="8.875" style="248" customWidth="1"/>
    <col min="7" max="7" width="8.875" style="121" customWidth="1"/>
    <col min="8" max="8" width="39.75" style="151" customWidth="1"/>
    <col min="9" max="9" width="29.625" style="122" bestFit="1" customWidth="1"/>
    <col min="10" max="10" width="10" style="122" customWidth="1"/>
    <col min="11" max="11" width="51.625" style="122" customWidth="1"/>
    <col min="12" max="12" width="63.125" style="122" customWidth="1"/>
    <col min="13" max="13" width="11.125" style="122" customWidth="1"/>
    <col min="14" max="14" width="16.75" style="123" bestFit="1" customWidth="1"/>
    <col min="15" max="15" width="24.375" style="122" customWidth="1"/>
    <col min="16" max="16" width="43.375" style="122" customWidth="1"/>
    <col min="17" max="17" width="26.75" style="122" customWidth="1"/>
    <col min="18" max="16384" width="15.375" style="122"/>
  </cols>
  <sheetData>
    <row r="1" spans="1:14" ht="32.25" customHeight="1">
      <c r="A1" s="255" t="s">
        <v>1836</v>
      </c>
      <c r="B1" s="256" t="s">
        <v>251</v>
      </c>
      <c r="C1" s="257" t="s">
        <v>252</v>
      </c>
      <c r="D1" s="258" t="s">
        <v>2</v>
      </c>
      <c r="E1" s="259" t="s">
        <v>482</v>
      </c>
      <c r="F1" s="259" t="s">
        <v>483</v>
      </c>
      <c r="G1" s="258" t="s">
        <v>1175</v>
      </c>
      <c r="H1" s="256" t="s">
        <v>1183</v>
      </c>
      <c r="N1" s="122"/>
    </row>
    <row r="2" spans="1:14">
      <c r="A2" s="170">
        <f>_xlfn.XLOOKUP(B2 &amp; "-" &amp; TEXT(C2,"00"),改定!N:N,改定!E:E)</f>
        <v>33269</v>
      </c>
      <c r="B2" s="119" t="s">
        <v>484</v>
      </c>
      <c r="C2" s="124">
        <v>0</v>
      </c>
      <c r="D2" s="234" t="s">
        <v>485</v>
      </c>
      <c r="E2" s="248">
        <v>1213</v>
      </c>
      <c r="F2" s="248">
        <v>0</v>
      </c>
    </row>
    <row r="3" spans="1:14">
      <c r="A3" s="170">
        <f>_xlfn.XLOOKUP(B3 &amp; "-" &amp; TEXT(C3,"00"),改定!N:N,改定!E:E)</f>
        <v>33390</v>
      </c>
      <c r="B3" s="119" t="s">
        <v>486</v>
      </c>
      <c r="C3" s="120">
        <v>0</v>
      </c>
      <c r="D3" s="234" t="s">
        <v>211</v>
      </c>
      <c r="E3" s="248">
        <v>3</v>
      </c>
      <c r="F3" s="248">
        <v>0</v>
      </c>
      <c r="L3" s="125"/>
      <c r="M3" s="126"/>
      <c r="N3" s="127"/>
    </row>
    <row r="4" spans="1:14">
      <c r="A4" s="170">
        <f>_xlfn.XLOOKUP(B4 &amp; "-" &amp; TEXT(C4,"00"),改定!N:N,改定!E:E)</f>
        <v>33453</v>
      </c>
      <c r="B4" s="119" t="s">
        <v>484</v>
      </c>
      <c r="C4" s="120">
        <v>1</v>
      </c>
      <c r="D4" s="234" t="s">
        <v>487</v>
      </c>
      <c r="E4" s="248">
        <v>-1</v>
      </c>
      <c r="F4" s="248">
        <v>0</v>
      </c>
      <c r="L4" s="125"/>
      <c r="M4" s="126"/>
      <c r="N4" s="127"/>
    </row>
    <row r="5" spans="1:14">
      <c r="A5" s="170">
        <f>_xlfn.XLOOKUP(B5 &amp; "-" &amp; TEXT(C5,"00"),改定!N:N,改定!E:E)</f>
        <v>33453</v>
      </c>
      <c r="B5" s="119" t="s">
        <v>484</v>
      </c>
      <c r="C5" s="120">
        <v>1</v>
      </c>
      <c r="D5" s="234" t="s">
        <v>485</v>
      </c>
      <c r="E5" s="248">
        <v>-1</v>
      </c>
      <c r="F5" s="248">
        <v>0</v>
      </c>
      <c r="L5" s="125"/>
      <c r="M5" s="126"/>
      <c r="N5" s="127"/>
    </row>
    <row r="6" spans="1:14">
      <c r="A6" s="170">
        <f>_xlfn.XLOOKUP(B6 &amp; "-" &amp; TEXT(C6,"00"),改定!N:N,改定!E:E)</f>
        <v>33453</v>
      </c>
      <c r="B6" s="119" t="s">
        <v>484</v>
      </c>
      <c r="C6" s="120">
        <v>1</v>
      </c>
      <c r="D6" s="234" t="s">
        <v>488</v>
      </c>
      <c r="E6" s="248">
        <v>-1</v>
      </c>
      <c r="F6" s="248">
        <v>0</v>
      </c>
      <c r="L6" s="125"/>
      <c r="M6" s="126"/>
      <c r="N6" s="127"/>
    </row>
    <row r="7" spans="1:14">
      <c r="A7" s="170">
        <f>_xlfn.XLOOKUP(B7 &amp; "-" &amp; TEXT(C7,"00"),改定!N:N,改定!E:E)</f>
        <v>33453</v>
      </c>
      <c r="B7" s="119" t="s">
        <v>484</v>
      </c>
      <c r="C7" s="120">
        <v>1</v>
      </c>
      <c r="D7" s="234" t="s">
        <v>489</v>
      </c>
      <c r="E7" s="248">
        <v>-1</v>
      </c>
      <c r="F7" s="248">
        <v>0</v>
      </c>
      <c r="L7" s="125"/>
      <c r="M7" s="126"/>
      <c r="N7" s="127"/>
    </row>
    <row r="8" spans="1:14">
      <c r="A8" s="170">
        <f>_xlfn.XLOOKUP(B8 &amp; "-" &amp; TEXT(C8,"00"),改定!N:N,改定!E:E)</f>
        <v>33457</v>
      </c>
      <c r="B8" s="119" t="s">
        <v>490</v>
      </c>
      <c r="C8" s="120">
        <v>0</v>
      </c>
      <c r="D8" s="234" t="s">
        <v>27</v>
      </c>
      <c r="E8" s="248">
        <v>1</v>
      </c>
      <c r="F8" s="248">
        <v>0</v>
      </c>
      <c r="L8" s="125"/>
      <c r="M8" s="126"/>
      <c r="N8" s="127"/>
    </row>
    <row r="9" spans="1:14">
      <c r="A9" s="170">
        <f>_xlfn.XLOOKUP(B9 &amp; "-" &amp; TEXT(C9,"00"),改定!N:N,改定!E:E)</f>
        <v>33457</v>
      </c>
      <c r="B9" s="119" t="s">
        <v>490</v>
      </c>
      <c r="C9" s="120">
        <v>0</v>
      </c>
      <c r="D9" s="234" t="s">
        <v>147</v>
      </c>
      <c r="E9" s="248">
        <v>1</v>
      </c>
      <c r="F9" s="248">
        <v>0</v>
      </c>
      <c r="L9" s="125"/>
      <c r="M9" s="126"/>
      <c r="N9" s="127"/>
    </row>
    <row r="10" spans="1:14">
      <c r="A10" s="170">
        <f>_xlfn.XLOOKUP(B10 &amp; "-" &amp; TEXT(C10,"00"),改定!N:N,改定!E:E)</f>
        <v>33631</v>
      </c>
      <c r="B10" s="119" t="s">
        <v>486</v>
      </c>
      <c r="C10" s="120">
        <v>1</v>
      </c>
      <c r="D10" s="234" t="s">
        <v>491</v>
      </c>
      <c r="E10" s="248">
        <v>2</v>
      </c>
      <c r="F10" s="248">
        <v>0</v>
      </c>
      <c r="L10" s="125"/>
      <c r="M10" s="126"/>
      <c r="N10" s="127"/>
    </row>
    <row r="11" spans="1:14">
      <c r="A11" s="170">
        <f>_xlfn.XLOOKUP(B11 &amp; "-" &amp; TEXT(C11,"00"),改定!N:N,改定!E:E)</f>
        <v>33631</v>
      </c>
      <c r="B11" s="119" t="s">
        <v>486</v>
      </c>
      <c r="C11" s="120">
        <v>1</v>
      </c>
      <c r="D11" s="234" t="s">
        <v>211</v>
      </c>
      <c r="E11" s="248">
        <v>3</v>
      </c>
      <c r="F11" s="248">
        <v>0</v>
      </c>
      <c r="L11" s="125"/>
      <c r="M11" s="126"/>
      <c r="N11" s="127"/>
    </row>
    <row r="12" spans="1:14">
      <c r="A12" s="170">
        <f>_xlfn.XLOOKUP(B12 &amp; "-" &amp; TEXT(C12,"00"),改定!N:N,改定!E:E)</f>
        <v>40000</v>
      </c>
      <c r="B12" s="119" t="s">
        <v>492</v>
      </c>
      <c r="C12" s="120">
        <v>0</v>
      </c>
      <c r="D12" s="234" t="s">
        <v>363</v>
      </c>
      <c r="E12" s="248">
        <v>2</v>
      </c>
      <c r="L12" s="125"/>
      <c r="M12" s="126"/>
      <c r="N12" s="127"/>
    </row>
    <row r="13" spans="1:14">
      <c r="A13" s="170">
        <f>_xlfn.XLOOKUP(B13 &amp; "-" &amp; TEXT(C13,"00"),改定!N:N,改定!E:E)</f>
        <v>40000</v>
      </c>
      <c r="B13" s="119" t="s">
        <v>492</v>
      </c>
      <c r="C13" s="120">
        <v>0</v>
      </c>
      <c r="D13" s="234" t="s">
        <v>113</v>
      </c>
      <c r="E13" s="248">
        <v>2</v>
      </c>
      <c r="L13" s="125"/>
      <c r="M13" s="126"/>
      <c r="N13" s="127"/>
    </row>
    <row r="14" spans="1:14">
      <c r="A14" s="170">
        <f>_xlfn.XLOOKUP(B14 &amp; "-" &amp; TEXT(C14,"00"),改定!N:N,改定!E:E)</f>
        <v>40004</v>
      </c>
      <c r="B14" s="119" t="s">
        <v>486</v>
      </c>
      <c r="C14" s="120">
        <v>2</v>
      </c>
      <c r="D14" s="234" t="s">
        <v>491</v>
      </c>
      <c r="E14" s="248">
        <v>3</v>
      </c>
      <c r="L14" s="125"/>
      <c r="M14" s="126"/>
      <c r="N14" s="127"/>
    </row>
    <row r="15" spans="1:14">
      <c r="A15" s="170">
        <f>_xlfn.XLOOKUP(B15 &amp; "-" &amp; TEXT(C15,"00"),改定!N:N,改定!E:E)</f>
        <v>40004</v>
      </c>
      <c r="B15" s="119" t="s">
        <v>486</v>
      </c>
      <c r="C15" s="120">
        <v>2</v>
      </c>
      <c r="D15" s="234" t="s">
        <v>211</v>
      </c>
      <c r="E15" s="248">
        <v>4</v>
      </c>
      <c r="L15" s="125"/>
      <c r="M15" s="126"/>
      <c r="N15" s="127"/>
    </row>
    <row r="16" spans="1:14">
      <c r="A16" s="170">
        <f>_xlfn.XLOOKUP(B16 &amp; "-" &amp; TEXT(C16,"00"),改定!N:N,改定!E:E)</f>
        <v>40059</v>
      </c>
      <c r="B16" s="119" t="s">
        <v>484</v>
      </c>
      <c r="C16" s="120">
        <v>2</v>
      </c>
      <c r="D16" s="234" t="s">
        <v>487</v>
      </c>
      <c r="E16" s="248" t="s">
        <v>47</v>
      </c>
      <c r="L16" s="125"/>
      <c r="M16" s="126"/>
      <c r="N16" s="127"/>
    </row>
    <row r="17" spans="1:14">
      <c r="A17" s="170">
        <f>_xlfn.XLOOKUP(B17 &amp; "-" &amp; TEXT(C17,"00"),改定!N:N,改定!E:E)</f>
        <v>40059</v>
      </c>
      <c r="B17" s="119" t="s">
        <v>484</v>
      </c>
      <c r="C17" s="120">
        <v>2</v>
      </c>
      <c r="D17" s="234" t="s">
        <v>485</v>
      </c>
      <c r="E17" s="248" t="s">
        <v>47</v>
      </c>
      <c r="L17" s="125"/>
      <c r="M17" s="126"/>
      <c r="N17" s="127"/>
    </row>
    <row r="18" spans="1:14">
      <c r="A18" s="170">
        <f>_xlfn.XLOOKUP(B18 &amp; "-" &amp; TEXT(C18,"00"),改定!N:N,改定!E:E)</f>
        <v>40059</v>
      </c>
      <c r="B18" s="119" t="s">
        <v>484</v>
      </c>
      <c r="C18" s="120">
        <v>2</v>
      </c>
      <c r="D18" s="234" t="s">
        <v>488</v>
      </c>
      <c r="E18" s="248" t="s">
        <v>47</v>
      </c>
      <c r="L18" s="125"/>
      <c r="M18" s="126"/>
      <c r="N18" s="127"/>
    </row>
    <row r="19" spans="1:14">
      <c r="A19" s="170">
        <f>_xlfn.XLOOKUP(B19 &amp; "-" &amp; TEXT(C19,"00"),改定!N:N,改定!E:E)</f>
        <v>40059</v>
      </c>
      <c r="B19" s="119" t="s">
        <v>484</v>
      </c>
      <c r="C19" s="120">
        <v>2</v>
      </c>
      <c r="D19" s="234" t="s">
        <v>489</v>
      </c>
      <c r="E19" s="248" t="s">
        <v>47</v>
      </c>
      <c r="L19" s="125"/>
      <c r="M19" s="126"/>
      <c r="N19" s="127"/>
    </row>
    <row r="20" spans="1:14">
      <c r="A20" s="170">
        <f>_xlfn.XLOOKUP(B20 &amp; "-" &amp; TEXT(C20,"00"),改定!N:N,改定!E:E)</f>
        <v>40088</v>
      </c>
      <c r="B20" s="119" t="s">
        <v>486</v>
      </c>
      <c r="C20" s="120">
        <v>3</v>
      </c>
      <c r="D20" s="234" t="s">
        <v>491</v>
      </c>
      <c r="E20" s="248" t="s">
        <v>47</v>
      </c>
      <c r="L20" s="125"/>
      <c r="M20" s="126"/>
      <c r="N20" s="127"/>
    </row>
    <row r="21" spans="1:14">
      <c r="A21" s="170">
        <f>_xlfn.XLOOKUP(B21 &amp; "-" &amp; TEXT(C21,"00"),改定!N:N,改定!E:E)</f>
        <v>40088</v>
      </c>
      <c r="B21" s="119" t="s">
        <v>486</v>
      </c>
      <c r="C21" s="120">
        <v>3</v>
      </c>
      <c r="D21" s="234" t="s">
        <v>211</v>
      </c>
      <c r="E21" s="248" t="s">
        <v>47</v>
      </c>
      <c r="L21" s="125"/>
      <c r="M21" s="126"/>
      <c r="N21" s="127"/>
    </row>
    <row r="22" spans="1:14">
      <c r="A22" s="170">
        <f>_xlfn.XLOOKUP(B22 &amp; "-" &amp; TEXT(C22,"00"),改定!N:N,改定!E:E)</f>
        <v>40151</v>
      </c>
      <c r="B22" s="119" t="s">
        <v>486</v>
      </c>
      <c r="C22" s="120">
        <v>4</v>
      </c>
      <c r="D22" s="234" t="s">
        <v>491</v>
      </c>
      <c r="E22" s="248">
        <v>2</v>
      </c>
      <c r="L22" s="125"/>
      <c r="M22" s="126"/>
      <c r="N22" s="127"/>
    </row>
    <row r="23" spans="1:14">
      <c r="A23" s="170">
        <f>_xlfn.XLOOKUP(B23 &amp; "-" &amp; TEXT(C23,"00"),改定!N:N,改定!E:E)</f>
        <v>40151</v>
      </c>
      <c r="B23" s="119" t="s">
        <v>486</v>
      </c>
      <c r="C23" s="120">
        <v>4</v>
      </c>
      <c r="D23" s="234" t="s">
        <v>211</v>
      </c>
      <c r="E23" s="248">
        <v>3</v>
      </c>
      <c r="L23" s="125"/>
      <c r="M23" s="126"/>
      <c r="N23" s="127"/>
    </row>
    <row r="24" spans="1:14">
      <c r="A24" s="170">
        <f>_xlfn.XLOOKUP(B24 &amp; "-" &amp; TEXT(C24,"00"),改定!N:N,改定!E:E)</f>
        <v>40194</v>
      </c>
      <c r="B24" s="119" t="s">
        <v>486</v>
      </c>
      <c r="C24" s="120">
        <v>5</v>
      </c>
      <c r="D24" s="234" t="s">
        <v>491</v>
      </c>
      <c r="E24" s="248">
        <v>87</v>
      </c>
      <c r="L24" s="125"/>
      <c r="M24" s="126"/>
      <c r="N24" s="127"/>
    </row>
    <row r="25" spans="1:14">
      <c r="A25" s="170">
        <f>_xlfn.XLOOKUP(B25 &amp; "-" &amp; TEXT(C25,"00"),改定!N:N,改定!E:E)</f>
        <v>40194</v>
      </c>
      <c r="B25" s="119" t="s">
        <v>486</v>
      </c>
      <c r="C25" s="120">
        <v>5</v>
      </c>
      <c r="D25" s="234" t="s">
        <v>211</v>
      </c>
      <c r="E25" s="248">
        <v>4</v>
      </c>
      <c r="L25" s="125"/>
      <c r="M25" s="126"/>
      <c r="N25" s="127"/>
    </row>
    <row r="26" spans="1:14">
      <c r="A26" s="170">
        <f>_xlfn.XLOOKUP(B26 &amp; "-" &amp; TEXT(C26,"00"),改定!N:N,改定!E:E)</f>
        <v>40250</v>
      </c>
      <c r="B26" s="119" t="s">
        <v>486</v>
      </c>
      <c r="C26" s="120">
        <v>6</v>
      </c>
      <c r="D26" s="234" t="s">
        <v>205</v>
      </c>
      <c r="E26" s="248">
        <v>1</v>
      </c>
      <c r="L26" s="125"/>
      <c r="M26" s="126"/>
      <c r="N26" s="127"/>
    </row>
    <row r="27" spans="1:14">
      <c r="A27" s="170">
        <f>_xlfn.XLOOKUP(B27 &amp; "-" &amp; TEXT(C27,"00"),改定!N:N,改定!E:E)</f>
        <v>40250</v>
      </c>
      <c r="B27" s="119" t="s">
        <v>486</v>
      </c>
      <c r="C27" s="120">
        <v>6</v>
      </c>
      <c r="D27" s="234" t="s">
        <v>491</v>
      </c>
      <c r="E27" s="248">
        <v>242</v>
      </c>
      <c r="L27" s="125"/>
      <c r="M27" s="126"/>
      <c r="N27" s="127"/>
    </row>
    <row r="28" spans="1:14">
      <c r="A28" s="170">
        <f>_xlfn.XLOOKUP(B28 &amp; "-" &amp; TEXT(C28,"00"),改定!N:N,改定!E:E)</f>
        <v>40250</v>
      </c>
      <c r="B28" s="119" t="s">
        <v>486</v>
      </c>
      <c r="C28" s="120">
        <v>6</v>
      </c>
      <c r="D28" s="234" t="s">
        <v>211</v>
      </c>
      <c r="E28" s="248">
        <v>100</v>
      </c>
      <c r="L28" s="125"/>
      <c r="M28" s="126"/>
      <c r="N28" s="127"/>
    </row>
    <row r="29" spans="1:14">
      <c r="A29" s="170">
        <f>_xlfn.XLOOKUP(B29 &amp; "-" &amp; TEXT(C29,"00"),改定!N:N,改定!E:E)</f>
        <v>40311</v>
      </c>
      <c r="B29" s="119" t="s">
        <v>492</v>
      </c>
      <c r="C29" s="120">
        <v>1</v>
      </c>
      <c r="D29" s="234" t="s">
        <v>363</v>
      </c>
      <c r="E29" s="248">
        <v>3</v>
      </c>
      <c r="L29" s="125"/>
      <c r="M29" s="126"/>
      <c r="N29" s="127"/>
    </row>
    <row r="30" spans="1:14">
      <c r="A30" s="170">
        <f>_xlfn.XLOOKUP(B30 &amp; "-" &amp; TEXT(C30,"00"),改定!N:N,改定!E:E)</f>
        <v>40385</v>
      </c>
      <c r="B30" s="119" t="s">
        <v>492</v>
      </c>
      <c r="C30" s="120">
        <v>2</v>
      </c>
      <c r="D30" s="234" t="s">
        <v>363</v>
      </c>
      <c r="E30" s="248">
        <v>5</v>
      </c>
      <c r="L30" s="125"/>
      <c r="M30" s="126"/>
      <c r="N30" s="127"/>
    </row>
    <row r="31" spans="1:14">
      <c r="A31" s="170">
        <f>_xlfn.XLOOKUP(B31 &amp; "-" &amp; TEXT(C31,"00"),改定!N:N,改定!E:E)</f>
        <v>40415</v>
      </c>
      <c r="B31" s="119" t="s">
        <v>492</v>
      </c>
      <c r="C31" s="120">
        <v>3</v>
      </c>
      <c r="D31" s="234" t="s">
        <v>363</v>
      </c>
      <c r="E31" s="248">
        <v>2</v>
      </c>
      <c r="L31" s="125"/>
      <c r="M31" s="126"/>
      <c r="N31" s="127"/>
    </row>
    <row r="32" spans="1:14">
      <c r="A32" s="170">
        <f>_xlfn.XLOOKUP(B32 &amp; "-" &amp; TEXT(C32,"00"),改定!N:N,改定!E:E)</f>
        <v>40416</v>
      </c>
      <c r="B32" s="119" t="s">
        <v>486</v>
      </c>
      <c r="C32" s="120">
        <v>7</v>
      </c>
      <c r="D32" s="234" t="s">
        <v>205</v>
      </c>
      <c r="E32" s="248">
        <v>2</v>
      </c>
      <c r="L32" s="125"/>
      <c r="M32" s="126"/>
      <c r="N32" s="127"/>
    </row>
    <row r="33" spans="1:14">
      <c r="A33" s="170">
        <f>_xlfn.XLOOKUP(B33 &amp; "-" &amp; TEXT(C33,"00"),改定!N:N,改定!E:E)</f>
        <v>40416</v>
      </c>
      <c r="B33" s="119" t="s">
        <v>486</v>
      </c>
      <c r="C33" s="120">
        <v>7</v>
      </c>
      <c r="D33" s="234" t="s">
        <v>491</v>
      </c>
      <c r="E33" s="248">
        <v>368</v>
      </c>
      <c r="L33" s="125"/>
      <c r="M33" s="126"/>
      <c r="N33" s="127"/>
    </row>
    <row r="34" spans="1:14">
      <c r="A34" s="170">
        <f>_xlfn.XLOOKUP(B34 &amp; "-" &amp; TEXT(C34,"00"),改定!N:N,改定!E:E)</f>
        <v>40416</v>
      </c>
      <c r="B34" s="119" t="s">
        <v>486</v>
      </c>
      <c r="C34" s="120">
        <v>7</v>
      </c>
      <c r="D34" s="234" t="s">
        <v>211</v>
      </c>
      <c r="E34" s="248">
        <v>192</v>
      </c>
      <c r="L34" s="125"/>
      <c r="M34" s="126"/>
      <c r="N34" s="127"/>
    </row>
    <row r="35" spans="1:14">
      <c r="A35" s="170">
        <f>_xlfn.XLOOKUP(B35 &amp; "-" &amp; TEXT(C35,"00"),改定!N:N,改定!E:E)</f>
        <v>40509</v>
      </c>
      <c r="B35" s="119" t="s">
        <v>492</v>
      </c>
      <c r="C35" s="120">
        <v>4</v>
      </c>
      <c r="D35" s="234" t="s">
        <v>363</v>
      </c>
      <c r="E35" s="248">
        <v>2</v>
      </c>
      <c r="L35" s="125"/>
      <c r="M35" s="126"/>
      <c r="N35" s="127"/>
    </row>
    <row r="36" spans="1:14">
      <c r="A36" s="170">
        <f>_xlfn.XLOOKUP(B36 &amp; "-" &amp; TEXT(C36,"00"),改定!N:N,改定!E:E)</f>
        <v>40652</v>
      </c>
      <c r="B36" s="119" t="s">
        <v>493</v>
      </c>
      <c r="C36" s="120">
        <v>0</v>
      </c>
      <c r="D36" s="234" t="s">
        <v>27</v>
      </c>
      <c r="E36" s="248">
        <v>2</v>
      </c>
      <c r="L36" s="125"/>
      <c r="M36" s="126"/>
      <c r="N36" s="127"/>
    </row>
    <row r="37" spans="1:14">
      <c r="A37" s="170">
        <f>_xlfn.XLOOKUP(B37 &amp; "-" &amp; TEXT(C37,"00"),改定!N:N,改定!E:E)</f>
        <v>40652</v>
      </c>
      <c r="B37" s="119" t="s">
        <v>493</v>
      </c>
      <c r="C37" s="120">
        <v>0</v>
      </c>
      <c r="D37" s="234" t="s">
        <v>147</v>
      </c>
      <c r="E37" s="248">
        <v>3</v>
      </c>
      <c r="L37" s="125"/>
      <c r="M37" s="126"/>
      <c r="N37" s="127"/>
    </row>
    <row r="38" spans="1:14">
      <c r="A38" s="170">
        <f>_xlfn.XLOOKUP(B38 &amp; "-" &amp; TEXT(C38,"00"),改定!N:N,改定!E:E)</f>
        <v>40677</v>
      </c>
      <c r="B38" s="119" t="s">
        <v>494</v>
      </c>
      <c r="C38" s="120">
        <v>1</v>
      </c>
      <c r="D38" s="234" t="s">
        <v>27</v>
      </c>
      <c r="E38" s="248">
        <v>2</v>
      </c>
      <c r="L38" s="125"/>
      <c r="M38" s="126"/>
      <c r="N38" s="127"/>
    </row>
    <row r="39" spans="1:14">
      <c r="A39" s="170">
        <f>_xlfn.XLOOKUP(B39 &amp; "-" &amp; TEXT(C39,"00"),改定!N:N,改定!E:E)</f>
        <v>40677</v>
      </c>
      <c r="B39" s="119" t="s">
        <v>494</v>
      </c>
      <c r="C39" s="120">
        <v>1</v>
      </c>
      <c r="D39" s="234" t="s">
        <v>147</v>
      </c>
      <c r="E39" s="248">
        <v>3</v>
      </c>
      <c r="L39" s="125"/>
      <c r="M39" s="126"/>
      <c r="N39" s="127"/>
    </row>
    <row r="40" spans="1:14">
      <c r="A40" s="170">
        <f>_xlfn.XLOOKUP(B40 &amp; "-" &amp; TEXT(C40,"00"),改定!N:N,改定!E:E)</f>
        <v>40708</v>
      </c>
      <c r="B40" s="119" t="s">
        <v>492</v>
      </c>
      <c r="C40" s="120">
        <v>5</v>
      </c>
      <c r="D40" s="234" t="s">
        <v>363</v>
      </c>
      <c r="E40" s="248" t="s">
        <v>47</v>
      </c>
      <c r="L40" s="125"/>
      <c r="M40" s="126"/>
      <c r="N40" s="127"/>
    </row>
    <row r="41" spans="1:14">
      <c r="A41" s="170">
        <f>_xlfn.XLOOKUP(B41 &amp; "-" &amp; TEXT(C41,"00"),改定!N:N,改定!E:E)</f>
        <v>40708</v>
      </c>
      <c r="B41" s="119" t="s">
        <v>486</v>
      </c>
      <c r="C41" s="120">
        <v>8</v>
      </c>
      <c r="D41" s="234" t="s">
        <v>205</v>
      </c>
      <c r="E41" s="248" t="s">
        <v>47</v>
      </c>
      <c r="L41" s="125"/>
      <c r="M41" s="126"/>
      <c r="N41" s="127"/>
    </row>
    <row r="42" spans="1:14">
      <c r="A42" s="170">
        <f>_xlfn.XLOOKUP(B42 &amp; "-" &amp; TEXT(C42,"00"),改定!N:N,改定!E:E)</f>
        <v>40708</v>
      </c>
      <c r="B42" s="119" t="s">
        <v>486</v>
      </c>
      <c r="C42" s="120">
        <v>8</v>
      </c>
      <c r="D42" s="234" t="s">
        <v>491</v>
      </c>
      <c r="E42" s="248" t="s">
        <v>47</v>
      </c>
      <c r="L42" s="125"/>
      <c r="M42" s="126"/>
      <c r="N42" s="127"/>
    </row>
    <row r="43" spans="1:14">
      <c r="A43" s="170">
        <f>_xlfn.XLOOKUP(B43 &amp; "-" &amp; TEXT(C43,"00"),改定!N:N,改定!E:E)</f>
        <v>40708</v>
      </c>
      <c r="B43" s="119" t="s">
        <v>486</v>
      </c>
      <c r="C43" s="120">
        <v>8</v>
      </c>
      <c r="D43" s="234" t="s">
        <v>211</v>
      </c>
      <c r="E43" s="248" t="s">
        <v>47</v>
      </c>
      <c r="L43" s="125"/>
      <c r="M43" s="126"/>
      <c r="N43" s="127"/>
    </row>
    <row r="44" spans="1:14">
      <c r="A44" s="170">
        <f>_xlfn.XLOOKUP(B44 &amp; "-" &amp; TEXT(C44,"00"),改定!N:N,改定!E:E)</f>
        <v>41019</v>
      </c>
      <c r="B44" s="119" t="s">
        <v>495</v>
      </c>
      <c r="C44" s="120">
        <v>0</v>
      </c>
      <c r="D44" s="234" t="s">
        <v>52</v>
      </c>
      <c r="E44" s="248">
        <v>3</v>
      </c>
      <c r="L44" s="125"/>
      <c r="M44" s="126"/>
      <c r="N44" s="127"/>
    </row>
    <row r="45" spans="1:14">
      <c r="A45" s="170">
        <f>_xlfn.XLOOKUP(B45 &amp; "-" &amp; TEXT(C45,"00"),改定!N:N,改定!E:E)</f>
        <v>41043</v>
      </c>
      <c r="B45" s="119" t="s">
        <v>494</v>
      </c>
      <c r="C45" s="120">
        <v>2</v>
      </c>
      <c r="D45" s="234" t="s">
        <v>27</v>
      </c>
      <c r="E45" s="248">
        <v>2</v>
      </c>
      <c r="L45" s="125"/>
      <c r="M45" s="126"/>
      <c r="N45" s="127"/>
    </row>
    <row r="46" spans="1:14">
      <c r="A46" s="170">
        <f>_xlfn.XLOOKUP(B46 &amp; "-" &amp; TEXT(C46,"00"),改定!N:N,改定!E:E)</f>
        <v>41131</v>
      </c>
      <c r="B46" s="119" t="s">
        <v>494</v>
      </c>
      <c r="C46" s="120">
        <v>3</v>
      </c>
      <c r="D46" s="234" t="s">
        <v>27</v>
      </c>
      <c r="E46" s="248">
        <v>53</v>
      </c>
      <c r="F46" s="248">
        <v>53</v>
      </c>
      <c r="L46" s="125"/>
      <c r="M46" s="126"/>
      <c r="N46" s="127"/>
    </row>
    <row r="47" spans="1:14">
      <c r="A47" s="170">
        <f>_xlfn.XLOOKUP(B47 &amp; "-" &amp; TEXT(C47,"00"),改定!N:N,改定!E:E)</f>
        <v>41194</v>
      </c>
      <c r="B47" s="119" t="s">
        <v>486</v>
      </c>
      <c r="C47" s="120">
        <v>9</v>
      </c>
      <c r="D47" s="234" t="s">
        <v>205</v>
      </c>
      <c r="E47" s="248">
        <v>3</v>
      </c>
      <c r="F47" s="248">
        <v>3</v>
      </c>
      <c r="L47" s="125"/>
      <c r="M47" s="126"/>
      <c r="N47" s="127"/>
    </row>
    <row r="48" spans="1:14">
      <c r="A48" s="170">
        <f>_xlfn.XLOOKUP(B48 &amp; "-" &amp; TEXT(C48,"00"),改定!N:N,改定!E:E)</f>
        <v>41194</v>
      </c>
      <c r="B48" s="119" t="s">
        <v>486</v>
      </c>
      <c r="C48" s="120">
        <v>9</v>
      </c>
      <c r="D48" s="234" t="s">
        <v>491</v>
      </c>
      <c r="E48" s="248">
        <v>950</v>
      </c>
      <c r="F48" s="248">
        <v>950</v>
      </c>
      <c r="L48" s="125"/>
      <c r="M48" s="126"/>
      <c r="N48" s="127"/>
    </row>
    <row r="49" spans="1:14">
      <c r="A49" s="170">
        <f>_xlfn.XLOOKUP(B49 &amp; "-" &amp; TEXT(C49,"00"),改定!N:N,改定!E:E)</f>
        <v>41194</v>
      </c>
      <c r="B49" s="119" t="s">
        <v>486</v>
      </c>
      <c r="C49" s="120">
        <v>9</v>
      </c>
      <c r="D49" s="234" t="s">
        <v>211</v>
      </c>
      <c r="E49" s="248">
        <v>881</v>
      </c>
      <c r="F49" s="248">
        <v>881</v>
      </c>
      <c r="L49" s="125"/>
      <c r="M49" s="126"/>
      <c r="N49" s="127"/>
    </row>
    <row r="50" spans="1:14">
      <c r="A50" s="170">
        <f>_xlfn.XLOOKUP(B50 &amp; "-" &amp; TEXT(C50,"00"),改定!N:N,改定!E:E)</f>
        <v>41229</v>
      </c>
      <c r="B50" s="119" t="s">
        <v>496</v>
      </c>
      <c r="C50" s="120">
        <v>0</v>
      </c>
      <c r="D50" s="234" t="s">
        <v>497</v>
      </c>
      <c r="E50" s="248">
        <v>1</v>
      </c>
      <c r="L50" s="125"/>
      <c r="M50" s="126"/>
      <c r="N50" s="127"/>
    </row>
    <row r="51" spans="1:14">
      <c r="A51" s="170">
        <f>_xlfn.XLOOKUP(B51 &amp; "-" &amp; TEXT(C51,"00"),改定!N:N,改定!E:E)</f>
        <v>41229</v>
      </c>
      <c r="B51" s="119" t="s">
        <v>496</v>
      </c>
      <c r="C51" s="120">
        <v>0</v>
      </c>
      <c r="D51" s="234" t="s">
        <v>498</v>
      </c>
      <c r="E51" s="248">
        <v>1</v>
      </c>
      <c r="L51" s="125"/>
      <c r="M51" s="126"/>
      <c r="N51" s="127"/>
    </row>
    <row r="52" spans="1:14">
      <c r="A52" s="170">
        <f>_xlfn.XLOOKUP(B52 &amp; "-" &amp; TEXT(C52,"00"),改定!N:N,改定!E:E)</f>
        <v>41330</v>
      </c>
      <c r="B52" s="119" t="s">
        <v>499</v>
      </c>
      <c r="C52" s="120">
        <v>0</v>
      </c>
      <c r="D52" s="234" t="s">
        <v>52</v>
      </c>
      <c r="E52" s="248">
        <v>3</v>
      </c>
      <c r="L52" s="125"/>
      <c r="M52" s="126"/>
      <c r="N52" s="127"/>
    </row>
    <row r="53" spans="1:14">
      <c r="A53" s="170">
        <f>_xlfn.XLOOKUP(B53 &amp; "-" &amp; TEXT(C53,"00"),改定!N:N,改定!E:E)</f>
        <v>41447</v>
      </c>
      <c r="B53" s="119" t="s">
        <v>493</v>
      </c>
      <c r="C53" s="120">
        <v>1</v>
      </c>
      <c r="D53" s="234" t="s">
        <v>27</v>
      </c>
      <c r="E53" s="248" t="s">
        <v>47</v>
      </c>
      <c r="L53" s="125"/>
      <c r="M53" s="126"/>
      <c r="N53" s="127"/>
    </row>
    <row r="54" spans="1:14">
      <c r="A54" s="170">
        <f>_xlfn.XLOOKUP(B54 &amp; "-" &amp; TEXT(C54,"00"),改定!N:N,改定!E:E)</f>
        <v>41447</v>
      </c>
      <c r="B54" s="119" t="s">
        <v>493</v>
      </c>
      <c r="C54" s="120">
        <v>1</v>
      </c>
      <c r="D54" s="234" t="s">
        <v>147</v>
      </c>
      <c r="E54" s="248" t="s">
        <v>47</v>
      </c>
      <c r="L54" s="125"/>
      <c r="M54" s="126"/>
      <c r="N54" s="127"/>
    </row>
    <row r="55" spans="1:14">
      <c r="A55" s="170">
        <f>_xlfn.XLOOKUP(B55 &amp; "-" &amp; TEXT(C55,"00"),改定!N:N,改定!E:E)</f>
        <v>41714</v>
      </c>
      <c r="B55" s="119" t="s">
        <v>495</v>
      </c>
      <c r="C55" s="120">
        <v>1</v>
      </c>
      <c r="D55" s="234" t="s">
        <v>52</v>
      </c>
      <c r="E55" s="248">
        <v>32</v>
      </c>
      <c r="L55" s="125"/>
      <c r="M55" s="126"/>
      <c r="N55" s="127"/>
    </row>
    <row r="56" spans="1:14">
      <c r="A56" s="170">
        <f>_xlfn.XLOOKUP(B56 &amp; "-" &amp; TEXT(C56,"00"),改定!N:N,改定!E:E)</f>
        <v>41802</v>
      </c>
      <c r="B56" s="119" t="s">
        <v>500</v>
      </c>
      <c r="C56" s="120">
        <v>0</v>
      </c>
      <c r="D56" s="234" t="s">
        <v>113</v>
      </c>
      <c r="E56" s="248">
        <v>2</v>
      </c>
      <c r="L56" s="125"/>
      <c r="M56" s="126"/>
      <c r="N56" s="127"/>
    </row>
    <row r="57" spans="1:14">
      <c r="A57" s="170">
        <f>_xlfn.XLOOKUP(B57 &amp; "-" &amp; TEXT(C57,"00"),改定!N:N,改定!E:E)</f>
        <v>42011</v>
      </c>
      <c r="B57" s="119" t="s">
        <v>80</v>
      </c>
      <c r="C57" s="124">
        <v>1</v>
      </c>
      <c r="D57" s="234" t="s">
        <v>1073</v>
      </c>
      <c r="E57" s="249">
        <v>1</v>
      </c>
      <c r="F57" s="249"/>
      <c r="G57" s="128"/>
      <c r="L57" s="125"/>
      <c r="M57" s="126"/>
      <c r="N57" s="127"/>
    </row>
    <row r="58" spans="1:14">
      <c r="A58" s="170">
        <f>_xlfn.XLOOKUP(B58 &amp; "-" &amp; TEXT(C58,"00"),改定!N:N,改定!E:E)</f>
        <v>42011</v>
      </c>
      <c r="B58" s="119" t="s">
        <v>80</v>
      </c>
      <c r="C58" s="124">
        <v>1</v>
      </c>
      <c r="D58" s="234" t="s">
        <v>1074</v>
      </c>
      <c r="E58" s="249">
        <v>184</v>
      </c>
      <c r="F58" s="249"/>
      <c r="G58" s="128"/>
      <c r="L58" s="125"/>
      <c r="M58" s="126"/>
      <c r="N58" s="127"/>
    </row>
    <row r="59" spans="1:14">
      <c r="A59" s="170">
        <f>_xlfn.XLOOKUP(B59 &amp; "-" &amp; TEXT(C59,"00"),改定!N:N,改定!E:E)</f>
        <v>42055</v>
      </c>
      <c r="B59" s="119" t="s">
        <v>492</v>
      </c>
      <c r="C59" s="120">
        <v>6</v>
      </c>
      <c r="D59" s="234" t="s">
        <v>363</v>
      </c>
      <c r="E59" s="248">
        <v>59</v>
      </c>
      <c r="L59" s="125"/>
      <c r="M59" s="126"/>
      <c r="N59" s="127"/>
    </row>
    <row r="60" spans="1:14">
      <c r="A60" s="170">
        <f>_xlfn.XLOOKUP(B60 &amp; "-" &amp; TEXT(C60,"00"),改定!N:N,改定!E:E)</f>
        <v>42065</v>
      </c>
      <c r="B60" s="119" t="s">
        <v>493</v>
      </c>
      <c r="C60" s="120">
        <v>2</v>
      </c>
      <c r="D60" s="234" t="s">
        <v>27</v>
      </c>
      <c r="E60" s="248" t="s">
        <v>47</v>
      </c>
      <c r="L60" s="125"/>
      <c r="M60" s="126"/>
      <c r="N60" s="127"/>
    </row>
    <row r="61" spans="1:14">
      <c r="A61" s="170">
        <f>_xlfn.XLOOKUP(B61 &amp; "-" &amp; TEXT(C61,"00"),改定!N:N,改定!E:E)</f>
        <v>42065</v>
      </c>
      <c r="B61" s="119" t="s">
        <v>493</v>
      </c>
      <c r="C61" s="120">
        <v>2</v>
      </c>
      <c r="D61" s="234" t="s">
        <v>147</v>
      </c>
      <c r="E61" s="248">
        <v>98</v>
      </c>
      <c r="L61" s="125"/>
      <c r="M61" s="126"/>
      <c r="N61" s="127"/>
    </row>
    <row r="62" spans="1:14">
      <c r="A62" s="170">
        <f>_xlfn.XLOOKUP(B62 &amp; "-" &amp; TEXT(C62,"00"),改定!N:N,改定!E:E)</f>
        <v>42065</v>
      </c>
      <c r="B62" s="119" t="s">
        <v>501</v>
      </c>
      <c r="C62" s="120">
        <v>1</v>
      </c>
      <c r="D62" s="234" t="s">
        <v>43</v>
      </c>
      <c r="E62" s="248">
        <v>1</v>
      </c>
      <c r="L62" s="125"/>
      <c r="M62" s="126"/>
      <c r="N62" s="127"/>
    </row>
    <row r="63" spans="1:14">
      <c r="A63" s="170">
        <f>_xlfn.XLOOKUP(B63 &amp; "-" &amp; TEXT(C63,"00"),改定!N:N,改定!E:E)</f>
        <v>42065</v>
      </c>
      <c r="B63" s="119" t="s">
        <v>493</v>
      </c>
      <c r="C63" s="120">
        <v>2</v>
      </c>
      <c r="D63" s="234" t="s">
        <v>502</v>
      </c>
      <c r="E63" s="248">
        <v>1</v>
      </c>
      <c r="L63" s="125"/>
      <c r="M63" s="126"/>
      <c r="N63" s="127"/>
    </row>
    <row r="64" spans="1:14">
      <c r="A64" s="170">
        <f>_xlfn.XLOOKUP(B64 &amp; "-" &amp; TEXT(C64,"00"),改定!N:N,改定!E:E)</f>
        <v>42074</v>
      </c>
      <c r="B64" s="119" t="s">
        <v>503</v>
      </c>
      <c r="C64" s="120">
        <v>0</v>
      </c>
      <c r="D64" s="234" t="s">
        <v>363</v>
      </c>
      <c r="E64" s="248">
        <v>54</v>
      </c>
      <c r="L64" s="125"/>
      <c r="M64" s="126"/>
      <c r="N64" s="127"/>
    </row>
    <row r="65" spans="1:14">
      <c r="A65" s="170">
        <f>_xlfn.XLOOKUP(B65 &amp; "-" &amp; TEXT(C65,"00"),改定!N:N,改定!E:E)</f>
        <v>42160</v>
      </c>
      <c r="B65" s="119" t="s">
        <v>501</v>
      </c>
      <c r="C65" s="120">
        <v>0</v>
      </c>
      <c r="D65" s="234" t="s">
        <v>43</v>
      </c>
      <c r="E65" s="248">
        <v>1</v>
      </c>
      <c r="L65" s="125"/>
      <c r="M65" s="126"/>
      <c r="N65" s="127"/>
    </row>
    <row r="66" spans="1:14">
      <c r="A66" s="170">
        <f>_xlfn.XLOOKUP(B66 &amp; "-" &amp; TEXT(C66,"00"),改定!N:N,改定!E:E)</f>
        <v>42327</v>
      </c>
      <c r="B66" s="119" t="s">
        <v>500</v>
      </c>
      <c r="C66" s="120">
        <v>1</v>
      </c>
      <c r="D66" s="234" t="s">
        <v>113</v>
      </c>
      <c r="E66" s="248">
        <v>10</v>
      </c>
      <c r="F66" s="248">
        <v>10</v>
      </c>
      <c r="L66" s="125"/>
      <c r="M66" s="126"/>
      <c r="N66" s="127"/>
    </row>
    <row r="67" spans="1:14">
      <c r="A67" s="170">
        <f>_xlfn.XLOOKUP(B67 &amp; "-" &amp; TEXT(C67,"00"),改定!N:N,改定!E:E)</f>
        <v>42407</v>
      </c>
      <c r="B67" s="119" t="s">
        <v>486</v>
      </c>
      <c r="C67" s="120">
        <v>10</v>
      </c>
      <c r="D67" s="235" t="s">
        <v>504</v>
      </c>
      <c r="E67" s="248" t="s">
        <v>47</v>
      </c>
      <c r="L67" s="125"/>
      <c r="M67" s="126"/>
      <c r="N67" s="127"/>
    </row>
    <row r="68" spans="1:14">
      <c r="A68" s="170">
        <f>_xlfn.XLOOKUP(B68 &amp; "-" &amp; TEXT(C68,"00"),改定!N:N,改定!E:E)</f>
        <v>42407</v>
      </c>
      <c r="B68" s="119" t="s">
        <v>486</v>
      </c>
      <c r="C68" s="120">
        <v>10</v>
      </c>
      <c r="D68" s="235" t="s">
        <v>505</v>
      </c>
      <c r="E68" s="248" t="s">
        <v>47</v>
      </c>
      <c r="L68" s="125"/>
      <c r="M68" s="126"/>
      <c r="N68" s="127"/>
    </row>
    <row r="69" spans="1:14">
      <c r="A69" s="170">
        <f>_xlfn.XLOOKUP(B69 &amp; "-" &amp; TEXT(C69,"00"),改定!N:N,改定!E:E)</f>
        <v>42407</v>
      </c>
      <c r="B69" s="119" t="s">
        <v>486</v>
      </c>
      <c r="C69" s="120">
        <v>10</v>
      </c>
      <c r="D69" s="235" t="s">
        <v>506</v>
      </c>
      <c r="E69" s="248" t="s">
        <v>47</v>
      </c>
      <c r="L69" s="125"/>
      <c r="M69" s="126"/>
      <c r="N69" s="127"/>
    </row>
    <row r="70" spans="1:14">
      <c r="A70" s="170">
        <f>_xlfn.XLOOKUP(B70 &amp; "-" &amp; TEXT(C70,"00"),改定!N:N,改定!E:E)</f>
        <v>42481</v>
      </c>
      <c r="B70" s="119" t="s">
        <v>507</v>
      </c>
      <c r="C70" s="120">
        <v>0</v>
      </c>
      <c r="D70" s="235" t="s">
        <v>508</v>
      </c>
      <c r="E70" s="248">
        <v>360</v>
      </c>
      <c r="L70" s="125"/>
      <c r="M70" s="126"/>
      <c r="N70" s="127"/>
    </row>
    <row r="71" spans="1:14">
      <c r="A71" s="170">
        <f>_xlfn.XLOOKUP(B71 &amp; "-" &amp; TEXT(C71,"00"),改定!N:N,改定!E:E)</f>
        <v>42491</v>
      </c>
      <c r="B71" s="119" t="s">
        <v>501</v>
      </c>
      <c r="C71" s="120">
        <v>2</v>
      </c>
      <c r="D71" s="235" t="s">
        <v>509</v>
      </c>
      <c r="E71" s="248">
        <v>1</v>
      </c>
      <c r="L71" s="125"/>
      <c r="M71" s="126"/>
      <c r="N71" s="127"/>
    </row>
    <row r="72" spans="1:14">
      <c r="A72" s="170">
        <f>_xlfn.XLOOKUP(B72 &amp; "-" &amp; TEXT(C72,"00"),改定!N:N,改定!E:E)</f>
        <v>42659</v>
      </c>
      <c r="B72" s="119" t="s">
        <v>12</v>
      </c>
      <c r="C72" s="120">
        <v>1</v>
      </c>
      <c r="D72" s="235" t="s">
        <v>263</v>
      </c>
      <c r="E72" s="248" t="s">
        <v>47</v>
      </c>
      <c r="L72" s="125"/>
      <c r="M72" s="126"/>
      <c r="N72" s="127"/>
    </row>
    <row r="73" spans="1:14">
      <c r="A73" s="170">
        <f>_xlfn.XLOOKUP(B73 &amp; "-" &amp; TEXT(C73,"00"),改定!N:N,改定!E:E)</f>
        <v>42659</v>
      </c>
      <c r="B73" s="119" t="s">
        <v>12</v>
      </c>
      <c r="C73" s="120">
        <v>1</v>
      </c>
      <c r="D73" s="235" t="s">
        <v>508</v>
      </c>
      <c r="E73" s="248" t="s">
        <v>47</v>
      </c>
      <c r="L73" s="125"/>
      <c r="M73" s="126"/>
      <c r="N73" s="127"/>
    </row>
    <row r="74" spans="1:14">
      <c r="A74" s="170">
        <f>_xlfn.XLOOKUP(B74 &amp; "-" &amp; TEXT(C74,"00"),改定!N:N,改定!E:E)</f>
        <v>42659</v>
      </c>
      <c r="B74" s="119" t="s">
        <v>12</v>
      </c>
      <c r="C74" s="120">
        <v>1</v>
      </c>
      <c r="D74" s="235" t="s">
        <v>510</v>
      </c>
      <c r="E74" s="248" t="s">
        <v>47</v>
      </c>
      <c r="L74" s="125"/>
      <c r="M74" s="126"/>
      <c r="N74" s="127"/>
    </row>
    <row r="75" spans="1:14">
      <c r="A75" s="170">
        <f>_xlfn.XLOOKUP(B75 &amp; "-" &amp; TEXT(C75,"00"),改定!N:N,改定!E:E)</f>
        <v>42659</v>
      </c>
      <c r="B75" s="119" t="s">
        <v>12</v>
      </c>
      <c r="C75" s="120">
        <v>1</v>
      </c>
      <c r="D75" s="235" t="s">
        <v>511</v>
      </c>
      <c r="E75" s="248">
        <v>3</v>
      </c>
      <c r="L75" s="125"/>
      <c r="M75" s="126"/>
      <c r="N75" s="127"/>
    </row>
    <row r="76" spans="1:14">
      <c r="A76" s="170">
        <f>_xlfn.XLOOKUP(B76 &amp; "-" &amp; TEXT(C76,"00"),改定!N:N,改定!E:E)</f>
        <v>42659</v>
      </c>
      <c r="B76" s="119" t="s">
        <v>12</v>
      </c>
      <c r="C76" s="120">
        <v>1</v>
      </c>
      <c r="D76" s="235" t="s">
        <v>512</v>
      </c>
      <c r="E76" s="248">
        <v>1</v>
      </c>
      <c r="L76" s="125"/>
      <c r="M76" s="126"/>
      <c r="N76" s="127"/>
    </row>
    <row r="77" spans="1:14">
      <c r="A77" s="170">
        <f>_xlfn.XLOOKUP(B77 &amp; "-" &amp; TEXT(C77,"00"),改定!N:N,改定!E:E)</f>
        <v>42659</v>
      </c>
      <c r="B77" s="119" t="s">
        <v>12</v>
      </c>
      <c r="C77" s="120">
        <v>1</v>
      </c>
      <c r="D77" s="235" t="s">
        <v>513</v>
      </c>
      <c r="E77" s="248">
        <v>3</v>
      </c>
      <c r="L77" s="125"/>
      <c r="M77" s="126"/>
      <c r="N77" s="127"/>
    </row>
    <row r="78" spans="1:14">
      <c r="A78" s="170">
        <f>_xlfn.XLOOKUP(B78 &amp; "-" &amp; TEXT(C78,"00"),改定!N:N,改定!E:E)</f>
        <v>42659</v>
      </c>
      <c r="B78" s="119" t="s">
        <v>12</v>
      </c>
      <c r="C78" s="120">
        <v>1</v>
      </c>
      <c r="D78" s="235" t="s">
        <v>514</v>
      </c>
      <c r="E78" s="248">
        <v>2</v>
      </c>
      <c r="L78" s="125"/>
      <c r="M78" s="126"/>
      <c r="N78" s="127"/>
    </row>
    <row r="79" spans="1:14">
      <c r="A79" s="170">
        <f>_xlfn.XLOOKUP(B79 &amp; "-" &amp; TEXT(C79,"00"),改定!N:N,改定!E:E)</f>
        <v>42659</v>
      </c>
      <c r="B79" s="119" t="s">
        <v>12</v>
      </c>
      <c r="C79" s="120">
        <v>1</v>
      </c>
      <c r="D79" s="235" t="s">
        <v>515</v>
      </c>
      <c r="E79" s="248">
        <v>1</v>
      </c>
      <c r="L79" s="125"/>
      <c r="M79" s="126"/>
      <c r="N79" s="127"/>
    </row>
    <row r="80" spans="1:14">
      <c r="A80" s="170">
        <f>_xlfn.XLOOKUP(B80 &amp; "-" &amp; TEXT(C80,"00"),改定!N:N,改定!E:E)</f>
        <v>42659</v>
      </c>
      <c r="B80" s="119" t="s">
        <v>493</v>
      </c>
      <c r="C80" s="120">
        <v>3</v>
      </c>
      <c r="D80" s="235" t="s">
        <v>513</v>
      </c>
      <c r="E80" s="248">
        <v>3</v>
      </c>
      <c r="L80" s="125"/>
      <c r="M80" s="126"/>
      <c r="N80" s="127"/>
    </row>
    <row r="81" spans="1:14">
      <c r="A81" s="170">
        <f>_xlfn.XLOOKUP(B81 &amp; "-" &amp; TEXT(C81,"00"),改定!N:N,改定!E:E)</f>
        <v>42659</v>
      </c>
      <c r="B81" s="119" t="s">
        <v>493</v>
      </c>
      <c r="C81" s="120">
        <v>3</v>
      </c>
      <c r="D81" s="235" t="s">
        <v>508</v>
      </c>
      <c r="E81" s="248" t="s">
        <v>47</v>
      </c>
      <c r="L81" s="125"/>
      <c r="M81" s="126"/>
      <c r="N81" s="127"/>
    </row>
    <row r="82" spans="1:14">
      <c r="A82" s="170">
        <f>_xlfn.XLOOKUP(B82 &amp; "-" &amp; TEXT(C82,"00"),改定!N:N,改定!E:E)</f>
        <v>42834</v>
      </c>
      <c r="B82" s="119" t="s">
        <v>14</v>
      </c>
      <c r="C82" s="120">
        <v>1</v>
      </c>
      <c r="D82" s="235" t="s">
        <v>516</v>
      </c>
      <c r="E82" s="249" t="s">
        <v>517</v>
      </c>
      <c r="L82" s="125"/>
      <c r="M82" s="126"/>
      <c r="N82" s="127"/>
    </row>
    <row r="83" spans="1:14">
      <c r="A83" s="170">
        <f>_xlfn.XLOOKUP(B83 &amp; "-" &amp; TEXT(C83,"00"),改定!N:N,改定!E:E)</f>
        <v>42834</v>
      </c>
      <c r="B83" s="119" t="s">
        <v>14</v>
      </c>
      <c r="C83" s="120">
        <v>1</v>
      </c>
      <c r="D83" s="235" t="s">
        <v>518</v>
      </c>
      <c r="E83" s="249">
        <v>517</v>
      </c>
      <c r="L83" s="125"/>
      <c r="M83" s="126"/>
      <c r="N83" s="127"/>
    </row>
    <row r="84" spans="1:14">
      <c r="A84" s="170">
        <f>_xlfn.XLOOKUP(B84 &amp; "-" &amp; TEXT(C84,"00"),改定!N:N,改定!E:E)</f>
        <v>42834</v>
      </c>
      <c r="B84" s="119" t="s">
        <v>14</v>
      </c>
      <c r="C84" s="120">
        <v>1</v>
      </c>
      <c r="D84" s="235" t="s">
        <v>519</v>
      </c>
      <c r="E84" s="249" t="s">
        <v>517</v>
      </c>
      <c r="L84" s="125"/>
      <c r="M84" s="126"/>
      <c r="N84" s="127"/>
    </row>
    <row r="85" spans="1:14">
      <c r="A85" s="170">
        <f>_xlfn.XLOOKUP(B85 &amp; "-" &amp; TEXT(C85,"00"),改定!N:N,改定!E:E)</f>
        <v>42834</v>
      </c>
      <c r="B85" s="119" t="s">
        <v>14</v>
      </c>
      <c r="C85" s="120">
        <v>1</v>
      </c>
      <c r="D85" s="235" t="s">
        <v>510</v>
      </c>
      <c r="E85" s="249" t="s">
        <v>517</v>
      </c>
      <c r="L85" s="125"/>
      <c r="M85" s="126"/>
      <c r="N85" s="127"/>
    </row>
    <row r="86" spans="1:14">
      <c r="A86" s="170">
        <f>_xlfn.XLOOKUP(B86 &amp; "-" &amp; TEXT(C86,"00"),改定!N:N,改定!E:E)</f>
        <v>42834</v>
      </c>
      <c r="B86" s="119" t="s">
        <v>14</v>
      </c>
      <c r="C86" s="120">
        <v>1</v>
      </c>
      <c r="D86" s="235" t="s">
        <v>520</v>
      </c>
      <c r="E86" s="249">
        <v>213</v>
      </c>
      <c r="L86" s="125"/>
      <c r="M86" s="126"/>
      <c r="N86" s="127"/>
    </row>
    <row r="87" spans="1:14">
      <c r="A87" s="170">
        <f>_xlfn.XLOOKUP(B87 &amp; "-" &amp; TEXT(C87,"00"),改定!N:N,改定!E:E)</f>
        <v>42834</v>
      </c>
      <c r="B87" s="119" t="s">
        <v>55</v>
      </c>
      <c r="C87" s="120">
        <v>0</v>
      </c>
      <c r="D87" s="235" t="s">
        <v>518</v>
      </c>
      <c r="E87" s="249">
        <v>517</v>
      </c>
      <c r="L87" s="125"/>
      <c r="M87" s="126"/>
      <c r="N87" s="127"/>
    </row>
    <row r="88" spans="1:14">
      <c r="A88" s="170">
        <f>_xlfn.XLOOKUP(B88 &amp; "-" &amp; TEXT(C88,"00"),改定!N:N,改定!E:E)</f>
        <v>42834</v>
      </c>
      <c r="B88" s="119" t="s">
        <v>521</v>
      </c>
      <c r="C88" s="120">
        <v>0</v>
      </c>
      <c r="D88" s="235" t="s">
        <v>520</v>
      </c>
      <c r="E88" s="249">
        <v>213</v>
      </c>
      <c r="L88" s="125"/>
      <c r="M88" s="126"/>
      <c r="N88" s="127"/>
    </row>
    <row r="89" spans="1:14">
      <c r="A89" s="170">
        <f>_xlfn.XLOOKUP(B89 &amp; "-" &amp; TEXT(C89,"00"),改定!N:N,改定!E:E)</f>
        <v>42834</v>
      </c>
      <c r="B89" s="119" t="s">
        <v>522</v>
      </c>
      <c r="C89" s="120">
        <v>0</v>
      </c>
      <c r="D89" s="235" t="s">
        <v>520</v>
      </c>
      <c r="E89" s="249">
        <v>213</v>
      </c>
      <c r="L89" s="125"/>
      <c r="M89" s="126"/>
      <c r="N89" s="127"/>
    </row>
    <row r="90" spans="1:14">
      <c r="A90" s="170">
        <f>_xlfn.XLOOKUP(B90 &amp; "-" &amp; TEXT(C90,"00"),改定!N:N,改定!E:E)</f>
        <v>42834</v>
      </c>
      <c r="B90" s="119" t="s">
        <v>523</v>
      </c>
      <c r="C90" s="120">
        <v>0</v>
      </c>
      <c r="D90" s="235" t="s">
        <v>524</v>
      </c>
      <c r="E90" s="249">
        <v>42</v>
      </c>
      <c r="L90" s="125"/>
      <c r="M90" s="126"/>
      <c r="N90" s="127"/>
    </row>
    <row r="91" spans="1:14">
      <c r="A91" s="170">
        <f>_xlfn.XLOOKUP(B91 &amp; "-" &amp; TEXT(C91,"00"),改定!N:N,改定!E:E)</f>
        <v>42850</v>
      </c>
      <c r="B91" s="119" t="s">
        <v>28</v>
      </c>
      <c r="C91" s="120">
        <v>5</v>
      </c>
      <c r="D91" s="235" t="s">
        <v>263</v>
      </c>
      <c r="E91" s="249" t="s">
        <v>517</v>
      </c>
      <c r="L91" s="125"/>
      <c r="M91" s="126"/>
      <c r="N91" s="127"/>
    </row>
    <row r="92" spans="1:14">
      <c r="A92" s="170">
        <f>_xlfn.XLOOKUP(B92 &amp; "-" &amp; TEXT(C92,"00"),改定!N:N,改定!E:E)</f>
        <v>42850</v>
      </c>
      <c r="B92" s="119" t="s">
        <v>28</v>
      </c>
      <c r="C92" s="120">
        <v>5</v>
      </c>
      <c r="D92" s="235" t="s">
        <v>508</v>
      </c>
      <c r="E92" s="249" t="s">
        <v>517</v>
      </c>
      <c r="L92" s="125"/>
      <c r="M92" s="126"/>
      <c r="N92" s="127"/>
    </row>
    <row r="93" spans="1:14">
      <c r="A93" s="170">
        <f>_xlfn.XLOOKUP(B93 &amp; "-" &amp; TEXT(C93,"00"),改定!N:N,改定!E:E)</f>
        <v>42850</v>
      </c>
      <c r="B93" s="119" t="s">
        <v>501</v>
      </c>
      <c r="C93" s="120">
        <v>3</v>
      </c>
      <c r="D93" s="235" t="s">
        <v>509</v>
      </c>
      <c r="E93" s="249" t="s">
        <v>517</v>
      </c>
      <c r="L93" s="125"/>
      <c r="M93" s="126"/>
      <c r="N93" s="127"/>
    </row>
    <row r="94" spans="1:14">
      <c r="A94" s="170">
        <f>_xlfn.XLOOKUP(B94 &amp; "-" &amp; TEXT(C94,"00"),改定!N:N,改定!E:E)</f>
        <v>42850</v>
      </c>
      <c r="B94" s="119" t="s">
        <v>496</v>
      </c>
      <c r="C94" s="120">
        <v>2</v>
      </c>
      <c r="D94" s="235" t="s">
        <v>516</v>
      </c>
      <c r="E94" s="249" t="s">
        <v>517</v>
      </c>
      <c r="L94" s="125"/>
      <c r="M94" s="126"/>
      <c r="N94" s="127"/>
    </row>
    <row r="95" spans="1:14">
      <c r="A95" s="170">
        <f>_xlfn.XLOOKUP(B95 &amp; "-" &amp; TEXT(C95,"00"),改定!N:N,改定!E:E)</f>
        <v>42850</v>
      </c>
      <c r="B95" s="119" t="s">
        <v>496</v>
      </c>
      <c r="C95" s="120">
        <v>2</v>
      </c>
      <c r="D95" s="235" t="s">
        <v>510</v>
      </c>
      <c r="E95" s="249" t="s">
        <v>517</v>
      </c>
      <c r="L95" s="125"/>
      <c r="M95" s="126"/>
      <c r="N95" s="127"/>
    </row>
    <row r="96" spans="1:14">
      <c r="A96" s="170">
        <f>_xlfn.XLOOKUP(B96 &amp; "-" &amp; TEXT(C96,"00"),改定!N:N,改定!E:E)</f>
        <v>42850</v>
      </c>
      <c r="B96" s="119" t="s">
        <v>210</v>
      </c>
      <c r="C96" s="120">
        <v>11</v>
      </c>
      <c r="D96" s="235" t="s">
        <v>504</v>
      </c>
      <c r="E96" s="249" t="s">
        <v>517</v>
      </c>
      <c r="L96" s="125"/>
      <c r="M96" s="126"/>
      <c r="N96" s="127"/>
    </row>
    <row r="97" spans="1:14">
      <c r="A97" s="170">
        <f>_xlfn.XLOOKUP(B97 &amp; "-" &amp; TEXT(C97,"00"),改定!N:N,改定!E:E)</f>
        <v>42850</v>
      </c>
      <c r="B97" s="119" t="s">
        <v>210</v>
      </c>
      <c r="C97" s="120">
        <v>11</v>
      </c>
      <c r="D97" s="235" t="s">
        <v>505</v>
      </c>
      <c r="E97" s="249" t="s">
        <v>517</v>
      </c>
      <c r="L97" s="125"/>
      <c r="M97" s="126"/>
      <c r="N97" s="127"/>
    </row>
    <row r="98" spans="1:14">
      <c r="A98" s="170">
        <f>_xlfn.XLOOKUP(B98 &amp; "-" &amp; TEXT(C98,"00"),改定!N:N,改定!E:E)</f>
        <v>42850</v>
      </c>
      <c r="B98" s="119" t="s">
        <v>210</v>
      </c>
      <c r="C98" s="120">
        <v>11</v>
      </c>
      <c r="D98" s="235" t="s">
        <v>506</v>
      </c>
      <c r="E98" s="249" t="s">
        <v>517</v>
      </c>
      <c r="L98" s="125"/>
      <c r="M98" s="126"/>
      <c r="N98" s="127"/>
    </row>
    <row r="99" spans="1:14">
      <c r="A99" s="170">
        <f>_xlfn.XLOOKUP(B99 &amp; "-" &amp; TEXT(C99,"00"),改定!N:N,改定!E:E)</f>
        <v>42851</v>
      </c>
      <c r="B99" s="119" t="s">
        <v>525</v>
      </c>
      <c r="C99" s="120">
        <v>1</v>
      </c>
      <c r="D99" s="235" t="s">
        <v>514</v>
      </c>
      <c r="E99" s="249">
        <v>2</v>
      </c>
      <c r="L99" s="125"/>
      <c r="M99" s="126"/>
      <c r="N99" s="127"/>
    </row>
    <row r="100" spans="1:14">
      <c r="A100" s="170">
        <f>_xlfn.XLOOKUP(B100 &amp; "-" &amp; TEXT(C100,"00"),改定!N:N,改定!E:E)</f>
        <v>42980</v>
      </c>
      <c r="B100" s="119" t="s">
        <v>526</v>
      </c>
      <c r="C100" s="120">
        <v>0</v>
      </c>
      <c r="D100" s="235" t="s">
        <v>520</v>
      </c>
      <c r="E100" s="249">
        <v>229</v>
      </c>
      <c r="L100" s="125"/>
      <c r="M100" s="126"/>
      <c r="N100" s="127"/>
    </row>
    <row r="101" spans="1:14">
      <c r="A101" s="170">
        <f>_xlfn.XLOOKUP(B101 &amp; "-" &amp; TEXT(C101,"00"),改定!N:N,改定!E:E)</f>
        <v>42980</v>
      </c>
      <c r="B101" s="119" t="s">
        <v>526</v>
      </c>
      <c r="C101" s="120">
        <v>0</v>
      </c>
      <c r="D101" s="235" t="s">
        <v>524</v>
      </c>
      <c r="E101" s="249">
        <v>41</v>
      </c>
      <c r="L101" s="125"/>
      <c r="M101" s="126"/>
      <c r="N101" s="127"/>
    </row>
    <row r="102" spans="1:14">
      <c r="A102" s="170">
        <f>_xlfn.XLOOKUP(B102 &amp; "-" &amp; TEXT(C102,"00"),改定!N:N,改定!E:E)</f>
        <v>42988</v>
      </c>
      <c r="B102" s="119" t="s">
        <v>527</v>
      </c>
      <c r="C102" s="120">
        <v>2</v>
      </c>
      <c r="D102" s="235" t="s">
        <v>511</v>
      </c>
      <c r="E102" s="249">
        <v>3</v>
      </c>
      <c r="I102"/>
      <c r="J102" s="129"/>
      <c r="L102" s="130"/>
      <c r="M102" s="126"/>
      <c r="N102" s="131"/>
    </row>
    <row r="103" spans="1:14">
      <c r="A103" s="170">
        <f>_xlfn.XLOOKUP(B103 &amp; "-" &amp; TEXT(C103,"00"),改定!N:N,改定!E:E)</f>
        <v>42988</v>
      </c>
      <c r="B103" s="119" t="s">
        <v>527</v>
      </c>
      <c r="C103" s="120">
        <v>2</v>
      </c>
      <c r="D103" s="235" t="s">
        <v>512</v>
      </c>
      <c r="E103" s="249">
        <v>1</v>
      </c>
      <c r="I103" s="132"/>
      <c r="J103" s="129"/>
      <c r="L103" s="130"/>
      <c r="M103" s="126"/>
      <c r="N103" s="131"/>
    </row>
    <row r="104" spans="1:14">
      <c r="A104" s="170">
        <f>_xlfn.XLOOKUP(B104 &amp; "-" &amp; TEXT(C104,"00"),改定!N:N,改定!E:E)</f>
        <v>43183</v>
      </c>
      <c r="B104" s="119" t="s">
        <v>501</v>
      </c>
      <c r="C104" s="120">
        <v>4</v>
      </c>
      <c r="D104" s="235" t="s">
        <v>509</v>
      </c>
      <c r="J104" s="129"/>
      <c r="L104" s="125"/>
      <c r="M104" s="126"/>
      <c r="N104" s="127"/>
    </row>
    <row r="105" spans="1:14">
      <c r="A105" s="170">
        <f>_xlfn.XLOOKUP(B105 &amp; "-" &amp; TEXT(C105,"00"),改定!N:N,改定!E:E)</f>
        <v>43197</v>
      </c>
      <c r="B105" s="119" t="s">
        <v>486</v>
      </c>
      <c r="C105" s="120">
        <v>12</v>
      </c>
      <c r="D105" s="235" t="s">
        <v>504</v>
      </c>
      <c r="E105" s="249">
        <v>1403</v>
      </c>
      <c r="L105" s="125"/>
      <c r="M105" s="126"/>
      <c r="N105" s="127"/>
    </row>
    <row r="106" spans="1:14">
      <c r="A106" s="170">
        <f>_xlfn.XLOOKUP(B106 &amp; "-" &amp; TEXT(C106,"00"),改定!N:N,改定!E:E)</f>
        <v>43197</v>
      </c>
      <c r="B106" s="119" t="s">
        <v>486</v>
      </c>
      <c r="C106" s="120">
        <v>12</v>
      </c>
      <c r="D106" s="235" t="s">
        <v>505</v>
      </c>
      <c r="E106" s="249">
        <v>1717</v>
      </c>
      <c r="L106" s="125"/>
      <c r="M106" s="126"/>
      <c r="N106" s="127"/>
    </row>
    <row r="107" spans="1:14">
      <c r="A107" s="170">
        <f>_xlfn.XLOOKUP(B107 &amp; "-" &amp; TEXT(C107,"00"),改定!N:N,改定!E:E)</f>
        <v>43197</v>
      </c>
      <c r="B107" s="119" t="s">
        <v>486</v>
      </c>
      <c r="C107" s="120">
        <v>12</v>
      </c>
      <c r="D107" s="235" t="s">
        <v>506</v>
      </c>
      <c r="E107" s="249">
        <v>1481</v>
      </c>
      <c r="J107" s="129"/>
      <c r="L107" s="130"/>
      <c r="M107" s="126"/>
      <c r="N107" s="127"/>
    </row>
    <row r="108" spans="1:14">
      <c r="A108" s="170">
        <f>_xlfn.XLOOKUP(B108 &amp; "-" &amp; TEXT(C108,"00"),改定!N:N,改定!E:E)</f>
        <v>43322</v>
      </c>
      <c r="B108" s="119" t="s">
        <v>525</v>
      </c>
      <c r="C108" s="120">
        <v>2</v>
      </c>
      <c r="D108" s="235" t="s">
        <v>514</v>
      </c>
      <c r="E108" s="249">
        <v>37</v>
      </c>
      <c r="L108" s="130"/>
      <c r="M108" s="126"/>
      <c r="N108" s="127"/>
    </row>
    <row r="109" spans="1:14">
      <c r="A109" s="170">
        <f>_xlfn.XLOOKUP(B109 &amp; "-" &amp; TEXT(C109,"00"),改定!N:N,改定!E:E)</f>
        <v>43413</v>
      </c>
      <c r="B109" s="119" t="s">
        <v>486</v>
      </c>
      <c r="C109" s="120">
        <v>13</v>
      </c>
      <c r="D109" s="235" t="s">
        <v>504</v>
      </c>
      <c r="E109" s="249">
        <v>2489</v>
      </c>
      <c r="L109" s="130"/>
      <c r="M109" s="126"/>
      <c r="N109" s="127"/>
    </row>
    <row r="110" spans="1:14">
      <c r="A110" s="170">
        <f>_xlfn.XLOOKUP(B110 &amp; "-" &amp; TEXT(C110,"00"),改定!N:N,改定!E:E)</f>
        <v>43413</v>
      </c>
      <c r="B110" s="119" t="s">
        <v>486</v>
      </c>
      <c r="C110" s="120">
        <v>13</v>
      </c>
      <c r="D110" s="235" t="s">
        <v>505</v>
      </c>
      <c r="E110" s="249" t="s">
        <v>517</v>
      </c>
      <c r="N110" s="127"/>
    </row>
    <row r="111" spans="1:14">
      <c r="A111" s="170">
        <f>_xlfn.XLOOKUP(B111 &amp; "-" &amp; TEXT(C111,"00"),改定!N:N,改定!E:E)</f>
        <v>43413</v>
      </c>
      <c r="B111" s="119" t="s">
        <v>486</v>
      </c>
      <c r="C111" s="120">
        <v>13</v>
      </c>
      <c r="D111" s="235" t="s">
        <v>506</v>
      </c>
      <c r="E111" s="249" t="s">
        <v>517</v>
      </c>
      <c r="I111"/>
      <c r="N111" s="127"/>
    </row>
    <row r="112" spans="1:14">
      <c r="A112" s="170">
        <f>_xlfn.XLOOKUP(B112 &amp; "-" &amp; TEXT(C112,"00"),改定!N:N,改定!E:E)</f>
        <v>43461</v>
      </c>
      <c r="B112" s="119" t="s">
        <v>490</v>
      </c>
      <c r="C112" s="120">
        <v>2</v>
      </c>
      <c r="D112" s="235" t="s">
        <v>511</v>
      </c>
      <c r="E112" s="249" t="s">
        <v>517</v>
      </c>
      <c r="I112"/>
      <c r="N112" s="127"/>
    </row>
    <row r="113" spans="1:14">
      <c r="A113" s="170">
        <f>_xlfn.XLOOKUP(B113 &amp; "-" &amp; TEXT(C113,"00"),改定!N:N,改定!E:E)</f>
        <v>43461</v>
      </c>
      <c r="B113" s="119" t="s">
        <v>490</v>
      </c>
      <c r="C113" s="120">
        <v>2</v>
      </c>
      <c r="D113" s="235" t="s">
        <v>513</v>
      </c>
      <c r="E113" s="249" t="s">
        <v>517</v>
      </c>
      <c r="I113"/>
      <c r="N113" s="127"/>
    </row>
    <row r="114" spans="1:14">
      <c r="A114" s="170">
        <f>_xlfn.XLOOKUP(B114 &amp; "-" &amp; TEXT(C114,"00"),改定!N:N,改定!E:E)</f>
        <v>43461</v>
      </c>
      <c r="B114" s="119" t="s">
        <v>490</v>
      </c>
      <c r="C114" s="120">
        <v>2</v>
      </c>
      <c r="D114" s="235" t="s">
        <v>512</v>
      </c>
      <c r="E114" s="249" t="s">
        <v>517</v>
      </c>
      <c r="I114"/>
      <c r="N114" s="127"/>
    </row>
    <row r="115" spans="1:14">
      <c r="A115" s="170">
        <f>_xlfn.XLOOKUP(B115 &amp; "-" &amp; TEXT(C115,"00"),改定!N:N,改定!E:E)</f>
        <v>43461</v>
      </c>
      <c r="B115" s="119" t="s">
        <v>490</v>
      </c>
      <c r="C115" s="120">
        <v>2</v>
      </c>
      <c r="D115" s="235" t="s">
        <v>263</v>
      </c>
      <c r="E115" s="249" t="s">
        <v>517</v>
      </c>
      <c r="I115"/>
      <c r="N115" s="127"/>
    </row>
    <row r="116" spans="1:14">
      <c r="A116" s="170">
        <f>_xlfn.XLOOKUP(B116 &amp; "-" &amp; TEXT(C116,"00"),改定!N:N,改定!E:E)</f>
        <v>43461</v>
      </c>
      <c r="B116" s="119" t="s">
        <v>490</v>
      </c>
      <c r="C116" s="120">
        <v>2</v>
      </c>
      <c r="D116" s="235" t="s">
        <v>508</v>
      </c>
      <c r="E116" s="249" t="s">
        <v>517</v>
      </c>
      <c r="I116"/>
      <c r="N116" s="127"/>
    </row>
    <row r="117" spans="1:14">
      <c r="A117" s="170">
        <f>_xlfn.XLOOKUP(B117 &amp; "-" &amp; TEXT(C117,"00"),改定!N:N,改定!E:E)</f>
        <v>43461</v>
      </c>
      <c r="B117" s="119" t="s">
        <v>490</v>
      </c>
      <c r="C117" s="120">
        <v>2</v>
      </c>
      <c r="D117" s="235" t="s">
        <v>514</v>
      </c>
      <c r="E117" s="249" t="s">
        <v>517</v>
      </c>
      <c r="I117"/>
      <c r="N117" s="127"/>
    </row>
    <row r="118" spans="1:14">
      <c r="A118" s="170">
        <f>_xlfn.XLOOKUP(B118 &amp; "-" &amp; TEXT(C118,"00"),改定!N:N,改定!E:E)</f>
        <v>43461</v>
      </c>
      <c r="B118" s="119" t="s">
        <v>490</v>
      </c>
      <c r="C118" s="120">
        <v>2</v>
      </c>
      <c r="D118" s="235" t="s">
        <v>518</v>
      </c>
      <c r="E118" s="249" t="s">
        <v>517</v>
      </c>
      <c r="I118"/>
      <c r="N118" s="127"/>
    </row>
    <row r="119" spans="1:14">
      <c r="A119" s="170">
        <f>_xlfn.XLOOKUP(B119 &amp; "-" &amp; TEXT(C119,"00"),改定!N:N,改定!E:E)</f>
        <v>43461</v>
      </c>
      <c r="B119" s="119" t="s">
        <v>490</v>
      </c>
      <c r="C119" s="120">
        <v>2</v>
      </c>
      <c r="D119" s="235" t="s">
        <v>519</v>
      </c>
      <c r="E119" s="249" t="s">
        <v>517</v>
      </c>
      <c r="L119" s="133"/>
      <c r="M119" s="126"/>
      <c r="N119" s="127"/>
    </row>
    <row r="120" spans="1:14">
      <c r="A120" s="170">
        <f>_xlfn.XLOOKUP(B120 &amp; "-" &amp; TEXT(C120,"00"),改定!N:N,改定!E:E)</f>
        <v>43461</v>
      </c>
      <c r="B120" s="119" t="s">
        <v>490</v>
      </c>
      <c r="C120" s="120">
        <v>2</v>
      </c>
      <c r="D120" s="235" t="s">
        <v>515</v>
      </c>
      <c r="E120" s="249" t="s">
        <v>517</v>
      </c>
      <c r="L120" s="130"/>
      <c r="M120" s="126"/>
      <c r="N120" s="127"/>
    </row>
    <row r="121" spans="1:14">
      <c r="A121" s="170">
        <f>_xlfn.XLOOKUP(B121 &amp; "-" &amp; TEXT(C121,"00"),改定!N:N,改定!E:E)</f>
        <v>43461</v>
      </c>
      <c r="B121" s="119" t="s">
        <v>490</v>
      </c>
      <c r="C121" s="120">
        <v>2</v>
      </c>
      <c r="D121" s="235" t="s">
        <v>510</v>
      </c>
      <c r="E121" s="249" t="s">
        <v>517</v>
      </c>
      <c r="L121" s="130"/>
      <c r="M121" s="126"/>
      <c r="N121" s="127"/>
    </row>
    <row r="122" spans="1:14">
      <c r="A122" s="170">
        <f>_xlfn.XLOOKUP(B122 &amp; "-" &amp; TEXT(C122,"00"),改定!N:N,改定!E:E)</f>
        <v>43461</v>
      </c>
      <c r="B122" s="119" t="s">
        <v>14</v>
      </c>
      <c r="C122" s="120">
        <v>2</v>
      </c>
      <c r="D122" s="235" t="s">
        <v>516</v>
      </c>
      <c r="E122" s="249" t="s">
        <v>517</v>
      </c>
      <c r="I122"/>
      <c r="N122" s="127"/>
    </row>
    <row r="123" spans="1:14">
      <c r="A123" s="170">
        <f>_xlfn.XLOOKUP(B123 &amp; "-" &amp; TEXT(C123,"00"),改定!N:N,改定!E:E)</f>
        <v>43461</v>
      </c>
      <c r="B123" s="119" t="s">
        <v>14</v>
      </c>
      <c r="C123" s="120">
        <v>2</v>
      </c>
      <c r="D123" s="235" t="s">
        <v>263</v>
      </c>
      <c r="E123" s="249" t="s">
        <v>517</v>
      </c>
      <c r="L123" s="133"/>
      <c r="M123" s="126"/>
      <c r="N123" s="127"/>
    </row>
    <row r="124" spans="1:14">
      <c r="A124" s="170">
        <f>_xlfn.XLOOKUP(B124 &amp; "-" &amp; TEXT(C124,"00"),改定!N:N,改定!E:E)</f>
        <v>43461</v>
      </c>
      <c r="B124" s="119" t="s">
        <v>14</v>
      </c>
      <c r="C124" s="120">
        <v>2</v>
      </c>
      <c r="D124" s="235" t="s">
        <v>518</v>
      </c>
      <c r="E124" s="249" t="s">
        <v>517</v>
      </c>
      <c r="N124" s="127"/>
    </row>
    <row r="125" spans="1:14">
      <c r="A125" s="170">
        <f>_xlfn.XLOOKUP(B125 &amp; "-" &amp; TEXT(C125,"00"),改定!N:N,改定!E:E)</f>
        <v>43461</v>
      </c>
      <c r="B125" s="119" t="s">
        <v>14</v>
      </c>
      <c r="C125" s="120">
        <v>2</v>
      </c>
      <c r="D125" s="235" t="s">
        <v>519</v>
      </c>
      <c r="E125" s="249" t="s">
        <v>517</v>
      </c>
      <c r="N125" s="127"/>
    </row>
    <row r="126" spans="1:14">
      <c r="A126" s="170">
        <f>_xlfn.XLOOKUP(B126 &amp; "-" &amp; TEXT(C126,"00"),改定!N:N,改定!E:E)</f>
        <v>43461</v>
      </c>
      <c r="B126" s="119" t="s">
        <v>14</v>
      </c>
      <c r="C126" s="120">
        <v>2</v>
      </c>
      <c r="D126" s="235" t="s">
        <v>520</v>
      </c>
      <c r="E126" s="249" t="s">
        <v>517</v>
      </c>
      <c r="N126" s="127"/>
    </row>
    <row r="127" spans="1:14">
      <c r="A127" s="170">
        <f>_xlfn.XLOOKUP(B127 &amp; "-" &amp; TEXT(C127,"00"),改定!N:N,改定!E:E)</f>
        <v>43461</v>
      </c>
      <c r="B127" s="119" t="s">
        <v>14</v>
      </c>
      <c r="C127" s="120">
        <v>2</v>
      </c>
      <c r="N127" s="127"/>
    </row>
    <row r="128" spans="1:14">
      <c r="A128" s="170">
        <f>_xlfn.XLOOKUP(B128 &amp; "-" &amp; TEXT(C128,"00"),改定!N:N,改定!E:E)</f>
        <v>43461</v>
      </c>
      <c r="B128" s="119" t="s">
        <v>55</v>
      </c>
      <c r="C128" s="120">
        <v>1</v>
      </c>
      <c r="D128" s="236" t="s">
        <v>922</v>
      </c>
      <c r="E128" s="249" t="s">
        <v>517</v>
      </c>
      <c r="N128" s="127"/>
    </row>
    <row r="129" spans="1:16">
      <c r="A129" s="170">
        <f>_xlfn.XLOOKUP(B129 &amp; "-" &amp; TEXT(C129,"00"),改定!N:N,改定!E:E)</f>
        <v>43461</v>
      </c>
      <c r="B129" s="119" t="s">
        <v>115</v>
      </c>
      <c r="C129" s="120">
        <v>1</v>
      </c>
      <c r="D129" s="235" t="s">
        <v>524</v>
      </c>
      <c r="E129" s="249" t="s">
        <v>517</v>
      </c>
      <c r="N129" s="127"/>
    </row>
    <row r="130" spans="1:16">
      <c r="A130" s="170">
        <f>_xlfn.XLOOKUP(B130 &amp; "-" &amp; TEXT(C130,"00"),改定!N:N,改定!E:E)</f>
        <v>43497</v>
      </c>
      <c r="B130" s="119" t="s">
        <v>525</v>
      </c>
      <c r="C130" s="120">
        <v>3</v>
      </c>
      <c r="D130" s="235" t="s">
        <v>514</v>
      </c>
      <c r="E130" s="249">
        <v>106</v>
      </c>
      <c r="N130" s="127"/>
    </row>
    <row r="131" spans="1:16">
      <c r="A131" s="170">
        <f>_xlfn.XLOOKUP(B131 &amp; "-" &amp; TEXT(C131,"00"),改定!N:N,改定!E:E)</f>
        <v>43517</v>
      </c>
      <c r="B131" s="119" t="s">
        <v>526</v>
      </c>
      <c r="C131" s="120">
        <v>1</v>
      </c>
      <c r="D131" s="235" t="s">
        <v>520</v>
      </c>
      <c r="E131" s="249">
        <v>229</v>
      </c>
      <c r="I131"/>
      <c r="N131" s="127"/>
    </row>
    <row r="132" spans="1:16">
      <c r="A132" s="170">
        <f>_xlfn.XLOOKUP(B132 &amp; "-" &amp; TEXT(C132,"00"),改定!N:N,改定!E:E)</f>
        <v>43589</v>
      </c>
      <c r="B132" s="119" t="s">
        <v>28</v>
      </c>
      <c r="C132" s="120">
        <v>6</v>
      </c>
      <c r="D132" s="235" t="s">
        <v>263</v>
      </c>
      <c r="N132" s="127"/>
    </row>
    <row r="133" spans="1:16">
      <c r="A133" s="170">
        <f>_xlfn.XLOOKUP(B133 &amp; "-" &amp; TEXT(C133,"00"),改定!N:N,改定!E:E)</f>
        <v>43589</v>
      </c>
      <c r="B133" s="119" t="s">
        <v>44</v>
      </c>
      <c r="C133" s="120">
        <v>5</v>
      </c>
      <c r="D133" s="235" t="s">
        <v>509</v>
      </c>
      <c r="N133" s="127"/>
    </row>
    <row r="134" spans="1:16">
      <c r="A134" s="170">
        <f>_xlfn.XLOOKUP(B134 &amp; "-" &amp; TEXT(C134,"00"),改定!N:N,改定!E:E)</f>
        <v>43589</v>
      </c>
      <c r="B134" s="119" t="s">
        <v>80</v>
      </c>
      <c r="C134" s="120">
        <v>3</v>
      </c>
      <c r="D134" s="235" t="s">
        <v>510</v>
      </c>
      <c r="N134" s="127"/>
    </row>
    <row r="135" spans="1:16">
      <c r="A135" s="170">
        <f>_xlfn.XLOOKUP(B135 &amp; "-" &amp; TEXT(C135,"00"),改定!N:N,改定!E:E)</f>
        <v>43589</v>
      </c>
      <c r="B135" s="119" t="s">
        <v>80</v>
      </c>
      <c r="C135" s="120">
        <v>3</v>
      </c>
      <c r="D135" s="235" t="s">
        <v>516</v>
      </c>
      <c r="N135" s="127"/>
    </row>
    <row r="136" spans="1:16">
      <c r="A136" s="170">
        <f>_xlfn.XLOOKUP(B136 &amp; "-" &amp; TEXT(C136,"00"),改定!N:N,改定!E:E)</f>
        <v>43589</v>
      </c>
      <c r="B136" s="119" t="s">
        <v>108</v>
      </c>
      <c r="C136" s="120">
        <v>2</v>
      </c>
      <c r="D136" s="235" t="s">
        <v>520</v>
      </c>
      <c r="N136" s="127"/>
    </row>
    <row r="137" spans="1:16">
      <c r="A137" s="170">
        <f>_xlfn.XLOOKUP(B137 &amp; "-" &amp; TEXT(C137,"00"),改定!N:N,改定!E:E)</f>
        <v>43589</v>
      </c>
      <c r="B137" s="119" t="s">
        <v>137</v>
      </c>
      <c r="C137" s="120">
        <v>3</v>
      </c>
      <c r="D137" s="235" t="s">
        <v>511</v>
      </c>
      <c r="I137" s="132"/>
    </row>
    <row r="138" spans="1:16">
      <c r="A138" s="170">
        <f>_xlfn.XLOOKUP(B138 &amp; "-" &amp; TEXT(C138,"00"),改定!N:N,改定!E:E)</f>
        <v>43589</v>
      </c>
      <c r="B138" s="119" t="s">
        <v>137</v>
      </c>
      <c r="C138" s="120">
        <v>3</v>
      </c>
      <c r="D138" s="235" t="s">
        <v>512</v>
      </c>
      <c r="I138" s="132"/>
    </row>
    <row r="139" spans="1:16">
      <c r="A139" s="170">
        <f>_xlfn.XLOOKUP(B139 &amp; "-" &amp; TEXT(C139,"00"),改定!N:N,改定!E:E)</f>
        <v>43589</v>
      </c>
      <c r="B139" s="119" t="s">
        <v>145</v>
      </c>
      <c r="C139" s="120">
        <v>4</v>
      </c>
      <c r="D139" s="235" t="s">
        <v>508</v>
      </c>
      <c r="L139" s="134"/>
      <c r="M139" s="126"/>
      <c r="N139" s="127"/>
      <c r="P139"/>
    </row>
    <row r="140" spans="1:16">
      <c r="A140" s="170">
        <f>_xlfn.XLOOKUP(B140 &amp; "-" &amp; TEXT(C140,"00"),改定!N:N,改定!E:E)</f>
        <v>43589</v>
      </c>
      <c r="B140" s="119" t="s">
        <v>145</v>
      </c>
      <c r="C140" s="120">
        <v>4</v>
      </c>
      <c r="D140" s="235" t="s">
        <v>513</v>
      </c>
      <c r="L140" s="134"/>
      <c r="M140" s="126"/>
      <c r="N140" s="127"/>
      <c r="P140"/>
    </row>
    <row r="141" spans="1:16">
      <c r="A141" s="170">
        <f>_xlfn.XLOOKUP(B141 &amp; "-" &amp; TEXT(C141,"00"),改定!N:N,改定!E:E)</f>
        <v>43589</v>
      </c>
      <c r="B141" s="119" t="s">
        <v>148</v>
      </c>
      <c r="C141" s="120">
        <v>1</v>
      </c>
      <c r="D141" s="235" t="s">
        <v>508</v>
      </c>
      <c r="N141" s="127"/>
    </row>
    <row r="142" spans="1:16">
      <c r="A142" s="170">
        <f>_xlfn.XLOOKUP(B142 &amp; "-" &amp; TEXT(C142,"00"),改定!N:N,改定!E:E)</f>
        <v>43589</v>
      </c>
      <c r="B142" s="119" t="s">
        <v>186</v>
      </c>
      <c r="C142" s="120">
        <v>4</v>
      </c>
      <c r="D142" s="235" t="s">
        <v>514</v>
      </c>
      <c r="N142" s="127"/>
    </row>
    <row r="143" spans="1:16">
      <c r="A143" s="170">
        <f>_xlfn.XLOOKUP(B143 &amp; "-" &amp; TEXT(C143,"00"),改定!N:N,改定!E:E)</f>
        <v>43748</v>
      </c>
      <c r="B143" s="119" t="s">
        <v>80</v>
      </c>
      <c r="C143" s="120">
        <v>4</v>
      </c>
      <c r="D143" s="235" t="s">
        <v>510</v>
      </c>
      <c r="I143" s="132"/>
      <c r="N143" s="127"/>
      <c r="P143"/>
    </row>
    <row r="144" spans="1:16">
      <c r="A144" s="170">
        <f>_xlfn.XLOOKUP(B144 &amp; "-" &amp; TEXT(C144,"00"),改定!N:N,改定!E:E)</f>
        <v>43748</v>
      </c>
      <c r="B144" s="119" t="s">
        <v>80</v>
      </c>
      <c r="C144" s="120">
        <v>4</v>
      </c>
      <c r="D144" s="235" t="s">
        <v>516</v>
      </c>
      <c r="I144" s="132"/>
      <c r="N144" s="127"/>
      <c r="P144"/>
    </row>
    <row r="145" spans="1:16">
      <c r="A145" s="170">
        <f>_xlfn.XLOOKUP(B145 &amp; "-" &amp; TEXT(C145,"00"),改定!N:N,改定!E:E)</f>
        <v>43748</v>
      </c>
      <c r="B145" s="119" t="s">
        <v>527</v>
      </c>
      <c r="C145" s="120">
        <v>4</v>
      </c>
      <c r="D145" s="235" t="s">
        <v>511</v>
      </c>
      <c r="L145" s="125"/>
    </row>
    <row r="146" spans="1:16">
      <c r="A146" s="170">
        <f>_xlfn.XLOOKUP(B146 &amp; "-" &amp; TEXT(C146,"00"),改定!N:N,改定!E:E)</f>
        <v>43748</v>
      </c>
      <c r="B146" s="119" t="s">
        <v>527</v>
      </c>
      <c r="C146" s="120">
        <v>4</v>
      </c>
      <c r="D146" s="235" t="s">
        <v>512</v>
      </c>
      <c r="L146" s="125"/>
    </row>
    <row r="147" spans="1:16">
      <c r="A147" s="170">
        <f>_xlfn.XLOOKUP(B147 &amp; "-" &amp; TEXT(C147,"00"),改定!N:N,改定!E:E)</f>
        <v>43748</v>
      </c>
      <c r="B147" s="119" t="s">
        <v>493</v>
      </c>
      <c r="C147" s="120">
        <v>5</v>
      </c>
      <c r="D147" s="235" t="s">
        <v>508</v>
      </c>
    </row>
    <row r="148" spans="1:16">
      <c r="A148" s="170">
        <f>_xlfn.XLOOKUP(B148 &amp; "-" &amp; TEXT(C148,"00"),改定!N:N,改定!E:E)</f>
        <v>43748</v>
      </c>
      <c r="B148" s="119" t="s">
        <v>493</v>
      </c>
      <c r="C148" s="120">
        <v>5</v>
      </c>
      <c r="D148" s="235" t="s">
        <v>513</v>
      </c>
    </row>
    <row r="149" spans="1:16">
      <c r="A149" s="170">
        <f>_xlfn.XLOOKUP(B149 &amp; "-" &amp; TEXT(C149,"00"),改定!N:N,改定!E:E)</f>
        <v>43748</v>
      </c>
      <c r="B149" s="119" t="s">
        <v>507</v>
      </c>
      <c r="C149" s="120">
        <v>2</v>
      </c>
      <c r="D149" s="235" t="s">
        <v>508</v>
      </c>
    </row>
    <row r="150" spans="1:16">
      <c r="A150" s="170">
        <f>_xlfn.XLOOKUP(B150 &amp; "-" &amp; TEXT(C150,"00"),改定!N:N,改定!E:E)</f>
        <v>43748</v>
      </c>
      <c r="B150" s="119" t="s">
        <v>525</v>
      </c>
      <c r="C150" s="120">
        <v>5</v>
      </c>
      <c r="D150" s="235" t="s">
        <v>514</v>
      </c>
    </row>
    <row r="151" spans="1:16">
      <c r="A151" s="170">
        <f>_xlfn.XLOOKUP(B151 &amp; "-" &amp; TEXT(C151,"00"),改定!N:N,改定!E:E)</f>
        <v>43796</v>
      </c>
      <c r="B151" s="119" t="s">
        <v>528</v>
      </c>
      <c r="C151" s="120">
        <v>2</v>
      </c>
      <c r="D151" s="235" t="s">
        <v>518</v>
      </c>
      <c r="E151" s="249">
        <v>659</v>
      </c>
      <c r="F151" s="249">
        <v>658</v>
      </c>
      <c r="G151" s="128"/>
    </row>
    <row r="152" spans="1:16">
      <c r="A152" s="170">
        <f>_xlfn.XLOOKUP(B152 &amp; "-" &amp; TEXT(C152,"00"),改定!N:N,改定!E:E)</f>
        <v>43796</v>
      </c>
      <c r="B152" s="119" t="s">
        <v>499</v>
      </c>
      <c r="C152" s="120">
        <v>1</v>
      </c>
      <c r="D152" s="235" t="s">
        <v>518</v>
      </c>
      <c r="E152" s="249">
        <v>659</v>
      </c>
      <c r="F152" s="249">
        <v>658</v>
      </c>
      <c r="G152" s="128"/>
    </row>
    <row r="153" spans="1:16">
      <c r="A153" s="170">
        <f>_xlfn.XLOOKUP(B153 &amp; "-" &amp; TEXT(C153,"00"),改定!N:N,改定!E:E)</f>
        <v>43815</v>
      </c>
      <c r="B153" s="119" t="s">
        <v>528</v>
      </c>
      <c r="C153" s="120">
        <v>3</v>
      </c>
      <c r="D153" s="235" t="s">
        <v>518</v>
      </c>
      <c r="E153" s="249">
        <v>698</v>
      </c>
    </row>
    <row r="154" spans="1:16">
      <c r="A154" s="170">
        <f>_xlfn.XLOOKUP(B154 &amp; "-" &amp; TEXT(C154,"00"),改定!N:N,改定!E:E)</f>
        <v>43925</v>
      </c>
      <c r="B154" s="119" t="s">
        <v>529</v>
      </c>
      <c r="C154" s="120">
        <v>1</v>
      </c>
      <c r="D154" s="235" t="s">
        <v>530</v>
      </c>
      <c r="E154" s="249">
        <v>3</v>
      </c>
    </row>
    <row r="155" spans="1:16">
      <c r="A155" s="170">
        <f>_xlfn.XLOOKUP(B155 &amp; "-" &amp; TEXT(C155,"00"),改定!N:N,改定!E:E)</f>
        <v>43925</v>
      </c>
      <c r="B155" s="119" t="s">
        <v>529</v>
      </c>
      <c r="C155" s="120">
        <v>1</v>
      </c>
      <c r="D155" s="235" t="s">
        <v>519</v>
      </c>
      <c r="E155" s="249">
        <v>3</v>
      </c>
    </row>
    <row r="156" spans="1:16">
      <c r="A156" s="170">
        <f>_xlfn.XLOOKUP(B156 &amp; "-" &amp; TEXT(C156,"00"),改定!N:N,改定!E:E)</f>
        <v>43950</v>
      </c>
      <c r="B156" s="119" t="s">
        <v>531</v>
      </c>
      <c r="C156" s="120">
        <v>0</v>
      </c>
      <c r="D156" s="235" t="s">
        <v>519</v>
      </c>
      <c r="I156" s="132"/>
      <c r="N156" s="127"/>
      <c r="P156"/>
    </row>
    <row r="157" spans="1:16">
      <c r="A157" s="170">
        <f>_xlfn.XLOOKUP(B157 &amp; "-" &amp; TEXT(C157,"00"),改定!N:N,改定!E:E)</f>
        <v>43962</v>
      </c>
      <c r="B157" s="119" t="s">
        <v>532</v>
      </c>
      <c r="C157" s="120">
        <v>0</v>
      </c>
      <c r="D157" s="235" t="s">
        <v>533</v>
      </c>
      <c r="E157" s="249">
        <v>1</v>
      </c>
      <c r="L157" s="130"/>
      <c r="M157" s="126"/>
    </row>
    <row r="158" spans="1:16">
      <c r="A158" s="170">
        <f>_xlfn.XLOOKUP(B158 &amp; "-" &amp; TEXT(C158,"00"),改定!N:N,改定!E:E)</f>
        <v>44193</v>
      </c>
      <c r="B158" s="119" t="s">
        <v>525</v>
      </c>
      <c r="C158" s="120">
        <v>6</v>
      </c>
      <c r="D158" s="235" t="s">
        <v>514</v>
      </c>
      <c r="E158" s="249" t="s">
        <v>517</v>
      </c>
    </row>
    <row r="159" spans="1:16">
      <c r="A159" s="170">
        <f>_xlfn.XLOOKUP(B159 &amp; "-" &amp; TEXT(C159,"00"),改定!N:N,改定!E:E)</f>
        <v>44316</v>
      </c>
      <c r="B159" s="119" t="s">
        <v>529</v>
      </c>
      <c r="C159" s="120">
        <v>2</v>
      </c>
      <c r="D159" s="235" t="s">
        <v>530</v>
      </c>
      <c r="E159" s="249">
        <v>3</v>
      </c>
      <c r="F159" s="249"/>
      <c r="G159" s="128"/>
      <c r="L159" s="125"/>
      <c r="M159" s="126"/>
      <c r="N159" s="127"/>
    </row>
    <row r="160" spans="1:16">
      <c r="A160" s="170">
        <f>_xlfn.XLOOKUP(B160 &amp; "-" &amp; TEXT(C160,"00"),改定!N:N,改定!E:E)</f>
        <v>44316</v>
      </c>
      <c r="B160" s="119" t="s">
        <v>529</v>
      </c>
      <c r="C160" s="120">
        <v>2</v>
      </c>
      <c r="D160" s="235" t="s">
        <v>519</v>
      </c>
      <c r="E160" s="249">
        <v>3</v>
      </c>
      <c r="F160" s="249"/>
      <c r="G160" s="128"/>
    </row>
    <row r="161" spans="1:16">
      <c r="A161" s="170">
        <f>_xlfn.XLOOKUP(B161 &amp; "-" &amp; TEXT(C161,"00"),改定!N:N,改定!E:E)</f>
        <v>44430</v>
      </c>
      <c r="B161" s="119" t="s">
        <v>486</v>
      </c>
      <c r="C161" s="120">
        <v>14</v>
      </c>
      <c r="D161" s="235" t="s">
        <v>504</v>
      </c>
    </row>
    <row r="162" spans="1:16">
      <c r="A162" s="170">
        <f>_xlfn.XLOOKUP(B162 &amp; "-" &amp; TEXT(C162,"00"),改定!N:N,改定!E:E)</f>
        <v>44430</v>
      </c>
      <c r="B162" s="119" t="s">
        <v>486</v>
      </c>
      <c r="C162" s="120">
        <v>14</v>
      </c>
      <c r="D162" s="235" t="s">
        <v>505</v>
      </c>
    </row>
    <row r="163" spans="1:16">
      <c r="A163" s="170">
        <f>_xlfn.XLOOKUP(B163 &amp; "-" &amp; TEXT(C163,"00"),改定!N:N,改定!E:E)</f>
        <v>44430</v>
      </c>
      <c r="B163" s="119" t="s">
        <v>486</v>
      </c>
      <c r="C163" s="120">
        <v>14</v>
      </c>
      <c r="D163" s="235" t="s">
        <v>506</v>
      </c>
      <c r="I163" s="132"/>
      <c r="P163"/>
    </row>
    <row r="164" spans="1:16">
      <c r="A164" s="170">
        <f>_xlfn.XLOOKUP(B164 &amp; "-" &amp; TEXT(C164,"00"),改定!N:N,改定!E:E)</f>
        <v>44470</v>
      </c>
      <c r="B164" s="119" t="s">
        <v>531</v>
      </c>
      <c r="C164" s="120">
        <v>1</v>
      </c>
      <c r="D164" s="235" t="s">
        <v>519</v>
      </c>
      <c r="E164" s="249">
        <v>3</v>
      </c>
      <c r="J164" s="135"/>
    </row>
    <row r="165" spans="1:16">
      <c r="A165" s="170">
        <f>_xlfn.XLOOKUP(B165 &amp; "-" &amp; TEXT(C165,"00"),改定!N:N,改定!E:E)</f>
        <v>44946</v>
      </c>
      <c r="B165" s="119" t="s">
        <v>528</v>
      </c>
      <c r="C165" s="120">
        <v>4</v>
      </c>
      <c r="D165" s="235" t="s">
        <v>52</v>
      </c>
      <c r="E165" s="249">
        <v>1089</v>
      </c>
      <c r="F165" s="249">
        <v>1089</v>
      </c>
      <c r="G165" s="128"/>
      <c r="H165" s="150"/>
      <c r="J165" s="135"/>
    </row>
    <row r="166" spans="1:16">
      <c r="A166" s="170">
        <f>_xlfn.XLOOKUP(B166 &amp; "-" &amp; TEXT(C166,"00"),改定!N:N,改定!E:E)</f>
        <v>44946</v>
      </c>
      <c r="B166" s="119" t="s">
        <v>499</v>
      </c>
      <c r="C166" s="120">
        <v>2</v>
      </c>
      <c r="D166" s="235" t="s">
        <v>518</v>
      </c>
      <c r="E166" s="249">
        <v>1089</v>
      </c>
      <c r="F166" s="249">
        <v>1089</v>
      </c>
      <c r="G166" s="128"/>
      <c r="H166" s="150"/>
      <c r="J166" s="135"/>
      <c r="K166"/>
      <c r="L166" s="130"/>
      <c r="M166" s="126"/>
      <c r="N166" s="127"/>
    </row>
    <row r="167" spans="1:16">
      <c r="A167" s="170">
        <f>_xlfn.XLOOKUP(B167 &amp; "-" &amp; TEXT(C167,"00"),改定!N:N,改定!E:E)</f>
        <v>45048</v>
      </c>
      <c r="B167" s="119" t="s">
        <v>534</v>
      </c>
      <c r="C167" s="120">
        <v>0</v>
      </c>
      <c r="D167" s="235" t="s">
        <v>506</v>
      </c>
      <c r="E167" s="249">
        <v>2501</v>
      </c>
      <c r="H167" s="150"/>
      <c r="J167" s="135"/>
      <c r="K167"/>
      <c r="L167" s="130"/>
      <c r="M167" s="126"/>
      <c r="N167" s="127"/>
    </row>
    <row r="168" spans="1:16">
      <c r="A168" s="170">
        <f>_xlfn.XLOOKUP(B168 &amp; "-" &amp; TEXT(C168,"00"),改定!N:N,改定!E:E)</f>
        <v>45058</v>
      </c>
      <c r="B168" s="119" t="s">
        <v>535</v>
      </c>
      <c r="C168" s="120">
        <v>1</v>
      </c>
      <c r="D168" s="235" t="s">
        <v>536</v>
      </c>
      <c r="E168" s="249">
        <v>3</v>
      </c>
      <c r="J168" s="135"/>
      <c r="K168"/>
      <c r="L168" s="130"/>
      <c r="M168" s="126"/>
      <c r="N168" s="127"/>
    </row>
    <row r="169" spans="1:16">
      <c r="A169" s="170">
        <f>_xlfn.XLOOKUP(B169 &amp; "-" &amp; TEXT(C169,"00"),改定!N:N,改定!E:E)</f>
        <v>45058</v>
      </c>
      <c r="B169" s="119" t="s">
        <v>535</v>
      </c>
      <c r="C169" s="120">
        <v>1</v>
      </c>
      <c r="D169" s="235" t="s">
        <v>537</v>
      </c>
      <c r="E169" s="249">
        <v>2</v>
      </c>
      <c r="J169" s="135"/>
    </row>
    <row r="170" spans="1:16">
      <c r="A170" s="170">
        <f>_xlfn.XLOOKUP(B170 &amp; "-" &amp; TEXT(C170,"00"),改定!N:N,改定!E:E)</f>
        <v>45058</v>
      </c>
      <c r="B170" s="119" t="s">
        <v>535</v>
      </c>
      <c r="C170" s="120">
        <v>1</v>
      </c>
      <c r="D170" s="235" t="s">
        <v>515</v>
      </c>
      <c r="E170" s="249">
        <v>6</v>
      </c>
      <c r="J170"/>
      <c r="L170" s="130"/>
      <c r="M170" s="126"/>
      <c r="N170" s="127"/>
    </row>
    <row r="171" spans="1:16">
      <c r="A171" s="170">
        <f>_xlfn.XLOOKUP(B171 &amp; "-" &amp; TEXT(C171,"00"),改定!N:N,改定!E:E)</f>
        <v>45102</v>
      </c>
      <c r="B171" s="119" t="s">
        <v>538</v>
      </c>
      <c r="C171" s="120">
        <v>0</v>
      </c>
      <c r="D171" s="235" t="s">
        <v>536</v>
      </c>
      <c r="E171" s="249" t="s">
        <v>517</v>
      </c>
      <c r="J171" s="135"/>
      <c r="L171" s="130"/>
      <c r="M171" s="126"/>
      <c r="N171" s="127"/>
    </row>
    <row r="172" spans="1:16">
      <c r="A172" s="170">
        <f>_xlfn.XLOOKUP(B172 &amp; "-" &amp; TEXT(C172,"00"),改定!N:N,改定!E:E)</f>
        <v>45102</v>
      </c>
      <c r="B172" s="119" t="s">
        <v>538</v>
      </c>
      <c r="C172" s="120">
        <v>0</v>
      </c>
      <c r="D172" s="235" t="s">
        <v>537</v>
      </c>
      <c r="E172" s="249">
        <v>2</v>
      </c>
      <c r="J172" s="135"/>
    </row>
    <row r="173" spans="1:16">
      <c r="A173" s="170">
        <f>_xlfn.XLOOKUP(B173 &amp; "-" &amp; TEXT(C173,"00"),改定!N:N,改定!E:E)</f>
        <v>45102</v>
      </c>
      <c r="B173" s="119" t="s">
        <v>538</v>
      </c>
      <c r="C173" s="120">
        <v>0</v>
      </c>
      <c r="D173" s="235" t="s">
        <v>515</v>
      </c>
      <c r="E173" s="249" t="s">
        <v>517</v>
      </c>
      <c r="J173" s="135"/>
      <c r="K173"/>
      <c r="L173" s="125"/>
      <c r="M173" s="126"/>
      <c r="N173" s="127"/>
    </row>
    <row r="174" spans="1:16">
      <c r="A174" s="170">
        <f>_xlfn.XLOOKUP(B174 &amp; "-" &amp; TEXT(C174,"00"),改定!N:N,改定!E:E)</f>
        <v>45171</v>
      </c>
      <c r="B174" s="119" t="s">
        <v>539</v>
      </c>
      <c r="C174" s="120">
        <v>1</v>
      </c>
      <c r="D174" s="235" t="s">
        <v>536</v>
      </c>
      <c r="E174" s="249">
        <v>3</v>
      </c>
      <c r="H174" s="150"/>
      <c r="J174" s="135"/>
      <c r="K174"/>
      <c r="L174" s="125"/>
      <c r="M174" s="126"/>
      <c r="N174" s="127"/>
    </row>
    <row r="175" spans="1:16">
      <c r="A175" s="170">
        <f>_xlfn.XLOOKUP(B175 &amp; "-" &amp; TEXT(C175,"00"),改定!N:N,改定!E:E)</f>
        <v>45171</v>
      </c>
      <c r="B175" s="119" t="s">
        <v>539</v>
      </c>
      <c r="C175" s="120">
        <v>1</v>
      </c>
      <c r="D175" s="235" t="s">
        <v>537</v>
      </c>
      <c r="E175" s="249">
        <v>2</v>
      </c>
      <c r="H175" s="150"/>
      <c r="J175" s="135"/>
      <c r="K175"/>
      <c r="L175" s="125"/>
      <c r="M175" s="126"/>
      <c r="N175" s="127"/>
    </row>
    <row r="176" spans="1:16">
      <c r="A176" s="170">
        <f>_xlfn.XLOOKUP(B176 &amp; "-" &amp; TEXT(C176,"00"),改定!N:N,改定!E:E)</f>
        <v>45171</v>
      </c>
      <c r="B176" s="119" t="s">
        <v>539</v>
      </c>
      <c r="C176" s="120">
        <v>1</v>
      </c>
      <c r="D176" s="235" t="s">
        <v>515</v>
      </c>
      <c r="E176" s="249" t="s">
        <v>517</v>
      </c>
      <c r="H176" s="150"/>
      <c r="J176" s="135"/>
      <c r="K176"/>
      <c r="L176" s="125"/>
      <c r="M176" s="126"/>
      <c r="N176" s="127"/>
    </row>
    <row r="177" spans="1:14">
      <c r="A177" s="170">
        <f>_xlfn.XLOOKUP(B177 &amp; "-" &amp; TEXT(C177,"00"),改定!N:N,改定!E:E)</f>
        <v>45244</v>
      </c>
      <c r="B177" s="119" t="s">
        <v>535</v>
      </c>
      <c r="C177" s="120">
        <v>2</v>
      </c>
      <c r="D177" s="235" t="s">
        <v>536</v>
      </c>
      <c r="E177" s="249">
        <v>3</v>
      </c>
      <c r="H177" s="150"/>
      <c r="J177" s="135"/>
      <c r="K177"/>
      <c r="L177" s="125"/>
      <c r="M177" s="126"/>
      <c r="N177" s="127"/>
    </row>
    <row r="178" spans="1:14">
      <c r="A178" s="170">
        <f>_xlfn.XLOOKUP(B178 &amp; "-" &amp; TEXT(C178,"00"),改定!N:N,改定!E:E)</f>
        <v>45244</v>
      </c>
      <c r="B178" s="119" t="s">
        <v>535</v>
      </c>
      <c r="C178" s="120">
        <v>2</v>
      </c>
      <c r="D178" s="235" t="s">
        <v>537</v>
      </c>
      <c r="E178" s="249">
        <v>2</v>
      </c>
      <c r="H178" s="150"/>
      <c r="J178" s="135"/>
      <c r="K178"/>
      <c r="L178" s="125"/>
      <c r="M178" s="126"/>
      <c r="N178" s="127"/>
    </row>
    <row r="179" spans="1:14">
      <c r="A179" s="170">
        <f>_xlfn.XLOOKUP(B179 &amp; "-" &amp; TEXT(C179,"00"),改定!N:N,改定!E:E)</f>
        <v>45244</v>
      </c>
      <c r="B179" s="119" t="s">
        <v>535</v>
      </c>
      <c r="C179" s="120">
        <v>2</v>
      </c>
      <c r="D179" s="235" t="s">
        <v>515</v>
      </c>
      <c r="E179" s="249" t="s">
        <v>517</v>
      </c>
      <c r="H179" s="150"/>
      <c r="J179" s="135"/>
      <c r="N179" s="127"/>
    </row>
    <row r="180" spans="1:14">
      <c r="A180" s="170">
        <f>_xlfn.XLOOKUP(B180 &amp; "-" &amp; TEXT(C180,"00"),改定!N:N,改定!E:E)</f>
        <v>45342</v>
      </c>
      <c r="B180" s="119" t="s">
        <v>535</v>
      </c>
      <c r="C180" s="120">
        <v>3</v>
      </c>
      <c r="D180" s="235" t="s">
        <v>536</v>
      </c>
      <c r="E180" s="249" t="s">
        <v>517</v>
      </c>
      <c r="H180" s="150"/>
      <c r="J180" s="135"/>
      <c r="K180"/>
      <c r="L180" s="136"/>
      <c r="M180" s="126"/>
      <c r="N180" s="127"/>
    </row>
    <row r="181" spans="1:14">
      <c r="A181" s="170">
        <f>_xlfn.XLOOKUP(B181 &amp; "-" &amp; TEXT(C181,"00"),改定!N:N,改定!E:E)</f>
        <v>45342</v>
      </c>
      <c r="B181" s="119" t="s">
        <v>535</v>
      </c>
      <c r="C181" s="120">
        <v>3</v>
      </c>
      <c r="D181" s="235" t="s">
        <v>537</v>
      </c>
      <c r="E181" s="249" t="s">
        <v>517</v>
      </c>
      <c r="H181" s="150"/>
      <c r="J181" s="135"/>
      <c r="K181"/>
      <c r="L181" s="136"/>
      <c r="M181" s="126"/>
      <c r="N181" s="127"/>
    </row>
    <row r="182" spans="1:14">
      <c r="A182" s="170">
        <f>_xlfn.XLOOKUP(B182 &amp; "-" &amp; TEXT(C182,"00"),改定!N:N,改定!E:E)</f>
        <v>45342</v>
      </c>
      <c r="B182" s="119" t="s">
        <v>535</v>
      </c>
      <c r="C182" s="120">
        <v>3</v>
      </c>
      <c r="D182" s="235" t="s">
        <v>515</v>
      </c>
      <c r="E182" s="249" t="s">
        <v>517</v>
      </c>
      <c r="H182" s="150"/>
      <c r="J182" s="135"/>
      <c r="K182"/>
      <c r="L182" s="136"/>
      <c r="M182" s="126"/>
      <c r="N182" s="127"/>
    </row>
    <row r="183" spans="1:14">
      <c r="A183" s="170">
        <f>_xlfn.XLOOKUP(B183 &amp; "-" &amp; TEXT(C183,"00"),改定!N:N,改定!E:E)</f>
        <v>45444</v>
      </c>
      <c r="B183" s="119" t="s">
        <v>535</v>
      </c>
      <c r="C183" s="120">
        <v>4</v>
      </c>
      <c r="D183" s="235" t="s">
        <v>536</v>
      </c>
      <c r="E183" s="250"/>
      <c r="H183" s="150"/>
      <c r="J183" s="135"/>
      <c r="N183" s="127"/>
    </row>
    <row r="184" spans="1:14">
      <c r="A184" s="170">
        <f>_xlfn.XLOOKUP(B184 &amp; "-" &amp; TEXT(C184,"00"),改定!N:N,改定!E:E)</f>
        <v>45444</v>
      </c>
      <c r="B184" s="119" t="s">
        <v>535</v>
      </c>
      <c r="C184" s="120">
        <v>4</v>
      </c>
      <c r="D184" s="235" t="s">
        <v>537</v>
      </c>
      <c r="E184" s="250"/>
      <c r="H184" s="150"/>
      <c r="J184" s="135"/>
      <c r="K184"/>
      <c r="L184" s="136"/>
      <c r="M184" s="126"/>
      <c r="N184" s="127"/>
    </row>
    <row r="185" spans="1:14">
      <c r="A185" s="170">
        <f>_xlfn.XLOOKUP(B185 &amp; "-" &amp; TEXT(C185,"00"),改定!N:N,改定!E:E)</f>
        <v>45444</v>
      </c>
      <c r="B185" s="119" t="s">
        <v>535</v>
      </c>
      <c r="C185" s="120">
        <v>4</v>
      </c>
      <c r="D185" s="235" t="s">
        <v>515</v>
      </c>
      <c r="E185" s="250"/>
      <c r="H185" s="150"/>
      <c r="J185" s="135"/>
      <c r="K185"/>
      <c r="L185" s="136"/>
      <c r="M185" s="126"/>
      <c r="N185" s="127"/>
    </row>
    <row r="186" spans="1:14">
      <c r="A186" s="170">
        <f>_xlfn.XLOOKUP(B186 &amp; "-" &amp; TEXT(C186,"00"),改定!N:N,改定!E:E)</f>
        <v>45521</v>
      </c>
      <c r="B186" s="119" t="s">
        <v>540</v>
      </c>
      <c r="C186" s="120">
        <v>2</v>
      </c>
      <c r="D186" s="235" t="s">
        <v>536</v>
      </c>
      <c r="E186" s="250"/>
      <c r="H186" s="150"/>
      <c r="J186" s="135"/>
      <c r="K186"/>
      <c r="L186" s="136"/>
      <c r="M186" s="126"/>
      <c r="N186" s="127"/>
    </row>
    <row r="187" spans="1:14">
      <c r="A187" s="170">
        <f>_xlfn.XLOOKUP(B187 &amp; "-" &amp; TEXT(C187,"00"),改定!N:N,改定!E:E)</f>
        <v>45521</v>
      </c>
      <c r="B187" s="119" t="s">
        <v>540</v>
      </c>
      <c r="C187" s="120">
        <v>2</v>
      </c>
      <c r="D187" s="235" t="s">
        <v>537</v>
      </c>
      <c r="E187" s="250"/>
      <c r="H187" s="150"/>
      <c r="J187" s="135"/>
      <c r="K187"/>
      <c r="L187" s="136"/>
      <c r="M187" s="126"/>
      <c r="N187" s="127"/>
    </row>
    <row r="188" spans="1:14">
      <c r="A188" s="170">
        <f>_xlfn.XLOOKUP(B188 &amp; "-" &amp; TEXT(C188,"00"),改定!N:N,改定!E:E)</f>
        <v>45521</v>
      </c>
      <c r="B188" s="119" t="s">
        <v>540</v>
      </c>
      <c r="C188" s="120">
        <v>2</v>
      </c>
      <c r="D188" s="235" t="s">
        <v>515</v>
      </c>
      <c r="E188" s="250"/>
      <c r="H188" s="150"/>
      <c r="J188" s="135"/>
      <c r="N188" s="127"/>
    </row>
    <row r="189" spans="1:14">
      <c r="A189" s="170">
        <f>_xlfn.XLOOKUP(B189 &amp; "-" &amp; TEXT(C189,"00"),改定!N:N,改定!E:E)</f>
        <v>45521</v>
      </c>
      <c r="B189" s="119" t="s">
        <v>539</v>
      </c>
      <c r="C189" s="120">
        <v>2</v>
      </c>
      <c r="D189" s="235" t="s">
        <v>536</v>
      </c>
      <c r="E189" s="250"/>
      <c r="H189" s="150"/>
      <c r="J189" s="135"/>
      <c r="K189"/>
      <c r="L189" s="136"/>
      <c r="M189" s="126"/>
      <c r="N189" s="127"/>
    </row>
    <row r="190" spans="1:14">
      <c r="A190" s="170">
        <f>_xlfn.XLOOKUP(B190 &amp; "-" &amp; TEXT(C190,"00"),改定!N:N,改定!E:E)</f>
        <v>45521</v>
      </c>
      <c r="B190" s="119" t="s">
        <v>539</v>
      </c>
      <c r="C190" s="120">
        <v>2</v>
      </c>
      <c r="D190" s="235" t="s">
        <v>537</v>
      </c>
      <c r="E190" s="250"/>
      <c r="H190" s="150"/>
      <c r="J190" s="135"/>
      <c r="K190"/>
      <c r="L190" s="136"/>
      <c r="M190" s="126"/>
      <c r="N190" s="127"/>
    </row>
    <row r="191" spans="1:14">
      <c r="A191" s="170">
        <f>_xlfn.XLOOKUP(B191 &amp; "-" &amp; TEXT(C191,"00"),改定!N:N,改定!E:E)</f>
        <v>45521</v>
      </c>
      <c r="B191" s="119" t="s">
        <v>539</v>
      </c>
      <c r="C191" s="120">
        <v>2</v>
      </c>
      <c r="D191" s="235" t="s">
        <v>515</v>
      </c>
      <c r="E191" s="250"/>
      <c r="H191" s="150"/>
      <c r="J191" s="135"/>
      <c r="N191" s="127"/>
    </row>
    <row r="192" spans="1:14">
      <c r="A192" s="170">
        <f>_xlfn.XLOOKUP(B192 &amp; "-" &amp; TEXT(C192,"00"),改定!N:N,改定!E:E)</f>
        <v>45524</v>
      </c>
      <c r="B192" s="119" t="s">
        <v>46</v>
      </c>
      <c r="C192" s="120">
        <v>0</v>
      </c>
      <c r="D192" s="237" t="s">
        <v>541</v>
      </c>
      <c r="E192" s="250"/>
      <c r="H192" s="150"/>
      <c r="J192" s="135"/>
      <c r="K192"/>
      <c r="L192" s="136"/>
      <c r="M192" s="126"/>
      <c r="N192" s="127"/>
    </row>
    <row r="193" spans="1:14">
      <c r="A193" s="170">
        <f>_xlfn.XLOOKUP(B193 &amp; "-" &amp; TEXT(C193,"00"),改定!N:N,改定!E:E)</f>
        <v>45611</v>
      </c>
      <c r="B193" s="119" t="s">
        <v>538</v>
      </c>
      <c r="C193" s="120">
        <v>1</v>
      </c>
      <c r="D193" s="237" t="s">
        <v>225</v>
      </c>
      <c r="E193" s="250"/>
      <c r="H193" s="150"/>
      <c r="J193" s="135"/>
      <c r="K193"/>
      <c r="L193" s="136"/>
      <c r="M193" s="126"/>
      <c r="N193" s="127"/>
    </row>
    <row r="194" spans="1:14">
      <c r="A194" s="170">
        <f>_xlfn.XLOOKUP(B194 &amp; "-" &amp; TEXT(C194,"00"),改定!N:N,改定!E:E)</f>
        <v>45611</v>
      </c>
      <c r="B194" s="119" t="s">
        <v>538</v>
      </c>
      <c r="C194" s="120">
        <v>1</v>
      </c>
      <c r="D194" s="237" t="s">
        <v>542</v>
      </c>
      <c r="E194" s="250"/>
      <c r="H194" s="150"/>
      <c r="J194" s="135"/>
      <c r="K194"/>
      <c r="L194" s="136"/>
      <c r="M194" s="126"/>
      <c r="N194" s="127"/>
    </row>
    <row r="195" spans="1:14">
      <c r="A195" s="170">
        <f>_xlfn.XLOOKUP(B195 &amp; "-" &amp; TEXT(C195,"00"),改定!N:N,改定!E:E)</f>
        <v>45611</v>
      </c>
      <c r="B195" s="119" t="s">
        <v>538</v>
      </c>
      <c r="C195" s="120">
        <v>1</v>
      </c>
      <c r="D195" s="237" t="s">
        <v>543</v>
      </c>
      <c r="E195" s="250"/>
      <c r="H195" s="150"/>
      <c r="J195" s="135"/>
      <c r="K195"/>
      <c r="L195" s="136"/>
      <c r="M195" s="126"/>
      <c r="N195" s="127"/>
    </row>
    <row r="196" spans="1:14">
      <c r="A196" s="170">
        <f>_xlfn.XLOOKUP(B196 &amp; "-" &amp; TEXT(C196,"00"),改定!N:N,改定!E:E)</f>
        <v>45611</v>
      </c>
      <c r="B196" s="119" t="s">
        <v>544</v>
      </c>
      <c r="C196" s="120">
        <v>1</v>
      </c>
      <c r="D196" s="238" t="s">
        <v>536</v>
      </c>
      <c r="E196" s="250">
        <v>3</v>
      </c>
      <c r="H196" s="150"/>
      <c r="J196" s="135"/>
      <c r="K196"/>
      <c r="L196" s="136"/>
      <c r="M196" s="126"/>
      <c r="N196" s="127"/>
    </row>
    <row r="197" spans="1:14">
      <c r="A197" s="170">
        <f>_xlfn.XLOOKUP(B197 &amp; "-" &amp; TEXT(C197,"00"),改定!N:N,改定!E:E)</f>
        <v>45611</v>
      </c>
      <c r="B197" s="119" t="s">
        <v>544</v>
      </c>
      <c r="C197" s="120">
        <v>1</v>
      </c>
      <c r="D197" s="238" t="s">
        <v>545</v>
      </c>
      <c r="E197" s="250"/>
      <c r="H197" s="150"/>
      <c r="J197" s="135"/>
    </row>
    <row r="198" spans="1:14">
      <c r="A198" s="170">
        <f>_xlfn.XLOOKUP(B198 &amp; "-" &amp; TEXT(C198,"00"),改定!N:N,改定!E:E)</f>
        <v>45611</v>
      </c>
      <c r="B198" s="119" t="s">
        <v>544</v>
      </c>
      <c r="C198" s="120">
        <v>1</v>
      </c>
      <c r="D198" s="238" t="s">
        <v>537</v>
      </c>
      <c r="E198" s="250"/>
      <c r="H198" s="150"/>
      <c r="J198" s="135"/>
      <c r="L198" s="136"/>
      <c r="M198" s="126"/>
      <c r="N198" s="127"/>
    </row>
    <row r="199" spans="1:14">
      <c r="A199" s="170">
        <f>_xlfn.XLOOKUP(B199 &amp; "-" &amp; TEXT(C199,"00"),改定!N:N,改定!E:E)</f>
        <v>45611</v>
      </c>
      <c r="B199" s="119" t="s">
        <v>544</v>
      </c>
      <c r="C199" s="120">
        <v>1</v>
      </c>
      <c r="D199" s="238" t="s">
        <v>515</v>
      </c>
      <c r="E199" s="250"/>
      <c r="H199" s="150"/>
      <c r="J199" s="135"/>
      <c r="K199"/>
      <c r="L199" s="136"/>
      <c r="M199" s="126"/>
      <c r="N199" s="127"/>
    </row>
    <row r="200" spans="1:14">
      <c r="A200" s="170">
        <f>_xlfn.XLOOKUP(B200 &amp; "-" &amp; TEXT(C200,"00"),改定!N:N,改定!E:E)</f>
        <v>45611</v>
      </c>
      <c r="B200" s="119" t="s">
        <v>544</v>
      </c>
      <c r="C200" s="120">
        <v>1</v>
      </c>
      <c r="D200" s="238" t="s">
        <v>546</v>
      </c>
      <c r="E200" s="250"/>
      <c r="H200" s="150"/>
      <c r="J200" s="135"/>
      <c r="K200"/>
      <c r="L200" s="136"/>
      <c r="M200" s="126"/>
      <c r="N200" s="127"/>
    </row>
    <row r="201" spans="1:14">
      <c r="A201" s="170">
        <f>_xlfn.XLOOKUP(B201 &amp; "-" &amp; TEXT(C201,"00"),改定!N:N,改定!E:E)</f>
        <v>45611</v>
      </c>
      <c r="B201" s="119" t="s">
        <v>544</v>
      </c>
      <c r="C201" s="120">
        <v>1</v>
      </c>
      <c r="D201" s="238" t="s">
        <v>547</v>
      </c>
      <c r="E201" s="250"/>
      <c r="H201" s="150"/>
      <c r="J201" s="135"/>
      <c r="K201"/>
      <c r="L201" s="136"/>
      <c r="M201" s="126"/>
      <c r="N201" s="127"/>
    </row>
    <row r="202" spans="1:14">
      <c r="A202" s="170">
        <f>_xlfn.XLOOKUP(B202 &amp; "-" &amp; TEXT(C202,"00"),改定!N:N,改定!E:E)</f>
        <v>45671</v>
      </c>
      <c r="B202" s="119" t="s">
        <v>532</v>
      </c>
      <c r="C202" s="120">
        <v>1</v>
      </c>
      <c r="D202" s="151" t="s">
        <v>117</v>
      </c>
      <c r="E202" s="250">
        <v>3</v>
      </c>
      <c r="H202" s="150"/>
      <c r="J202" s="135"/>
      <c r="K202"/>
      <c r="L202" s="136"/>
      <c r="M202" s="126"/>
      <c r="N202" s="127"/>
    </row>
    <row r="203" spans="1:14">
      <c r="A203" s="170">
        <f>_xlfn.XLOOKUP(B203 &amp; "-" &amp; TEXT(C203,"00"),改定!N:N,改定!E:E)</f>
        <v>45671</v>
      </c>
      <c r="B203" s="119" t="s">
        <v>532</v>
      </c>
      <c r="C203" s="120">
        <v>1</v>
      </c>
      <c r="D203" s="151" t="s">
        <v>548</v>
      </c>
      <c r="E203" s="250">
        <v>1</v>
      </c>
      <c r="H203" s="150"/>
      <c r="J203" s="135"/>
      <c r="K203"/>
      <c r="L203" s="136"/>
      <c r="M203" s="126"/>
      <c r="N203" s="127"/>
    </row>
    <row r="204" spans="1:14">
      <c r="A204" s="170">
        <f>_xlfn.XLOOKUP(B204 &amp; "-" &amp; TEXT(C204,"00"),改定!N:N,改定!E:E)</f>
        <v>45671</v>
      </c>
      <c r="B204" s="119" t="s">
        <v>532</v>
      </c>
      <c r="C204" s="120">
        <v>1</v>
      </c>
      <c r="D204" s="237" t="s">
        <v>549</v>
      </c>
      <c r="E204" s="250">
        <v>2</v>
      </c>
      <c r="H204" s="150"/>
      <c r="J204" s="135"/>
    </row>
    <row r="205" spans="1:14">
      <c r="A205" s="170">
        <f>_xlfn.XLOOKUP(B205 &amp; "-" &amp; TEXT(C205,"00"),改定!N:N,改定!E:E)</f>
        <v>45671</v>
      </c>
      <c r="B205" s="119" t="s">
        <v>532</v>
      </c>
      <c r="C205" s="120">
        <v>1</v>
      </c>
      <c r="D205" s="237" t="s">
        <v>117</v>
      </c>
      <c r="E205" s="250"/>
      <c r="H205" s="150"/>
      <c r="J205" s="135"/>
      <c r="L205" s="136"/>
      <c r="M205" s="126"/>
      <c r="N205" s="127"/>
    </row>
    <row r="206" spans="1:14">
      <c r="A206" s="170">
        <f>_xlfn.XLOOKUP(B206 &amp; "-" &amp; TEXT(C206,"00"),改定!N:N,改定!E:E)</f>
        <v>45719</v>
      </c>
      <c r="B206" s="119" t="s">
        <v>535</v>
      </c>
      <c r="C206" s="120">
        <v>5</v>
      </c>
      <c r="D206" s="237" t="s">
        <v>543</v>
      </c>
      <c r="E206" s="250">
        <v>417</v>
      </c>
      <c r="H206" s="150"/>
      <c r="J206" s="135"/>
      <c r="L206" s="136"/>
      <c r="M206" s="126"/>
      <c r="N206" s="127"/>
    </row>
    <row r="207" spans="1:14">
      <c r="A207" s="170">
        <f>_xlfn.XLOOKUP(B207 &amp; "-" &amp; TEXT(C207,"00"),改定!N:N,改定!E:E)</f>
        <v>45719</v>
      </c>
      <c r="B207" s="119" t="s">
        <v>535</v>
      </c>
      <c r="C207" s="120">
        <v>5</v>
      </c>
      <c r="D207" s="237" t="s">
        <v>225</v>
      </c>
      <c r="E207" s="250"/>
      <c r="H207" s="150"/>
      <c r="J207" s="135"/>
      <c r="L207" s="130"/>
      <c r="M207" s="126"/>
      <c r="N207" s="127"/>
    </row>
    <row r="208" spans="1:14">
      <c r="A208" s="170">
        <f>_xlfn.XLOOKUP(B208 &amp; "-" &amp; TEXT(C208,"00"),改定!N:N,改定!E:E)</f>
        <v>45719</v>
      </c>
      <c r="B208" s="119" t="s">
        <v>535</v>
      </c>
      <c r="C208" s="120">
        <v>5</v>
      </c>
      <c r="D208" s="237" t="s">
        <v>542</v>
      </c>
      <c r="E208" s="250">
        <v>2</v>
      </c>
      <c r="H208" s="150"/>
      <c r="J208" s="135"/>
      <c r="L208" s="136"/>
      <c r="M208" s="126"/>
      <c r="N208" s="127"/>
    </row>
    <row r="209" spans="1:15">
      <c r="A209" s="170">
        <f>_xlfn.XLOOKUP(B209 &amp; "-" &amp; TEXT(C209,"00"),改定!N:N,改定!E:E)</f>
        <v>45755</v>
      </c>
      <c r="B209" s="119" t="s">
        <v>118</v>
      </c>
      <c r="C209" s="124">
        <v>2</v>
      </c>
      <c r="D209" s="237" t="s">
        <v>811</v>
      </c>
      <c r="E209" s="250">
        <v>3</v>
      </c>
      <c r="H209" s="150"/>
      <c r="J209" s="135"/>
      <c r="L209" s="136"/>
      <c r="M209" s="126"/>
      <c r="N209" s="127"/>
    </row>
    <row r="210" spans="1:15">
      <c r="A210" s="170">
        <f>_xlfn.XLOOKUP(B210 &amp; "-" &amp; TEXT(C210,"00"),改定!N:N,改定!E:E)</f>
        <v>45755</v>
      </c>
      <c r="B210" s="119" t="s">
        <v>118</v>
      </c>
      <c r="C210" s="124">
        <v>2</v>
      </c>
      <c r="D210" s="237" t="s">
        <v>813</v>
      </c>
      <c r="E210" s="250">
        <v>1</v>
      </c>
      <c r="H210" s="150"/>
      <c r="J210" s="135"/>
      <c r="L210" s="136"/>
      <c r="M210" s="126"/>
      <c r="N210" s="127"/>
    </row>
    <row r="211" spans="1:15">
      <c r="A211" s="170">
        <f>_xlfn.XLOOKUP(B211 &amp; "-" &amp; TEXT(C211,"00"),改定!N:N,改定!E:E)</f>
        <v>45755</v>
      </c>
      <c r="B211" s="119" t="s">
        <v>118</v>
      </c>
      <c r="C211" s="124">
        <v>2</v>
      </c>
      <c r="D211" s="237" t="s">
        <v>815</v>
      </c>
      <c r="E211" s="250">
        <v>1</v>
      </c>
      <c r="H211" s="150"/>
      <c r="J211" s="135"/>
      <c r="L211" s="136"/>
      <c r="M211" s="126"/>
      <c r="N211" s="127"/>
    </row>
    <row r="212" spans="1:15">
      <c r="A212" s="170">
        <f>_xlfn.XLOOKUP(B212 &amp; "-" &amp; TEXT(C212,"00"),改定!N:N,改定!E:E)</f>
        <v>45802</v>
      </c>
      <c r="B212" s="119" t="s">
        <v>118</v>
      </c>
      <c r="C212" s="124">
        <v>3</v>
      </c>
      <c r="D212" s="237" t="s">
        <v>811</v>
      </c>
      <c r="E212" s="250"/>
      <c r="H212" s="150"/>
      <c r="J212" s="135"/>
      <c r="L212" s="136"/>
      <c r="M212" s="126"/>
      <c r="N212" s="127"/>
    </row>
    <row r="213" spans="1:15">
      <c r="A213" s="170">
        <f>_xlfn.XLOOKUP(B213 &amp; "-" &amp; TEXT(C213,"00"),改定!N:N,改定!E:E)</f>
        <v>45802</v>
      </c>
      <c r="B213" s="119" t="s">
        <v>118</v>
      </c>
      <c r="C213" s="124">
        <v>3</v>
      </c>
      <c r="D213" s="237" t="s">
        <v>815</v>
      </c>
      <c r="E213" s="250"/>
      <c r="H213" s="150"/>
      <c r="J213" s="135"/>
      <c r="L213" s="136"/>
      <c r="M213" s="126"/>
      <c r="N213" s="127"/>
    </row>
    <row r="214" spans="1:15">
      <c r="A214" s="170">
        <f>_xlfn.XLOOKUP(B214 &amp; "-" &amp; TEXT(C214,"00"),改定!N:N,改定!E:E)</f>
        <v>45802</v>
      </c>
      <c r="B214" s="119" t="s">
        <v>118</v>
      </c>
      <c r="C214" s="124">
        <v>3</v>
      </c>
      <c r="D214" s="237" t="s">
        <v>813</v>
      </c>
      <c r="E214" s="250"/>
      <c r="H214" s="150"/>
      <c r="J214" s="135"/>
      <c r="L214" s="136"/>
      <c r="M214" s="126"/>
      <c r="N214" s="127"/>
    </row>
    <row r="215" spans="1:15">
      <c r="A215" s="170">
        <f>_xlfn.XLOOKUP(B215 &amp; "-" &amp; TEXT(C215,"00"),改定!N:N,改定!E:E)</f>
        <v>45814</v>
      </c>
      <c r="B215" s="119" t="s">
        <v>220</v>
      </c>
      <c r="C215" s="124">
        <v>2</v>
      </c>
      <c r="D215" s="237" t="s">
        <v>816</v>
      </c>
      <c r="E215" s="250"/>
      <c r="H215" s="150"/>
      <c r="J215" s="135"/>
      <c r="L215" s="136"/>
      <c r="M215" s="126"/>
      <c r="N215" s="127"/>
    </row>
    <row r="216" spans="1:15">
      <c r="A216" s="170">
        <f>_xlfn.XLOOKUP(B216 &amp; "-" &amp; TEXT(C216,"00"),改定!N:N,改定!E:E)</f>
        <v>45814</v>
      </c>
      <c r="B216" s="119" t="s">
        <v>220</v>
      </c>
      <c r="C216" s="124">
        <v>2</v>
      </c>
      <c r="D216" s="237" t="s">
        <v>817</v>
      </c>
      <c r="E216" s="250"/>
      <c r="J216" s="135"/>
    </row>
    <row r="217" spans="1:15">
      <c r="A217" s="170">
        <f>_xlfn.XLOOKUP(B217 &amp; "-" &amp; TEXT(C217,"00"),改定!N:N,改定!E:E)</f>
        <v>45814</v>
      </c>
      <c r="B217" s="119" t="s">
        <v>220</v>
      </c>
      <c r="C217" s="124">
        <v>2</v>
      </c>
      <c r="D217" s="237" t="s">
        <v>818</v>
      </c>
      <c r="E217" s="250"/>
      <c r="J217" s="135"/>
      <c r="L217" s="130"/>
      <c r="M217" s="126"/>
      <c r="N217" s="127"/>
    </row>
    <row r="218" spans="1:15">
      <c r="A218" s="170">
        <f>_xlfn.XLOOKUP(B218 &amp; "-" &amp; TEXT(C218,"00"),改定!N:N,改定!E:E)</f>
        <v>45867</v>
      </c>
      <c r="B218" s="119" t="s">
        <v>161</v>
      </c>
      <c r="C218" s="124">
        <v>3</v>
      </c>
      <c r="D218" s="237" t="s">
        <v>819</v>
      </c>
      <c r="E218" s="250"/>
      <c r="J218" s="135"/>
      <c r="L218" s="130"/>
      <c r="M218" s="126"/>
      <c r="N218" s="127"/>
    </row>
    <row r="219" spans="1:15">
      <c r="A219" s="170">
        <f>_xlfn.XLOOKUP(B219 &amp; "-" &amp; TEXT(C219,"00"),改定!N:N,改定!E:E)</f>
        <v>45867</v>
      </c>
      <c r="B219" s="119" t="s">
        <v>161</v>
      </c>
      <c r="C219" s="124">
        <v>3</v>
      </c>
      <c r="D219" s="239" t="s">
        <v>530</v>
      </c>
      <c r="E219" s="250"/>
      <c r="J219" s="135"/>
      <c r="L219" s="130"/>
      <c r="M219" s="126"/>
      <c r="N219" s="127"/>
    </row>
    <row r="220" spans="1:15">
      <c r="A220" s="170">
        <f>_xlfn.XLOOKUP(B220 &amp; "-" &amp; TEXT(C220,"00"),改定!N:N,改定!E:E)</f>
        <v>45980</v>
      </c>
      <c r="B220" s="119" t="s">
        <v>69</v>
      </c>
      <c r="C220" s="124">
        <v>1</v>
      </c>
      <c r="D220" s="237" t="s">
        <v>820</v>
      </c>
      <c r="E220" s="250"/>
      <c r="J220" s="135"/>
      <c r="L220" s="130"/>
      <c r="M220" s="126"/>
      <c r="N220" s="127"/>
    </row>
    <row r="221" spans="1:15">
      <c r="A221" s="170">
        <f>_xlfn.XLOOKUP(B221 &amp; "-" &amp; TEXT(C221,"00"),改定!N:N,改定!E:E)</f>
        <v>45980</v>
      </c>
      <c r="B221" s="119" t="s">
        <v>69</v>
      </c>
      <c r="C221" s="124">
        <v>1</v>
      </c>
      <c r="D221" s="237" t="s">
        <v>821</v>
      </c>
      <c r="E221" s="250"/>
      <c r="J221" s="135"/>
      <c r="L221" s="130"/>
      <c r="M221" s="126"/>
      <c r="N221" s="127"/>
    </row>
    <row r="222" spans="1:15">
      <c r="A222" s="170">
        <f>_xlfn.XLOOKUP(B222 &amp; "-" &amp; TEXT(C222,"00"),改定!N:N,改定!E:E)</f>
        <v>45980</v>
      </c>
      <c r="B222" s="119" t="s">
        <v>77</v>
      </c>
      <c r="C222" s="124">
        <v>1</v>
      </c>
      <c r="D222" s="237" t="s">
        <v>823</v>
      </c>
      <c r="E222" s="250"/>
      <c r="J222" s="135"/>
    </row>
    <row r="223" spans="1:15">
      <c r="A223" s="170">
        <f>_xlfn.XLOOKUP(B223 &amp; "-" &amp; TEXT(C223,"00"),改定!N:N,改定!E:E)</f>
        <v>45980</v>
      </c>
      <c r="B223" s="119" t="s">
        <v>77</v>
      </c>
      <c r="C223" s="124">
        <v>1</v>
      </c>
      <c r="D223" s="237" t="s">
        <v>821</v>
      </c>
      <c r="E223" s="250"/>
      <c r="J223" s="135"/>
      <c r="L223" s="130"/>
      <c r="M223" s="126"/>
      <c r="N223" s="127"/>
      <c r="O223"/>
    </row>
    <row r="224" spans="1:15">
      <c r="A224" s="170">
        <f>_xlfn.XLOOKUP(B224 &amp; "-" &amp; TEXT(C224,"00"),改定!N:N,改定!E:E)</f>
        <v>46010</v>
      </c>
      <c r="B224" s="119" t="s">
        <v>81</v>
      </c>
      <c r="C224" s="120">
        <v>0</v>
      </c>
      <c r="D224" s="237" t="s">
        <v>824</v>
      </c>
      <c r="E224" s="250"/>
      <c r="J224" s="135"/>
      <c r="L224" s="130"/>
      <c r="M224" s="126"/>
      <c r="N224" s="127"/>
    </row>
    <row r="225" spans="1:18">
      <c r="A225" s="170">
        <f>_xlfn.XLOOKUP(B225 &amp; "-" &amp; TEXT(C225,"00"),改定!N:N,改定!E:E)</f>
        <v>46038</v>
      </c>
      <c r="B225" s="119" t="s">
        <v>203</v>
      </c>
      <c r="C225" s="124">
        <v>0</v>
      </c>
      <c r="D225" s="237" t="s">
        <v>826</v>
      </c>
      <c r="E225" s="250"/>
      <c r="J225" s="135"/>
      <c r="L225" s="130"/>
      <c r="M225" s="126"/>
      <c r="N225" s="127"/>
    </row>
    <row r="226" spans="1:18">
      <c r="A226" s="170">
        <f>_xlfn.XLOOKUP(B226 &amp; "-" &amp; TEXT(C226,"00"),改定!N:N,改定!E:E)</f>
        <v>46047</v>
      </c>
      <c r="B226" s="119" t="s">
        <v>69</v>
      </c>
      <c r="C226" s="124">
        <v>2</v>
      </c>
      <c r="D226" s="237" t="s">
        <v>823</v>
      </c>
      <c r="E226" s="250"/>
      <c r="J226" s="135"/>
      <c r="L226" s="130"/>
      <c r="M226" s="126"/>
      <c r="N226" s="127"/>
    </row>
    <row r="227" spans="1:18">
      <c r="A227" s="170">
        <f>_xlfn.XLOOKUP(B227 &amp; "-" &amp; TEXT(C227,"00"),改定!N:N,改定!E:E)</f>
        <v>46047</v>
      </c>
      <c r="B227" s="119" t="s">
        <v>69</v>
      </c>
      <c r="C227" s="124">
        <v>2</v>
      </c>
      <c r="D227" s="237" t="s">
        <v>821</v>
      </c>
      <c r="E227" s="250"/>
      <c r="J227" s="135"/>
      <c r="L227" s="130"/>
      <c r="M227" s="126"/>
      <c r="N227" s="127"/>
    </row>
    <row r="228" spans="1:18">
      <c r="A228" s="170">
        <f>_xlfn.XLOOKUP(B228 &amp; "-" &amp; TEXT(C228,"00"),改定!N:N,改定!E:E)</f>
        <v>46081</v>
      </c>
      <c r="B228" s="119" t="s">
        <v>69</v>
      </c>
      <c r="C228" s="124">
        <v>3</v>
      </c>
      <c r="D228" s="237" t="s">
        <v>820</v>
      </c>
      <c r="E228" s="250">
        <v>195</v>
      </c>
      <c r="J228" s="135"/>
      <c r="L228" s="130"/>
      <c r="M228" s="126"/>
      <c r="N228" s="127"/>
    </row>
    <row r="229" spans="1:18">
      <c r="A229" s="170">
        <f>_xlfn.XLOOKUP(B229 &amp; "-" &amp; TEXT(C229,"00"),改定!N:N,改定!E:E)</f>
        <v>46081</v>
      </c>
      <c r="B229" s="119" t="s">
        <v>69</v>
      </c>
      <c r="C229" s="124">
        <v>3</v>
      </c>
      <c r="D229" s="237" t="s">
        <v>821</v>
      </c>
      <c r="E229" s="250">
        <v>2</v>
      </c>
      <c r="J229" s="135"/>
      <c r="L229" s="130"/>
      <c r="M229" s="126"/>
      <c r="N229" s="127"/>
    </row>
    <row r="230" spans="1:18">
      <c r="A230" s="170">
        <f>_xlfn.XLOOKUP(B230 &amp; "-" &amp; TEXT(C230,"00"),改定!N:N,改定!E:E)</f>
        <v>46104</v>
      </c>
      <c r="B230" s="119" t="s">
        <v>84</v>
      </c>
      <c r="C230" s="120">
        <v>0</v>
      </c>
      <c r="D230" s="237" t="s">
        <v>827</v>
      </c>
      <c r="E230" s="250">
        <v>672</v>
      </c>
      <c r="F230" s="250">
        <v>672</v>
      </c>
      <c r="G230" s="124"/>
      <c r="J230" s="135"/>
      <c r="L230" s="130"/>
      <c r="M230" s="126"/>
      <c r="N230" s="127"/>
    </row>
    <row r="231" spans="1:18">
      <c r="A231" s="170">
        <f>_xlfn.XLOOKUP(B231 &amp; "-" &amp; TEXT(C231,"00"),改定!N:N,改定!E:E)</f>
        <v>46104</v>
      </c>
      <c r="B231" s="119" t="s">
        <v>84</v>
      </c>
      <c r="C231" s="120">
        <v>0</v>
      </c>
      <c r="D231" s="237" t="s">
        <v>824</v>
      </c>
      <c r="E231" s="250">
        <v>3970</v>
      </c>
      <c r="F231" s="250">
        <v>3970</v>
      </c>
      <c r="G231" s="124"/>
      <c r="J231" s="135"/>
      <c r="L231" s="130"/>
      <c r="M231" s="126"/>
      <c r="N231" s="127"/>
    </row>
    <row r="232" spans="1:18">
      <c r="A232" s="170">
        <f>_xlfn.XLOOKUP(B232 &amp; "-" &amp; TEXT(C232,"00"),改定!N:N,改定!E:E)</f>
        <v>46167</v>
      </c>
      <c r="B232" s="119" t="s">
        <v>137</v>
      </c>
      <c r="C232" s="124">
        <v>5</v>
      </c>
      <c r="D232" s="237" t="s">
        <v>829</v>
      </c>
      <c r="E232" s="250"/>
      <c r="J232" s="135"/>
      <c r="L232" s="130"/>
      <c r="M232" s="126"/>
      <c r="N232" s="127"/>
    </row>
    <row r="233" spans="1:18">
      <c r="A233" s="170">
        <f>_xlfn.XLOOKUP(B233 &amp; "-" &amp; TEXT(C233,"00"),改定!N:N,改定!E:E)</f>
        <v>46167</v>
      </c>
      <c r="B233" s="119" t="s">
        <v>137</v>
      </c>
      <c r="C233" s="124">
        <v>5</v>
      </c>
      <c r="D233" s="237" t="s">
        <v>830</v>
      </c>
      <c r="E233" s="250">
        <v>795</v>
      </c>
      <c r="F233" s="250">
        <v>795</v>
      </c>
      <c r="G233" s="124"/>
      <c r="J233" s="135"/>
      <c r="L233" s="130"/>
      <c r="M233" s="126"/>
      <c r="N233" s="127"/>
    </row>
    <row r="234" spans="1:18">
      <c r="A234" s="170">
        <f>_xlfn.XLOOKUP(B234 &amp; "-" &amp; TEXT(C234,"00"),改定!N:N,改定!E:E)</f>
        <v>46167</v>
      </c>
      <c r="B234" s="119" t="s">
        <v>137</v>
      </c>
      <c r="C234" s="124">
        <v>5</v>
      </c>
      <c r="D234" s="237" t="s">
        <v>831</v>
      </c>
      <c r="E234" s="250"/>
      <c r="J234" s="135"/>
      <c r="L234" s="130"/>
      <c r="M234" s="126"/>
      <c r="N234" s="127"/>
    </row>
    <row r="235" spans="1:18">
      <c r="A235" s="170">
        <f>_xlfn.XLOOKUP(B235 &amp; "-" &amp; TEXT(C235,"00"),改定!N:N,改定!E:E)</f>
        <v>46167</v>
      </c>
      <c r="B235" s="119" t="s">
        <v>137</v>
      </c>
      <c r="C235" s="124">
        <v>5</v>
      </c>
      <c r="D235" s="237" t="s">
        <v>832</v>
      </c>
      <c r="E235" s="250">
        <v>2547</v>
      </c>
      <c r="F235" s="250">
        <v>2553</v>
      </c>
      <c r="G235" s="124"/>
      <c r="J235" s="135"/>
      <c r="R235"/>
    </row>
    <row r="236" spans="1:18">
      <c r="A236" s="170">
        <f>_xlfn.XLOOKUP(B236 &amp; "-" &amp; TEXT(C236,"00"),改定!N:N,改定!E:E)</f>
        <v>46167</v>
      </c>
      <c r="B236" s="119" t="s">
        <v>137</v>
      </c>
      <c r="C236" s="124">
        <v>5</v>
      </c>
      <c r="D236" s="237" t="s">
        <v>833</v>
      </c>
      <c r="E236" s="250"/>
      <c r="J236" s="135"/>
      <c r="L236" s="138"/>
      <c r="M236" s="126"/>
      <c r="N236" s="127"/>
      <c r="O236"/>
      <c r="R236"/>
    </row>
    <row r="237" spans="1:18">
      <c r="A237" s="170">
        <f>_xlfn.XLOOKUP(B237 &amp; "-" &amp; TEXT(C237,"00"),改定!N:N,改定!E:E)</f>
        <v>46235</v>
      </c>
      <c r="B237" s="119" t="s">
        <v>30</v>
      </c>
      <c r="C237" s="124">
        <v>0</v>
      </c>
      <c r="D237" s="237" t="s">
        <v>834</v>
      </c>
      <c r="E237" s="249">
        <v>2172</v>
      </c>
      <c r="F237" s="249">
        <v>2172</v>
      </c>
      <c r="G237" s="128"/>
      <c r="J237" s="135"/>
      <c r="L237" s="130"/>
      <c r="M237" s="126"/>
      <c r="N237" s="127"/>
      <c r="O237"/>
      <c r="R237"/>
    </row>
    <row r="238" spans="1:18">
      <c r="A238" s="170">
        <f>_xlfn.XLOOKUP(B238 &amp; "-" &amp; TEXT(C238,"00"),改定!N:N,改定!E:E)</f>
        <v>46235</v>
      </c>
      <c r="B238" s="119" t="s">
        <v>150</v>
      </c>
      <c r="C238" s="124">
        <v>0</v>
      </c>
      <c r="D238" s="237" t="s">
        <v>835</v>
      </c>
      <c r="E238" s="249">
        <v>2094</v>
      </c>
      <c r="F238" s="249">
        <v>2094</v>
      </c>
      <c r="G238" s="128"/>
      <c r="H238" s="150"/>
      <c r="J238" s="135"/>
      <c r="O238"/>
      <c r="P238"/>
      <c r="R238"/>
    </row>
    <row r="239" spans="1:18" ht="15.75" customHeight="1">
      <c r="A239" s="170">
        <f>_xlfn.XLOOKUP(B239 &amp; "-" &amp; TEXT(C239,"00"),改定!N:N,改定!E:E)</f>
        <v>46236</v>
      </c>
      <c r="B239" s="119" t="s">
        <v>206</v>
      </c>
      <c r="C239" s="124">
        <v>0</v>
      </c>
      <c r="D239" s="237" t="s">
        <v>836</v>
      </c>
      <c r="E239" s="249">
        <v>5333</v>
      </c>
      <c r="F239" s="249">
        <v>5559</v>
      </c>
      <c r="G239" s="128"/>
      <c r="J239" s="135"/>
      <c r="L239" s="130"/>
      <c r="M239" s="126"/>
      <c r="N239" s="127"/>
      <c r="O239"/>
      <c r="P239"/>
      <c r="R239"/>
    </row>
    <row r="240" spans="1:18">
      <c r="A240" s="170">
        <f>_xlfn.XLOOKUP(B240 &amp; "-" &amp; TEXT(C240,"00"),改定!N:N,改定!E:E)</f>
        <v>46280</v>
      </c>
      <c r="B240" s="119" t="s">
        <v>188</v>
      </c>
      <c r="C240" s="124">
        <v>0</v>
      </c>
      <c r="D240" s="237" t="s">
        <v>837</v>
      </c>
      <c r="E240" s="249">
        <v>692</v>
      </c>
      <c r="F240" s="249">
        <v>692</v>
      </c>
      <c r="G240" s="128"/>
      <c r="J240" s="135"/>
      <c r="L240" s="138"/>
      <c r="M240" s="126"/>
      <c r="N240" s="127"/>
      <c r="O240"/>
      <c r="P240"/>
      <c r="R240"/>
    </row>
    <row r="241" spans="1:18">
      <c r="A241" s="170">
        <f>_xlfn.XLOOKUP(B241 &amp; "-" &amp; TEXT(C241,"00"),改定!N:N,改定!E:E)</f>
        <v>46304</v>
      </c>
      <c r="B241" s="119" t="s">
        <v>120</v>
      </c>
      <c r="C241" s="124">
        <v>1</v>
      </c>
      <c r="D241" s="237" t="s">
        <v>838</v>
      </c>
      <c r="E241" s="249">
        <v>269</v>
      </c>
      <c r="F241" s="249">
        <v>269</v>
      </c>
      <c r="G241" s="128"/>
      <c r="J241" s="135"/>
      <c r="L241" s="138"/>
      <c r="M241" s="126"/>
      <c r="N241" s="127"/>
      <c r="O241"/>
      <c r="P241"/>
      <c r="R241"/>
    </row>
    <row r="242" spans="1:18">
      <c r="A242" s="170">
        <f>_xlfn.XLOOKUP(B242 &amp; "-" &amp; TEXT(C242,"00"),改定!N:N,改定!E:E)</f>
        <v>46304</v>
      </c>
      <c r="B242" s="119" t="s">
        <v>120</v>
      </c>
      <c r="C242" s="124">
        <v>1</v>
      </c>
      <c r="D242" s="237" t="s">
        <v>839</v>
      </c>
      <c r="E242" s="249">
        <v>4</v>
      </c>
      <c r="F242" s="249">
        <v>4</v>
      </c>
      <c r="G242" s="128"/>
      <c r="J242" s="135"/>
      <c r="L242" s="138"/>
      <c r="M242" s="126"/>
      <c r="N242" s="127"/>
      <c r="O242"/>
      <c r="P242"/>
      <c r="R242"/>
    </row>
    <row r="243" spans="1:18">
      <c r="A243" s="170">
        <f>_xlfn.XLOOKUP(B243 &amp; "-" &amp; TEXT(C243,"00"),改定!N:N,改定!E:E)</f>
        <v>46304</v>
      </c>
      <c r="B243" s="119" t="s">
        <v>120</v>
      </c>
      <c r="C243" s="124">
        <v>1</v>
      </c>
      <c r="D243" s="237" t="s">
        <v>840</v>
      </c>
      <c r="E243" s="249">
        <v>2</v>
      </c>
      <c r="F243" s="249">
        <v>2</v>
      </c>
      <c r="G243" s="128"/>
      <c r="J243" s="135"/>
      <c r="L243" s="138"/>
      <c r="M243" s="126"/>
      <c r="N243" s="127"/>
      <c r="O243"/>
      <c r="P243"/>
      <c r="R243"/>
    </row>
    <row r="244" spans="1:18">
      <c r="A244" s="170">
        <f>_xlfn.XLOOKUP(B244 &amp; "-" &amp; TEXT(C244,"00"),改定!N:N,改定!E:E)</f>
        <v>46304</v>
      </c>
      <c r="B244" s="119" t="s">
        <v>120</v>
      </c>
      <c r="C244" s="124">
        <v>1</v>
      </c>
      <c r="D244" s="237" t="s">
        <v>841</v>
      </c>
      <c r="E244" s="249">
        <v>2</v>
      </c>
      <c r="F244" s="249">
        <v>2</v>
      </c>
      <c r="G244" s="128"/>
      <c r="J244" s="135"/>
      <c r="L244" s="138"/>
      <c r="M244" s="126"/>
      <c r="N244" s="127"/>
      <c r="O244"/>
      <c r="P244"/>
      <c r="R244"/>
    </row>
    <row r="245" spans="1:18">
      <c r="A245" s="170">
        <f>_xlfn.XLOOKUP(B245 &amp; "-" &amp; TEXT(C245,"00"),改定!N:N,改定!E:E)</f>
        <v>46309</v>
      </c>
      <c r="B245" s="119" t="s">
        <v>71</v>
      </c>
      <c r="C245" s="124">
        <v>0</v>
      </c>
      <c r="D245" s="237" t="s">
        <v>821</v>
      </c>
      <c r="E245" s="249">
        <v>2</v>
      </c>
      <c r="F245" s="249">
        <v>2</v>
      </c>
      <c r="G245" s="128"/>
      <c r="J245" s="135"/>
      <c r="L245" s="138"/>
      <c r="M245" s="126"/>
      <c r="N245" s="127"/>
      <c r="O245"/>
      <c r="P245"/>
      <c r="R245"/>
    </row>
    <row r="246" spans="1:18">
      <c r="A246" s="170">
        <f>_xlfn.XLOOKUP(B246 &amp; "-" &amp; TEXT(C246,"00"),改定!N:N,改定!E:E)</f>
        <v>46309</v>
      </c>
      <c r="B246" s="119" t="s">
        <v>71</v>
      </c>
      <c r="C246" s="124">
        <v>0</v>
      </c>
      <c r="D246" s="240" t="s">
        <v>822</v>
      </c>
      <c r="E246" s="249">
        <v>282</v>
      </c>
      <c r="F246" s="249">
        <v>282</v>
      </c>
      <c r="G246" s="128"/>
      <c r="J246" s="135"/>
      <c r="L246" s="138"/>
      <c r="M246" s="126"/>
      <c r="N246" s="127"/>
      <c r="O246"/>
      <c r="P246"/>
      <c r="R246"/>
    </row>
    <row r="247" spans="1:18" ht="14.25" thickBot="1">
      <c r="A247" s="170">
        <f>_xlfn.XLOOKUP(B247 &amp; "-" &amp; TEXT(C247,"00"),改定!N:N,改定!E:E)</f>
        <v>46309</v>
      </c>
      <c r="B247" s="119" t="s">
        <v>120</v>
      </c>
      <c r="C247" s="124">
        <v>0</v>
      </c>
      <c r="D247" s="241" t="s">
        <v>533</v>
      </c>
      <c r="E247" s="249">
        <v>253</v>
      </c>
      <c r="F247" s="249">
        <v>253</v>
      </c>
      <c r="G247" s="128"/>
      <c r="J247" s="135"/>
      <c r="O247"/>
      <c r="R247"/>
    </row>
    <row r="248" spans="1:18">
      <c r="A248" s="170">
        <f>_xlfn.XLOOKUP(B248 &amp; "-" &amp; TEXT(C248,"00"),改定!N:N,改定!E:E)</f>
        <v>46309</v>
      </c>
      <c r="B248" s="119" t="s">
        <v>120</v>
      </c>
      <c r="C248" s="124">
        <v>0</v>
      </c>
      <c r="D248" s="236" t="s">
        <v>814</v>
      </c>
      <c r="E248" s="249">
        <v>4</v>
      </c>
      <c r="F248" s="249">
        <v>4</v>
      </c>
      <c r="G248" s="128"/>
      <c r="J248" s="135"/>
      <c r="L248" s="130"/>
      <c r="M248" s="126"/>
      <c r="N248" s="127"/>
      <c r="O248"/>
      <c r="R248"/>
    </row>
    <row r="249" spans="1:18">
      <c r="A249" s="170">
        <f>_xlfn.XLOOKUP(B249 &amp; "-" &amp; TEXT(C249,"00"),改定!N:N,改定!E:E)</f>
        <v>46309</v>
      </c>
      <c r="B249" s="119" t="s">
        <v>120</v>
      </c>
      <c r="C249" s="124">
        <v>0</v>
      </c>
      <c r="D249" s="236" t="s">
        <v>812</v>
      </c>
      <c r="E249" s="249">
        <v>2</v>
      </c>
      <c r="F249" s="249">
        <v>2</v>
      </c>
      <c r="G249" s="128"/>
      <c r="J249" s="135"/>
      <c r="L249" s="130"/>
      <c r="M249" s="126"/>
      <c r="N249" s="127"/>
      <c r="O249"/>
      <c r="R249"/>
    </row>
    <row r="250" spans="1:18">
      <c r="A250" s="170">
        <f>_xlfn.XLOOKUP(B250 &amp; "-" &amp; TEXT(C250,"00"),改定!N:N,改定!E:E)</f>
        <v>46309</v>
      </c>
      <c r="B250" s="119" t="s">
        <v>120</v>
      </c>
      <c r="C250" s="124">
        <v>0</v>
      </c>
      <c r="D250" s="236" t="s">
        <v>842</v>
      </c>
      <c r="E250" s="250"/>
      <c r="J250" s="135"/>
      <c r="R250"/>
    </row>
    <row r="251" spans="1:18" ht="14.25" thickBot="1">
      <c r="A251" s="170">
        <f>_xlfn.XLOOKUP(B251 &amp; "-" &amp; TEXT(C251,"00"),改定!N:N,改定!E:E)</f>
        <v>46316</v>
      </c>
      <c r="B251" s="119" t="s">
        <v>218</v>
      </c>
      <c r="C251" s="124">
        <v>6</v>
      </c>
      <c r="D251" s="241" t="s">
        <v>515</v>
      </c>
      <c r="E251" s="249">
        <v>872</v>
      </c>
      <c r="F251" s="249">
        <v>872</v>
      </c>
      <c r="G251" s="128"/>
      <c r="H251" s="191" t="s">
        <v>843</v>
      </c>
      <c r="J251" s="135"/>
      <c r="L251" s="130"/>
      <c r="M251" s="126"/>
      <c r="N251" s="127"/>
      <c r="R251"/>
    </row>
    <row r="252" spans="1:18">
      <c r="A252" s="170">
        <f>_xlfn.XLOOKUP(B252 &amp; "-" &amp; TEXT(C252,"00"),改定!N:N,改定!E:E)</f>
        <v>46316</v>
      </c>
      <c r="B252" s="119" t="s">
        <v>218</v>
      </c>
      <c r="C252" s="124">
        <v>6</v>
      </c>
      <c r="D252" s="236" t="s">
        <v>536</v>
      </c>
      <c r="E252" s="249">
        <v>721</v>
      </c>
      <c r="F252" s="249">
        <v>721</v>
      </c>
      <c r="G252" s="128"/>
      <c r="H252" s="191"/>
      <c r="J252" s="135"/>
      <c r="L252" s="130"/>
      <c r="M252" s="126"/>
      <c r="N252" s="127"/>
      <c r="R252"/>
    </row>
    <row r="253" spans="1:18" ht="14.25" thickBot="1">
      <c r="A253" s="170">
        <f>_xlfn.XLOOKUP(B253 &amp; "-" &amp; TEXT(C253,"00"),改定!N:N,改定!E:E)</f>
        <v>46316</v>
      </c>
      <c r="B253" s="119" t="s">
        <v>218</v>
      </c>
      <c r="C253" s="124">
        <v>6</v>
      </c>
      <c r="D253" s="241" t="s">
        <v>537</v>
      </c>
      <c r="E253" s="249">
        <v>575</v>
      </c>
      <c r="F253" s="249">
        <v>575</v>
      </c>
      <c r="G253" s="128"/>
      <c r="H253" s="191"/>
      <c r="J253" s="135"/>
      <c r="L253" s="130"/>
      <c r="M253" s="126"/>
      <c r="N253" s="127"/>
      <c r="R253"/>
    </row>
    <row r="254" spans="1:18">
      <c r="A254" s="170">
        <f>_xlfn.XLOOKUP(B254 &amp; "-" &amp; TEXT(C254,"00"),改定!N:N,改定!E:E)</f>
        <v>46316</v>
      </c>
      <c r="B254" s="119" t="s">
        <v>220</v>
      </c>
      <c r="C254" s="124">
        <v>3</v>
      </c>
      <c r="D254" s="236" t="s">
        <v>515</v>
      </c>
      <c r="E254" s="249">
        <v>872</v>
      </c>
      <c r="F254" s="249">
        <v>872</v>
      </c>
      <c r="G254" s="128"/>
      <c r="H254" s="191"/>
      <c r="J254" s="135"/>
      <c r="L254" s="130"/>
      <c r="M254" s="126"/>
      <c r="N254" s="127"/>
      <c r="R254"/>
    </row>
    <row r="255" spans="1:18">
      <c r="A255" s="170">
        <f>_xlfn.XLOOKUP(B255 &amp; "-" &amp; TEXT(C255,"00"),改定!N:N,改定!E:E)</f>
        <v>46316</v>
      </c>
      <c r="B255" s="119" t="s">
        <v>220</v>
      </c>
      <c r="C255" s="124">
        <v>3</v>
      </c>
      <c r="D255" s="236" t="s">
        <v>536</v>
      </c>
      <c r="E255" s="249">
        <v>721</v>
      </c>
      <c r="F255" s="249">
        <v>721</v>
      </c>
      <c r="G255" s="128"/>
      <c r="H255" s="191"/>
      <c r="J255" s="135"/>
      <c r="L255" s="130"/>
      <c r="M255" s="126"/>
      <c r="N255" s="127"/>
      <c r="R255"/>
    </row>
    <row r="256" spans="1:18" ht="14.25" thickBot="1">
      <c r="A256" s="170">
        <f>_xlfn.XLOOKUP(B256 &amp; "-" &amp; TEXT(C256,"00"),改定!N:N,改定!E:E)</f>
        <v>46316</v>
      </c>
      <c r="B256" s="119" t="s">
        <v>220</v>
      </c>
      <c r="C256" s="124">
        <v>3</v>
      </c>
      <c r="D256" s="241" t="s">
        <v>537</v>
      </c>
      <c r="E256" s="249">
        <v>575</v>
      </c>
      <c r="F256" s="249">
        <v>575</v>
      </c>
      <c r="G256" s="128"/>
      <c r="H256" s="191"/>
      <c r="J256" s="135"/>
      <c r="L256" s="130"/>
      <c r="M256" s="126"/>
      <c r="N256" s="127"/>
      <c r="R256"/>
    </row>
    <row r="257" spans="1:18">
      <c r="A257" s="170">
        <f>_xlfn.XLOOKUP(B257 &amp; "-" &amp; TEXT(C257,"00"),改定!N:N,改定!E:E)</f>
        <v>46368</v>
      </c>
      <c r="B257" s="119" t="s">
        <v>133</v>
      </c>
      <c r="C257" s="124">
        <v>0</v>
      </c>
      <c r="D257" s="237" t="s">
        <v>844</v>
      </c>
      <c r="E257" s="250"/>
      <c r="J257" s="135"/>
      <c r="L257" s="130"/>
      <c r="M257" s="126"/>
      <c r="N257" s="127"/>
      <c r="R257"/>
    </row>
    <row r="258" spans="1:18" ht="14.25" thickBot="1">
      <c r="A258" s="170">
        <f>_xlfn.XLOOKUP(B258 &amp; "-" &amp; TEXT(C258,"00"),改定!N:N,改定!E:E)</f>
        <v>46538</v>
      </c>
      <c r="B258" s="119" t="s">
        <v>18</v>
      </c>
      <c r="C258" s="124">
        <v>4</v>
      </c>
      <c r="D258" s="241" t="s">
        <v>516</v>
      </c>
      <c r="E258" s="250"/>
      <c r="J258" s="135"/>
    </row>
    <row r="259" spans="1:18" ht="14.25" thickBot="1">
      <c r="A259" s="170">
        <f>_xlfn.XLOOKUP(B259 &amp; "-" &amp; TEXT(C259,"00"),改定!N:N,改定!E:E)</f>
        <v>46538</v>
      </c>
      <c r="B259" s="119" t="s">
        <v>18</v>
      </c>
      <c r="C259" s="124">
        <v>4</v>
      </c>
      <c r="D259" s="241" t="s">
        <v>508</v>
      </c>
      <c r="E259" s="249">
        <v>2352</v>
      </c>
      <c r="F259" s="249">
        <v>2352</v>
      </c>
      <c r="G259" s="128"/>
      <c r="J259" s="135"/>
      <c r="L259" s="130"/>
      <c r="M259" s="126"/>
      <c r="N259" s="127"/>
    </row>
    <row r="260" spans="1:18">
      <c r="A260" s="170">
        <f>_xlfn.XLOOKUP(B260 &amp; "-" &amp; TEXT(C260,"00"),改定!N:N,改定!E:E)</f>
        <v>46538</v>
      </c>
      <c r="B260" s="119" t="s">
        <v>18</v>
      </c>
      <c r="C260" s="124">
        <v>4</v>
      </c>
      <c r="D260" s="236" t="s">
        <v>263</v>
      </c>
      <c r="E260" s="249">
        <v>2386</v>
      </c>
      <c r="F260" s="249">
        <v>2386</v>
      </c>
      <c r="G260" s="128"/>
      <c r="J260" s="135"/>
      <c r="L260" s="130"/>
      <c r="M260" s="126"/>
      <c r="N260" s="127"/>
    </row>
    <row r="261" spans="1:18" ht="14.25" thickBot="1">
      <c r="A261" s="170">
        <f>_xlfn.XLOOKUP(B261 &amp; "-" &amp; TEXT(C261,"00"),改定!N:N,改定!E:E)</f>
        <v>46538</v>
      </c>
      <c r="B261" s="119" t="s">
        <v>18</v>
      </c>
      <c r="C261" s="124">
        <v>4</v>
      </c>
      <c r="D261" s="241" t="s">
        <v>518</v>
      </c>
      <c r="E261" s="250"/>
      <c r="J261" s="135"/>
      <c r="L261" s="130"/>
      <c r="M261" s="126"/>
      <c r="N261" s="127"/>
    </row>
    <row r="262" spans="1:18" ht="14.25" thickBot="1">
      <c r="A262" s="170">
        <f>_xlfn.XLOOKUP(B262 &amp; "-" &amp; TEXT(C262,"00"),改定!N:N,改定!E:E)</f>
        <v>46538</v>
      </c>
      <c r="B262" s="119" t="s">
        <v>18</v>
      </c>
      <c r="C262" s="124">
        <v>4</v>
      </c>
      <c r="D262" s="241" t="s">
        <v>537</v>
      </c>
      <c r="E262" s="250"/>
      <c r="J262" s="135"/>
    </row>
    <row r="263" spans="1:18">
      <c r="A263" s="170">
        <f>_xlfn.XLOOKUP(B263 &amp; "-" &amp; TEXT(C263,"00"),改定!N:N,改定!E:E)</f>
        <v>46538</v>
      </c>
      <c r="B263" s="119" t="s">
        <v>18</v>
      </c>
      <c r="C263" s="124">
        <v>4</v>
      </c>
      <c r="D263" s="236" t="s">
        <v>515</v>
      </c>
      <c r="E263" s="250"/>
      <c r="J263" s="135"/>
      <c r="L263" s="125"/>
      <c r="M263" s="126"/>
      <c r="N263" s="127"/>
    </row>
    <row r="264" spans="1:18" ht="14.25" thickBot="1">
      <c r="A264" s="170">
        <f>_xlfn.XLOOKUP(B264 &amp; "-" &amp; TEXT(C264,"00"),改定!N:N,改定!E:E)</f>
        <v>46538</v>
      </c>
      <c r="B264" s="119" t="s">
        <v>18</v>
      </c>
      <c r="C264" s="124">
        <v>4</v>
      </c>
      <c r="D264" s="241" t="s">
        <v>826</v>
      </c>
      <c r="E264" s="250"/>
      <c r="J264" s="135"/>
      <c r="L264" s="130"/>
      <c r="M264" s="126"/>
      <c r="N264" s="127"/>
    </row>
    <row r="265" spans="1:18">
      <c r="A265" s="170">
        <f>_xlfn.XLOOKUP(B265 &amp; "-" &amp; TEXT(C265,"00"),改定!N:N,改定!E:E)</f>
        <v>46538</v>
      </c>
      <c r="B265" s="119" t="s">
        <v>18</v>
      </c>
      <c r="C265" s="124">
        <v>4</v>
      </c>
      <c r="D265" s="236" t="s">
        <v>536</v>
      </c>
      <c r="E265" s="250"/>
      <c r="J265" s="135"/>
      <c r="L265" s="130"/>
      <c r="M265" s="126"/>
      <c r="N265" s="127"/>
    </row>
    <row r="266" spans="1:18">
      <c r="A266" s="170">
        <f>_xlfn.XLOOKUP(B266 &amp; "-" &amp; TEXT(C266,"00"),改定!N:N,改定!E:E)</f>
        <v>46538</v>
      </c>
      <c r="B266" s="119" t="s">
        <v>18</v>
      </c>
      <c r="C266" s="124">
        <v>4</v>
      </c>
      <c r="D266" s="236" t="s">
        <v>545</v>
      </c>
      <c r="E266" s="250"/>
      <c r="J266" s="135"/>
      <c r="L266" s="130"/>
      <c r="M266" s="126"/>
      <c r="N266" s="127"/>
    </row>
    <row r="267" spans="1:18">
      <c r="A267" s="170">
        <f>_xlfn.XLOOKUP(B267 &amp; "-" &amp; TEXT(C267,"00"),改定!N:N,改定!E:E)</f>
        <v>46538</v>
      </c>
      <c r="B267" s="119" t="s">
        <v>18</v>
      </c>
      <c r="C267" s="124">
        <v>4</v>
      </c>
      <c r="D267" s="236" t="s">
        <v>510</v>
      </c>
      <c r="E267" s="250"/>
      <c r="J267" s="135"/>
      <c r="L267" s="130"/>
      <c r="M267" s="126"/>
      <c r="N267" s="127"/>
    </row>
    <row r="268" spans="1:18">
      <c r="A268" s="170">
        <f>_xlfn.XLOOKUP(B268 &amp; "-" &amp; TEXT(C268,"00"),改定!N:N,改定!E:E)</f>
        <v>46554</v>
      </c>
      <c r="B268" s="119" t="s">
        <v>30</v>
      </c>
      <c r="C268" s="124">
        <v>1</v>
      </c>
      <c r="D268" s="236" t="s">
        <v>263</v>
      </c>
      <c r="E268" s="249">
        <v>2172</v>
      </c>
      <c r="F268" s="249">
        <v>2172</v>
      </c>
      <c r="G268" s="128"/>
      <c r="J268" s="135"/>
      <c r="L268" s="130"/>
      <c r="M268" s="126"/>
      <c r="N268" s="127"/>
    </row>
    <row r="269" spans="1:18">
      <c r="A269" s="170">
        <f>_xlfn.XLOOKUP(B269 &amp; "-" &amp; TEXT(C269,"00"),改定!N:N,改定!E:E)</f>
        <v>46554</v>
      </c>
      <c r="B269" s="119" t="s">
        <v>30</v>
      </c>
      <c r="C269" s="124">
        <v>1</v>
      </c>
      <c r="D269" s="236" t="s">
        <v>508</v>
      </c>
      <c r="E269" s="249">
        <v>2094</v>
      </c>
      <c r="F269" s="249">
        <v>2094</v>
      </c>
      <c r="G269" s="128"/>
      <c r="J269" s="135"/>
      <c r="R269"/>
    </row>
    <row r="270" spans="1:18">
      <c r="A270" s="170">
        <f>_xlfn.XLOOKUP(B270 &amp; "-" &amp; TEXT(C270,"00"),改定!N:N,改定!E:E)</f>
        <v>46629</v>
      </c>
      <c r="B270" s="119" t="s">
        <v>137</v>
      </c>
      <c r="C270" s="124">
        <v>6</v>
      </c>
      <c r="D270" s="236" t="s">
        <v>829</v>
      </c>
      <c r="E270" s="249">
        <v>1</v>
      </c>
      <c r="F270" s="249">
        <v>1</v>
      </c>
      <c r="G270" s="128"/>
      <c r="J270" s="135"/>
      <c r="L270" s="125"/>
      <c r="M270" s="126"/>
      <c r="N270" s="127"/>
      <c r="R270"/>
    </row>
    <row r="271" spans="1:18">
      <c r="A271" s="170">
        <f>_xlfn.XLOOKUP(B271 &amp; "-" &amp; TEXT(C271,"00"),改定!N:N,改定!E:E)</f>
        <v>46629</v>
      </c>
      <c r="B271" s="119" t="s">
        <v>137</v>
      </c>
      <c r="C271" s="124">
        <v>6</v>
      </c>
      <c r="D271" s="237" t="s">
        <v>846</v>
      </c>
      <c r="E271" s="249">
        <v>987</v>
      </c>
      <c r="F271" s="249">
        <v>1041</v>
      </c>
      <c r="G271" s="128"/>
      <c r="J271" s="135"/>
      <c r="L271" s="125"/>
      <c r="M271" s="126"/>
      <c r="N271" s="127"/>
      <c r="R271"/>
    </row>
    <row r="272" spans="1:18">
      <c r="A272" s="170">
        <f>_xlfn.XLOOKUP(B272 &amp; "-" &amp; TEXT(C272,"00"),改定!N:N,改定!E:E)</f>
        <v>46629</v>
      </c>
      <c r="B272" s="119" t="s">
        <v>137</v>
      </c>
      <c r="C272" s="124">
        <v>6</v>
      </c>
      <c r="D272" s="237" t="s">
        <v>847</v>
      </c>
      <c r="E272" s="249">
        <v>2859</v>
      </c>
      <c r="F272" s="249">
        <v>3062</v>
      </c>
      <c r="G272" s="128"/>
      <c r="J272" s="135"/>
      <c r="R272"/>
    </row>
    <row r="273" spans="1:18">
      <c r="A273" s="170">
        <f>_xlfn.XLOOKUP(B273 &amp; "-" &amp; TEXT(C273,"00"),改定!N:N,改定!E:E)</f>
        <v>46629</v>
      </c>
      <c r="B273" s="119" t="s">
        <v>137</v>
      </c>
      <c r="C273" s="124">
        <v>6</v>
      </c>
      <c r="D273" s="237" t="s">
        <v>848</v>
      </c>
      <c r="E273" s="249">
        <v>2908</v>
      </c>
      <c r="F273" s="249">
        <v>3027</v>
      </c>
      <c r="G273" s="128"/>
      <c r="J273" s="135"/>
      <c r="L273" s="130"/>
      <c r="M273" s="125"/>
      <c r="N273" s="125"/>
      <c r="R273"/>
    </row>
    <row r="274" spans="1:18">
      <c r="A274" s="170">
        <f>_xlfn.XLOOKUP(B274 &amp; "-" &amp; TEXT(C274,"00"),改定!N:N,改定!E:E)</f>
        <v>46629</v>
      </c>
      <c r="B274" s="119" t="s">
        <v>137</v>
      </c>
      <c r="C274" s="124">
        <v>6</v>
      </c>
      <c r="D274" s="237" t="s">
        <v>847</v>
      </c>
      <c r="E274" s="250"/>
      <c r="J274" s="135"/>
      <c r="L274" s="125"/>
      <c r="M274" s="126"/>
      <c r="N274" s="127"/>
      <c r="R274"/>
    </row>
    <row r="275" spans="1:18">
      <c r="A275" s="170">
        <f>_xlfn.XLOOKUP(B275 &amp; "-" &amp; TEXT(C275,"00"),改定!N:N,改定!E:E)</f>
        <v>46629</v>
      </c>
      <c r="B275" s="119" t="s">
        <v>137</v>
      </c>
      <c r="C275" s="124">
        <v>6</v>
      </c>
      <c r="D275" s="237" t="s">
        <v>833</v>
      </c>
      <c r="E275" s="249">
        <v>2336</v>
      </c>
      <c r="F275" s="249">
        <v>2418</v>
      </c>
      <c r="G275" s="128"/>
      <c r="J275" s="135"/>
      <c r="L275" s="125"/>
      <c r="M275" s="126"/>
      <c r="N275" s="127"/>
      <c r="R275"/>
    </row>
    <row r="276" spans="1:18">
      <c r="A276" s="170">
        <f>_xlfn.XLOOKUP(B276 &amp; "-" &amp; TEXT(C276,"00"),改定!N:N,改定!E:E)</f>
        <v>46655</v>
      </c>
      <c r="B276" s="119" t="s">
        <v>276</v>
      </c>
      <c r="C276" s="124">
        <v>1</v>
      </c>
      <c r="D276" s="237" t="s">
        <v>849</v>
      </c>
      <c r="E276" s="250"/>
      <c r="J276" s="135"/>
      <c r="L276" s="125"/>
      <c r="M276" s="126"/>
      <c r="N276" s="127"/>
      <c r="R276"/>
    </row>
    <row r="277" spans="1:18">
      <c r="A277" s="170">
        <f>_xlfn.XLOOKUP(B277 &amp; "-" &amp; TEXT(C277,"00"),改定!N:N,改定!E:E)</f>
        <v>46655</v>
      </c>
      <c r="B277" s="119" t="s">
        <v>276</v>
      </c>
      <c r="C277" s="124">
        <v>1</v>
      </c>
      <c r="D277" s="237" t="s">
        <v>850</v>
      </c>
      <c r="E277" s="250"/>
      <c r="J277" s="135"/>
      <c r="L277" s="125"/>
      <c r="M277" s="126"/>
      <c r="N277" s="127"/>
      <c r="R277"/>
    </row>
    <row r="278" spans="1:18" ht="14.25" thickBot="1">
      <c r="A278" s="170">
        <f>_xlfn.XLOOKUP(B278 &amp; "-" &amp; TEXT(C278,"00"),改定!N:N,改定!E:E)</f>
        <v>46656</v>
      </c>
      <c r="B278" s="119" t="s">
        <v>17</v>
      </c>
      <c r="C278" s="124">
        <v>4</v>
      </c>
      <c r="D278" s="242" t="s">
        <v>511</v>
      </c>
      <c r="E278" s="250"/>
      <c r="J278" s="135"/>
      <c r="L278" s="125"/>
      <c r="M278" s="126"/>
      <c r="N278" s="127"/>
      <c r="R278"/>
    </row>
    <row r="279" spans="1:18">
      <c r="A279" s="170">
        <f>_xlfn.XLOOKUP(B279 &amp; "-" &amp; TEXT(C279,"00"),改定!N:N,改定!E:E)</f>
        <v>46656</v>
      </c>
      <c r="B279" s="119" t="s">
        <v>17</v>
      </c>
      <c r="C279" s="124">
        <v>4</v>
      </c>
      <c r="D279" s="243" t="s">
        <v>828</v>
      </c>
      <c r="E279" s="250"/>
      <c r="J279" s="135"/>
      <c r="L279" s="125"/>
      <c r="M279" s="126"/>
      <c r="N279" s="127"/>
      <c r="R279"/>
    </row>
    <row r="280" spans="1:18" ht="14.25" thickBot="1">
      <c r="A280" s="170">
        <f>_xlfn.XLOOKUP(B280 &amp; "-" &amp; TEXT(C280,"00"),改定!N:N,改定!E:E)</f>
        <v>46656</v>
      </c>
      <c r="B280" s="119" t="s">
        <v>17</v>
      </c>
      <c r="C280" s="124">
        <v>4</v>
      </c>
      <c r="D280" s="242" t="s">
        <v>513</v>
      </c>
      <c r="E280" s="250"/>
      <c r="J280" s="135"/>
      <c r="L280" s="125"/>
      <c r="M280" s="126"/>
      <c r="N280" s="127"/>
      <c r="R280"/>
    </row>
    <row r="281" spans="1:18" ht="14.25" thickBot="1">
      <c r="A281" s="170">
        <f>_xlfn.XLOOKUP(B281 &amp; "-" &amp; TEXT(C281,"00"),改定!N:N,改定!E:E)</f>
        <v>46656</v>
      </c>
      <c r="B281" s="119" t="s">
        <v>17</v>
      </c>
      <c r="C281" s="124">
        <v>4</v>
      </c>
      <c r="D281" s="242" t="s">
        <v>846</v>
      </c>
      <c r="I281"/>
    </row>
    <row r="282" spans="1:18" ht="14.25" thickBot="1">
      <c r="A282" s="170">
        <f>_xlfn.XLOOKUP(B282 &amp; "-" &amp; TEXT(C282,"00"),改定!N:N,改定!E:E)</f>
        <v>46656</v>
      </c>
      <c r="B282" s="119" t="s">
        <v>17</v>
      </c>
      <c r="C282" s="124">
        <v>4</v>
      </c>
      <c r="D282" s="242" t="s">
        <v>263</v>
      </c>
      <c r="E282" s="249">
        <v>2490</v>
      </c>
      <c r="F282" s="249">
        <v>2490</v>
      </c>
      <c r="G282" s="128"/>
      <c r="L282" s="125"/>
      <c r="M282" s="126"/>
      <c r="N282" s="127"/>
    </row>
    <row r="283" spans="1:18" ht="14.25" thickBot="1">
      <c r="A283" s="170">
        <f>_xlfn.XLOOKUP(B283 &amp; "-" &amp; TEXT(C283,"00"),改定!N:N,改定!E:E)</f>
        <v>46656</v>
      </c>
      <c r="B283" s="119" t="s">
        <v>17</v>
      </c>
      <c r="C283" s="124">
        <v>4</v>
      </c>
      <c r="D283" s="242" t="s">
        <v>508</v>
      </c>
      <c r="E283" s="249">
        <v>2536</v>
      </c>
      <c r="F283" s="249">
        <v>2536</v>
      </c>
      <c r="G283" s="128"/>
      <c r="L283" s="125"/>
      <c r="M283" s="126"/>
      <c r="N283" s="127"/>
    </row>
    <row r="284" spans="1:18" ht="14.25" thickBot="1">
      <c r="A284" s="170">
        <f>_xlfn.XLOOKUP(B284 &amp; "-" &amp; TEXT(C284,"00"),改定!N:N,改定!E:E)</f>
        <v>46656</v>
      </c>
      <c r="B284" s="119" t="s">
        <v>17</v>
      </c>
      <c r="C284" s="124">
        <v>4</v>
      </c>
      <c r="D284" s="242" t="s">
        <v>514</v>
      </c>
      <c r="L284" s="125"/>
      <c r="M284" s="126"/>
      <c r="N284" s="127"/>
    </row>
    <row r="285" spans="1:18" ht="14.25" thickBot="1">
      <c r="A285" s="170">
        <f>_xlfn.XLOOKUP(B285 &amp; "-" &amp; TEXT(C285,"00"),改定!N:N,改定!E:E)</f>
        <v>46656</v>
      </c>
      <c r="B285" s="119" t="s">
        <v>17</v>
      </c>
      <c r="C285" s="124">
        <v>4</v>
      </c>
      <c r="D285" s="242" t="s">
        <v>518</v>
      </c>
      <c r="E285" s="250"/>
      <c r="I285"/>
      <c r="J285" s="135"/>
      <c r="L285" s="125"/>
      <c r="M285" s="126"/>
      <c r="N285" s="127"/>
    </row>
    <row r="286" spans="1:18" ht="14.25" thickBot="1">
      <c r="A286" s="170">
        <f>_xlfn.XLOOKUP(B286 &amp; "-" &amp; TEXT(C286,"00"),改定!N:N,改定!E:E)</f>
        <v>46656</v>
      </c>
      <c r="B286" s="119" t="s">
        <v>17</v>
      </c>
      <c r="C286" s="124">
        <v>4</v>
      </c>
      <c r="D286" s="242" t="s">
        <v>537</v>
      </c>
      <c r="E286" s="250"/>
      <c r="I286"/>
      <c r="J286" s="135"/>
      <c r="L286" s="125"/>
      <c r="M286" s="125"/>
      <c r="N286" s="125"/>
      <c r="O286" s="125"/>
    </row>
    <row r="287" spans="1:18" ht="14.25" thickBot="1">
      <c r="A287" s="170">
        <f>_xlfn.XLOOKUP(B287 &amp; "-" &amp; TEXT(C287,"00"),改定!N:N,改定!E:E)</f>
        <v>46656</v>
      </c>
      <c r="B287" s="119" t="s">
        <v>17</v>
      </c>
      <c r="C287" s="124">
        <v>4</v>
      </c>
      <c r="D287" s="242" t="s">
        <v>515</v>
      </c>
      <c r="E287" s="250"/>
      <c r="I287"/>
      <c r="J287" s="135"/>
      <c r="L287" s="125"/>
      <c r="M287" s="126"/>
      <c r="N287" s="127"/>
    </row>
    <row r="288" spans="1:18" ht="14.25" thickBot="1">
      <c r="A288" s="170">
        <f>_xlfn.XLOOKUP(B288 &amp; "-" &amp; TEXT(C288,"00"),改定!N:N,改定!E:E)</f>
        <v>46656</v>
      </c>
      <c r="B288" s="119" t="s">
        <v>17</v>
      </c>
      <c r="C288" s="124">
        <v>4</v>
      </c>
      <c r="D288" s="242" t="s">
        <v>536</v>
      </c>
      <c r="E288" s="250"/>
      <c r="I288"/>
      <c r="J288" s="135"/>
      <c r="L288" s="125"/>
      <c r="M288" s="126"/>
      <c r="N288" s="127"/>
    </row>
    <row r="289" spans="1:15" ht="14.25" thickBot="1">
      <c r="A289" s="170">
        <f>_xlfn.XLOOKUP(B289 &amp; "-" &amp; TEXT(C289,"00"),改定!N:N,改定!E:E)</f>
        <v>46656</v>
      </c>
      <c r="B289" s="119" t="s">
        <v>17</v>
      </c>
      <c r="C289" s="124">
        <v>4</v>
      </c>
      <c r="D289" s="242" t="s">
        <v>510</v>
      </c>
      <c r="I289"/>
      <c r="L289" s="125"/>
      <c r="N289" s="122"/>
    </row>
    <row r="290" spans="1:15" ht="14.25" thickBot="1">
      <c r="A290" s="170">
        <f>_xlfn.XLOOKUP(B290 &amp; "-" &amp; TEXT(C290,"00"),改定!N:N,改定!E:E)</f>
        <v>46656</v>
      </c>
      <c r="B290" s="119" t="s">
        <v>32</v>
      </c>
      <c r="C290" s="124">
        <v>0</v>
      </c>
      <c r="D290" s="242" t="s">
        <v>263</v>
      </c>
      <c r="E290" s="249">
        <v>2490</v>
      </c>
      <c r="F290" s="249">
        <v>2490</v>
      </c>
      <c r="G290" s="128"/>
      <c r="I290"/>
      <c r="L290" s="125"/>
      <c r="M290" s="125"/>
      <c r="N290" s="125"/>
      <c r="O290" s="125"/>
    </row>
    <row r="291" spans="1:15" ht="14.25" thickBot="1">
      <c r="A291" s="170">
        <f>_xlfn.XLOOKUP(B291 &amp; "-" &amp; TEXT(C291,"00"),改定!N:N,改定!E:E)</f>
        <v>46656</v>
      </c>
      <c r="B291" s="119" t="s">
        <v>32</v>
      </c>
      <c r="C291" s="124">
        <v>0</v>
      </c>
      <c r="D291" s="242" t="s">
        <v>508</v>
      </c>
      <c r="E291" s="249">
        <v>2536</v>
      </c>
      <c r="F291" s="249">
        <v>2536</v>
      </c>
      <c r="G291" s="128"/>
      <c r="H291" s="191" t="s">
        <v>851</v>
      </c>
      <c r="I291"/>
      <c r="L291" s="125"/>
      <c r="M291" s="125"/>
      <c r="N291" s="125"/>
      <c r="O291" s="125"/>
    </row>
    <row r="292" spans="1:15" ht="14.25" thickBot="1">
      <c r="A292" s="170">
        <f>_xlfn.XLOOKUP(B292 &amp; "-" &amp; TEXT(C292,"00"),改定!N:N,改定!E:E)</f>
        <v>46656</v>
      </c>
      <c r="B292" s="119" t="s">
        <v>150</v>
      </c>
      <c r="C292" s="124">
        <v>1</v>
      </c>
      <c r="D292" s="242" t="s">
        <v>508</v>
      </c>
      <c r="E292" s="249">
        <v>2536</v>
      </c>
      <c r="F292" s="249">
        <v>2536</v>
      </c>
      <c r="G292" s="128"/>
      <c r="H292" s="191"/>
      <c r="I292"/>
      <c r="L292" s="125"/>
      <c r="M292" s="125"/>
      <c r="N292" s="125"/>
      <c r="O292" s="125"/>
    </row>
    <row r="293" spans="1:15" ht="14.25" thickBot="1">
      <c r="A293" s="170">
        <f>_xlfn.XLOOKUP(B293 &amp; "-" &amp; TEXT(C293,"00"),改定!N:N,改定!E:E)</f>
        <v>46738</v>
      </c>
      <c r="B293" s="119" t="s">
        <v>188</v>
      </c>
      <c r="C293" s="124">
        <v>1</v>
      </c>
      <c r="D293" s="242" t="s">
        <v>514</v>
      </c>
      <c r="E293" s="249">
        <v>837</v>
      </c>
      <c r="F293" s="249">
        <v>836</v>
      </c>
      <c r="G293" s="128"/>
      <c r="I293"/>
      <c r="L293" s="125"/>
      <c r="M293" s="125"/>
      <c r="N293" s="125"/>
      <c r="O293" s="125"/>
    </row>
    <row r="294" spans="1:15" ht="14.25" thickBot="1">
      <c r="A294" s="170">
        <f>_xlfn.XLOOKUP(B294 &amp; "-" &amp; TEXT(C294,"00"),改定!N:N,改定!E:E)</f>
        <v>46756</v>
      </c>
      <c r="B294" s="119" t="s">
        <v>81</v>
      </c>
      <c r="C294" s="124">
        <v>1</v>
      </c>
      <c r="D294" s="242" t="s">
        <v>510</v>
      </c>
      <c r="E294" s="249">
        <v>4996</v>
      </c>
      <c r="F294" s="249">
        <v>4996</v>
      </c>
      <c r="G294" s="128"/>
      <c r="H294" s="191" t="s">
        <v>852</v>
      </c>
      <c r="I294"/>
      <c r="L294" s="130"/>
    </row>
    <row r="295" spans="1:15" ht="14.25" thickBot="1">
      <c r="A295" s="170">
        <f>_xlfn.XLOOKUP(B295 &amp; "-" &amp; TEXT(C295,"00"),改定!N:N,改定!E:E)</f>
        <v>46756</v>
      </c>
      <c r="B295" s="119" t="s">
        <v>84</v>
      </c>
      <c r="C295" s="124">
        <v>1</v>
      </c>
      <c r="D295" s="242" t="s">
        <v>510</v>
      </c>
      <c r="E295" s="249">
        <v>4996</v>
      </c>
      <c r="F295" s="249">
        <v>4996</v>
      </c>
      <c r="G295" s="128"/>
      <c r="H295" s="191"/>
      <c r="I295"/>
      <c r="L295" s="130"/>
      <c r="M295" s="125"/>
      <c r="N295" s="125"/>
      <c r="O295" s="125"/>
    </row>
    <row r="296" spans="1:15">
      <c r="A296" s="170">
        <f>_xlfn.XLOOKUP(B296 &amp; "-" &amp; TEXT(C296,"00"),改定!N:N,改定!E:E)</f>
        <v>46756</v>
      </c>
      <c r="B296" s="119" t="s">
        <v>84</v>
      </c>
      <c r="C296" s="124">
        <v>1</v>
      </c>
      <c r="D296" s="243" t="s">
        <v>516</v>
      </c>
      <c r="E296" s="249">
        <v>924</v>
      </c>
      <c r="F296" s="249">
        <v>924</v>
      </c>
      <c r="G296" s="128"/>
      <c r="I296"/>
      <c r="L296" s="130"/>
      <c r="M296" s="125"/>
      <c r="N296" s="125"/>
    </row>
    <row r="297" spans="1:15">
      <c r="A297" s="170">
        <f>_xlfn.XLOOKUP(B297 &amp; "-" &amp; TEXT(C297,"00"),改定!N:N,改定!E:E)</f>
        <v>46839</v>
      </c>
      <c r="B297" s="119" t="s">
        <v>137</v>
      </c>
      <c r="C297" s="124">
        <v>7</v>
      </c>
      <c r="D297" s="243" t="s">
        <v>828</v>
      </c>
      <c r="E297" s="249">
        <v>1</v>
      </c>
      <c r="F297" s="249">
        <v>1</v>
      </c>
      <c r="G297" s="128"/>
      <c r="I297"/>
      <c r="L297" s="125"/>
      <c r="N297" s="122"/>
    </row>
    <row r="298" spans="1:15" ht="14.25" thickBot="1">
      <c r="A298" s="170">
        <f>_xlfn.XLOOKUP(B298 &amp; "-" &amp; TEXT(C298,"00"),改定!N:N,改定!E:E)</f>
        <v>46839</v>
      </c>
      <c r="B298" s="119" t="s">
        <v>137</v>
      </c>
      <c r="C298" s="124">
        <v>7</v>
      </c>
      <c r="D298" s="242" t="s">
        <v>512</v>
      </c>
      <c r="E298" s="249">
        <v>987</v>
      </c>
      <c r="F298" s="249">
        <v>1041</v>
      </c>
      <c r="G298" s="128"/>
      <c r="I298"/>
      <c r="L298" s="130"/>
      <c r="M298" s="125"/>
      <c r="N298" s="125"/>
      <c r="O298" s="125"/>
    </row>
    <row r="299" spans="1:15" ht="14.25" thickBot="1">
      <c r="A299" s="170">
        <f>_xlfn.XLOOKUP(B299 &amp; "-" &amp; TEXT(C299,"00"),改定!N:N,改定!E:E)</f>
        <v>46839</v>
      </c>
      <c r="B299" s="119" t="s">
        <v>137</v>
      </c>
      <c r="C299" s="124">
        <v>7</v>
      </c>
      <c r="D299" s="242" t="s">
        <v>511</v>
      </c>
      <c r="E299" s="249">
        <v>2859</v>
      </c>
      <c r="F299" s="249">
        <v>3062</v>
      </c>
      <c r="G299" s="128"/>
      <c r="I299"/>
      <c r="L299" s="125"/>
      <c r="M299" s="125"/>
      <c r="N299" s="125"/>
      <c r="O299" s="125"/>
    </row>
    <row r="300" spans="1:15" ht="14.25" thickBot="1">
      <c r="A300" s="170">
        <f>_xlfn.XLOOKUP(B300 &amp; "-" &amp; TEXT(C300,"00"),改定!N:N,改定!E:E)</f>
        <v>46839</v>
      </c>
      <c r="B300" s="119" t="s">
        <v>137</v>
      </c>
      <c r="C300" s="124">
        <v>7</v>
      </c>
      <c r="D300" s="242" t="s">
        <v>513</v>
      </c>
      <c r="E300" s="249">
        <v>2908</v>
      </c>
      <c r="F300" s="249">
        <v>3027</v>
      </c>
      <c r="G300" s="128"/>
      <c r="I300"/>
      <c r="L300" s="125"/>
      <c r="M300" s="125"/>
      <c r="N300" s="125"/>
      <c r="O300" s="125"/>
    </row>
    <row r="301" spans="1:15" ht="40.5" customHeight="1">
      <c r="A301" s="170">
        <f>_xlfn.XLOOKUP(B301 &amp; "-" &amp; TEXT(C301,"00"),改定!N:N,改定!E:E)</f>
        <v>46839</v>
      </c>
      <c r="B301" s="119" t="s">
        <v>137</v>
      </c>
      <c r="C301" s="124">
        <v>7</v>
      </c>
      <c r="D301" s="243" t="s">
        <v>508</v>
      </c>
      <c r="E301" s="249">
        <v>2336</v>
      </c>
      <c r="F301" s="249">
        <v>2418</v>
      </c>
      <c r="G301" s="128"/>
      <c r="H301" s="191" t="s">
        <v>853</v>
      </c>
      <c r="I301"/>
    </row>
    <row r="302" spans="1:15">
      <c r="A302" s="170">
        <f>_xlfn.XLOOKUP(B302 &amp; "-" &amp; TEXT(C302,"00"),改定!N:N,改定!E:E)</f>
        <v>46839</v>
      </c>
      <c r="B302" s="119" t="s">
        <v>150</v>
      </c>
      <c r="C302" s="124">
        <v>2</v>
      </c>
      <c r="D302" s="243" t="s">
        <v>508</v>
      </c>
      <c r="E302" s="249">
        <v>2336</v>
      </c>
      <c r="F302" s="249">
        <v>2418</v>
      </c>
      <c r="G302" s="128"/>
      <c r="H302" s="191"/>
      <c r="I302"/>
      <c r="L302" s="130"/>
      <c r="M302" s="125"/>
      <c r="N302" s="125"/>
    </row>
    <row r="303" spans="1:15">
      <c r="A303" s="170">
        <f>_xlfn.XLOOKUP(B303 &amp; "-" &amp; TEXT(C303,"00"),改定!N:N,改定!E:E)</f>
        <v>46839</v>
      </c>
      <c r="B303" s="119" t="s">
        <v>32</v>
      </c>
      <c r="C303" s="124">
        <v>1</v>
      </c>
      <c r="D303" s="243" t="s">
        <v>508</v>
      </c>
      <c r="E303" s="249">
        <v>2336</v>
      </c>
      <c r="F303" s="249">
        <v>2418</v>
      </c>
      <c r="G303" s="128"/>
      <c r="H303" s="191"/>
      <c r="I303"/>
      <c r="L303" s="130"/>
      <c r="M303" s="125"/>
      <c r="N303" s="125"/>
    </row>
    <row r="304" spans="1:15">
      <c r="A304" s="170">
        <f>_xlfn.XLOOKUP(B304 &amp; "-" &amp; TEXT(C304,"00"),改定!N:N,改定!E:E)</f>
        <v>46839</v>
      </c>
      <c r="B304" s="119" t="s">
        <v>32</v>
      </c>
      <c r="C304" s="124">
        <v>1</v>
      </c>
      <c r="D304" s="243" t="s">
        <v>263</v>
      </c>
      <c r="E304" s="249">
        <v>2490</v>
      </c>
      <c r="F304" s="249">
        <v>2490</v>
      </c>
      <c r="G304" s="128"/>
      <c r="I304"/>
      <c r="L304" s="125"/>
      <c r="M304" s="125"/>
      <c r="N304" s="125"/>
    </row>
    <row r="305" spans="1:14" ht="14.25" thickBot="1">
      <c r="A305" s="170">
        <f>_xlfn.XLOOKUP(B305 &amp; "-" &amp; TEXT(C305,"00"),改定!N:N,改定!E:E)</f>
        <v>46839</v>
      </c>
      <c r="B305" s="119" t="s">
        <v>17</v>
      </c>
      <c r="C305" s="124">
        <v>5</v>
      </c>
      <c r="D305" s="242" t="s">
        <v>825</v>
      </c>
      <c r="I305"/>
      <c r="L305" s="125"/>
      <c r="M305" s="125"/>
      <c r="N305" s="125"/>
    </row>
    <row r="306" spans="1:14" ht="14.25" thickBot="1">
      <c r="A306" s="170">
        <f>_xlfn.XLOOKUP(B306 &amp; "-" &amp; TEXT(C306,"00"),改定!N:N,改定!E:E)</f>
        <v>46839</v>
      </c>
      <c r="B306" s="119" t="s">
        <v>17</v>
      </c>
      <c r="C306" s="124">
        <v>5</v>
      </c>
      <c r="D306" s="242" t="s">
        <v>511</v>
      </c>
      <c r="E306" s="249">
        <v>2859</v>
      </c>
      <c r="F306" s="249">
        <v>3062</v>
      </c>
      <c r="G306" s="128"/>
      <c r="I306"/>
      <c r="L306" s="125"/>
      <c r="M306" s="125"/>
      <c r="N306" s="125"/>
    </row>
    <row r="307" spans="1:14" ht="14.25" thickBot="1">
      <c r="A307" s="170">
        <f>_xlfn.XLOOKUP(B307 &amp; "-" &amp; TEXT(C307,"00"),改定!N:N,改定!E:E)</f>
        <v>46839</v>
      </c>
      <c r="B307" s="119" t="s">
        <v>17</v>
      </c>
      <c r="C307" s="124">
        <v>5</v>
      </c>
      <c r="D307" s="242" t="s">
        <v>828</v>
      </c>
      <c r="E307" s="249">
        <v>1</v>
      </c>
      <c r="F307" s="249">
        <v>1</v>
      </c>
      <c r="G307" s="128"/>
      <c r="I307"/>
      <c r="L307" s="125"/>
      <c r="M307" s="125"/>
      <c r="N307" s="125"/>
    </row>
    <row r="308" spans="1:14" ht="14.25" thickBot="1">
      <c r="A308" s="170">
        <f>_xlfn.XLOOKUP(B308 &amp; "-" &amp; TEXT(C308,"00"),改定!N:N,改定!E:E)</f>
        <v>46839</v>
      </c>
      <c r="B308" s="119" t="s">
        <v>17</v>
      </c>
      <c r="C308" s="124">
        <v>5</v>
      </c>
      <c r="D308" s="242" t="s">
        <v>513</v>
      </c>
      <c r="E308" s="249">
        <v>2908</v>
      </c>
      <c r="F308" s="249">
        <v>3027</v>
      </c>
      <c r="G308" s="128"/>
      <c r="I308"/>
      <c r="L308" s="125"/>
      <c r="M308" s="125"/>
      <c r="N308" s="125"/>
    </row>
    <row r="309" spans="1:14" ht="14.25" thickBot="1">
      <c r="A309" s="170">
        <f>_xlfn.XLOOKUP(B309 &amp; "-" &amp; TEXT(C309,"00"),改定!N:N,改定!E:E)</f>
        <v>46839</v>
      </c>
      <c r="B309" s="119" t="s">
        <v>17</v>
      </c>
      <c r="C309" s="124">
        <v>5</v>
      </c>
      <c r="D309" s="242" t="s">
        <v>512</v>
      </c>
      <c r="E309" s="249">
        <v>987</v>
      </c>
      <c r="F309" s="249">
        <v>1041</v>
      </c>
      <c r="G309" s="128"/>
      <c r="I309"/>
      <c r="L309" s="125"/>
      <c r="M309" s="125"/>
      <c r="N309" s="125"/>
    </row>
    <row r="310" spans="1:14" ht="41.25" thickBot="1">
      <c r="A310" s="170">
        <f>_xlfn.XLOOKUP(B310 &amp; "-" &amp; TEXT(C310,"00"),改定!N:N,改定!E:E)</f>
        <v>46839</v>
      </c>
      <c r="B310" s="119" t="s">
        <v>17</v>
      </c>
      <c r="C310" s="124">
        <v>5</v>
      </c>
      <c r="D310" s="242" t="s">
        <v>263</v>
      </c>
      <c r="E310" s="249">
        <v>2490</v>
      </c>
      <c r="F310" s="249">
        <v>2490</v>
      </c>
      <c r="G310" s="128"/>
      <c r="H310" s="150" t="s">
        <v>854</v>
      </c>
      <c r="I310"/>
      <c r="L310" s="125"/>
      <c r="M310" s="125"/>
      <c r="N310" s="125"/>
    </row>
    <row r="311" spans="1:14" ht="41.25" thickBot="1">
      <c r="A311" s="170">
        <f>_xlfn.XLOOKUP(B311 &amp; "-" &amp; TEXT(C311,"00"),改定!N:N,改定!E:E)</f>
        <v>46839</v>
      </c>
      <c r="B311" s="119" t="s">
        <v>17</v>
      </c>
      <c r="C311" s="124">
        <v>5</v>
      </c>
      <c r="D311" s="242" t="s">
        <v>508</v>
      </c>
      <c r="E311" s="249">
        <v>2336</v>
      </c>
      <c r="F311" s="249">
        <v>2418</v>
      </c>
      <c r="G311" s="128"/>
      <c r="H311" s="150" t="s">
        <v>854</v>
      </c>
      <c r="I311"/>
      <c r="L311" s="125"/>
      <c r="M311" s="125"/>
      <c r="N311" s="125"/>
    </row>
    <row r="312" spans="1:14" ht="14.25" thickBot="1">
      <c r="A312" s="170">
        <f>_xlfn.XLOOKUP(B312 &amp; "-" &amp; TEXT(C312,"00"),改定!N:N,改定!E:E)</f>
        <v>46839</v>
      </c>
      <c r="B312" s="119" t="s">
        <v>17</v>
      </c>
      <c r="C312" s="124">
        <v>5</v>
      </c>
      <c r="D312" s="242" t="s">
        <v>514</v>
      </c>
      <c r="I312"/>
      <c r="L312" s="125"/>
      <c r="M312" s="125"/>
      <c r="N312" s="125"/>
    </row>
    <row r="313" spans="1:14">
      <c r="A313" s="170">
        <f>_xlfn.XLOOKUP(B313 &amp; "-" &amp; TEXT(C313,"00"),改定!N:N,改定!E:E)</f>
        <v>46839</v>
      </c>
      <c r="B313" s="119" t="s">
        <v>17</v>
      </c>
      <c r="C313" s="124">
        <v>5</v>
      </c>
      <c r="D313" s="243" t="s">
        <v>518</v>
      </c>
      <c r="I313"/>
    </row>
    <row r="314" spans="1:14" ht="14.25" thickBot="1">
      <c r="A314" s="170">
        <f>_xlfn.XLOOKUP(B314 &amp; "-" &amp; TEXT(C314,"00"),改定!N:N,改定!E:E)</f>
        <v>46839</v>
      </c>
      <c r="B314" s="119" t="s">
        <v>17</v>
      </c>
      <c r="C314" s="124">
        <v>5</v>
      </c>
      <c r="D314" s="242" t="s">
        <v>537</v>
      </c>
      <c r="I314"/>
      <c r="L314" s="125"/>
      <c r="M314" s="125"/>
      <c r="N314" s="125"/>
    </row>
    <row r="315" spans="1:14" ht="14.25" thickBot="1">
      <c r="A315" s="170">
        <f>_xlfn.XLOOKUP(B315 &amp; "-" &amp; TEXT(C315,"00"),改定!N:N,改定!E:E)</f>
        <v>46839</v>
      </c>
      <c r="B315" s="119" t="s">
        <v>17</v>
      </c>
      <c r="C315" s="124">
        <v>5</v>
      </c>
      <c r="D315" s="242" t="s">
        <v>817</v>
      </c>
      <c r="I315"/>
      <c r="L315" s="125"/>
      <c r="M315" s="125"/>
      <c r="N315" s="125"/>
    </row>
    <row r="316" spans="1:14" ht="14.25" thickBot="1">
      <c r="A316" s="170">
        <f>_xlfn.XLOOKUP(B316 &amp; "-" &amp; TEXT(C316,"00"),改定!N:N,改定!E:E)</f>
        <v>46839</v>
      </c>
      <c r="B316" s="119" t="s">
        <v>17</v>
      </c>
      <c r="C316" s="124">
        <v>5</v>
      </c>
      <c r="D316" s="242" t="s">
        <v>536</v>
      </c>
      <c r="I316"/>
      <c r="L316" s="125"/>
      <c r="M316" s="125"/>
      <c r="N316" s="125"/>
    </row>
    <row r="317" spans="1:14" ht="14.25" thickBot="1">
      <c r="A317" s="170">
        <f>_xlfn.XLOOKUP(B317 &amp; "-" &amp; TEXT(C317,"00"),改定!N:N,改定!E:E)</f>
        <v>46839</v>
      </c>
      <c r="B317" s="119" t="s">
        <v>17</v>
      </c>
      <c r="C317" s="124">
        <v>5</v>
      </c>
      <c r="D317" s="242" t="s">
        <v>510</v>
      </c>
      <c r="I317"/>
      <c r="L317" s="130"/>
      <c r="M317" s="126"/>
      <c r="N317" s="127"/>
    </row>
    <row r="318" spans="1:14" ht="14.25" thickBot="1">
      <c r="A318" s="170">
        <f>_xlfn.XLOOKUP(B318 &amp; "-" &amp; TEXT(C318,"00"),改定!N:N,改定!E:E)</f>
        <v>46839</v>
      </c>
      <c r="B318" s="119" t="s">
        <v>18</v>
      </c>
      <c r="C318" s="124">
        <v>5</v>
      </c>
      <c r="D318" s="242" t="s">
        <v>516</v>
      </c>
      <c r="I318"/>
      <c r="L318" s="125"/>
      <c r="M318" s="125"/>
      <c r="N318" s="125"/>
    </row>
    <row r="319" spans="1:14" ht="40.5">
      <c r="A319" s="170">
        <f>_xlfn.XLOOKUP(B319 &amp; "-" &amp; TEXT(C319,"00"),改定!N:N,改定!E:E)</f>
        <v>46839</v>
      </c>
      <c r="B319" s="119" t="s">
        <v>18</v>
      </c>
      <c r="C319" s="124">
        <v>5</v>
      </c>
      <c r="D319" s="243" t="s">
        <v>508</v>
      </c>
      <c r="E319" s="249">
        <v>2336</v>
      </c>
      <c r="F319" s="249">
        <v>2418</v>
      </c>
      <c r="G319" s="128"/>
      <c r="H319" s="150" t="s">
        <v>854</v>
      </c>
      <c r="I319"/>
      <c r="L319" s="125"/>
      <c r="M319" s="125"/>
      <c r="N319" s="125"/>
    </row>
    <row r="320" spans="1:14" ht="40.5">
      <c r="A320" s="170">
        <f>_xlfn.XLOOKUP(B320 &amp; "-" &amp; TEXT(C320,"00"),改定!N:N,改定!E:E)</f>
        <v>46839</v>
      </c>
      <c r="B320" s="119" t="s">
        <v>18</v>
      </c>
      <c r="C320" s="124">
        <v>5</v>
      </c>
      <c r="D320" s="243" t="s">
        <v>263</v>
      </c>
      <c r="E320" s="249">
        <v>2490</v>
      </c>
      <c r="F320" s="249">
        <v>2490</v>
      </c>
      <c r="G320" s="128"/>
      <c r="H320" s="150" t="s">
        <v>854</v>
      </c>
      <c r="I320"/>
      <c r="L320" s="125"/>
      <c r="M320" s="125"/>
      <c r="N320" s="125"/>
    </row>
    <row r="321" spans="1:14">
      <c r="A321" s="170">
        <f>_xlfn.XLOOKUP(B321 &amp; "-" &amp; TEXT(C321,"00"),改定!N:N,改定!E:E)</f>
        <v>46839</v>
      </c>
      <c r="B321" s="119" t="s">
        <v>18</v>
      </c>
      <c r="C321" s="124">
        <v>5</v>
      </c>
      <c r="D321" s="243" t="s">
        <v>518</v>
      </c>
      <c r="I321"/>
      <c r="L321" s="125"/>
      <c r="M321" s="125"/>
      <c r="N321" s="125"/>
    </row>
    <row r="322" spans="1:14" ht="14.25" thickBot="1">
      <c r="A322" s="170">
        <f>_xlfn.XLOOKUP(B322 &amp; "-" &amp; TEXT(C322,"00"),改定!N:N,改定!E:E)</f>
        <v>46839</v>
      </c>
      <c r="B322" s="119" t="s">
        <v>18</v>
      </c>
      <c r="C322" s="124">
        <v>5</v>
      </c>
      <c r="D322" s="242" t="s">
        <v>537</v>
      </c>
      <c r="I322"/>
      <c r="L322" s="125"/>
      <c r="M322" s="125"/>
      <c r="N322" s="125"/>
    </row>
    <row r="323" spans="1:14" ht="14.25" thickBot="1">
      <c r="A323" s="170">
        <f>_xlfn.XLOOKUP(B323 &amp; "-" &amp; TEXT(C323,"00"),改定!N:N,改定!E:E)</f>
        <v>46839</v>
      </c>
      <c r="B323" s="119" t="s">
        <v>18</v>
      </c>
      <c r="C323" s="124">
        <v>5</v>
      </c>
      <c r="D323" s="242" t="s">
        <v>817</v>
      </c>
      <c r="I323"/>
      <c r="L323" s="125"/>
      <c r="M323" s="125"/>
      <c r="N323" s="125"/>
    </row>
    <row r="324" spans="1:14" ht="14.25" thickBot="1">
      <c r="A324" s="170">
        <f>_xlfn.XLOOKUP(B324 &amp; "-" &amp; TEXT(C324,"00"),改定!N:N,改定!E:E)</f>
        <v>46839</v>
      </c>
      <c r="B324" s="119" t="s">
        <v>539</v>
      </c>
      <c r="C324" s="124">
        <v>5</v>
      </c>
      <c r="D324" s="242" t="s">
        <v>825</v>
      </c>
      <c r="I324"/>
      <c r="L324" s="125"/>
      <c r="M324" s="125"/>
      <c r="N324" s="125"/>
    </row>
    <row r="325" spans="1:14">
      <c r="A325" s="170">
        <f>_xlfn.XLOOKUP(B325 &amp; "-" &amp; TEXT(C325,"00"),改定!N:N,改定!E:E)</f>
        <v>46839</v>
      </c>
      <c r="B325" s="119" t="s">
        <v>539</v>
      </c>
      <c r="C325" s="124">
        <v>5</v>
      </c>
      <c r="D325" s="243" t="s">
        <v>536</v>
      </c>
      <c r="N325" s="122"/>
    </row>
    <row r="326" spans="1:14" ht="14.25" thickBot="1">
      <c r="A326" s="170">
        <f>_xlfn.XLOOKUP(B326 &amp; "-" &amp; TEXT(C326,"00"),改定!N:N,改定!E:E)</f>
        <v>46839</v>
      </c>
      <c r="B326" s="119" t="s">
        <v>539</v>
      </c>
      <c r="C326" s="124">
        <v>5</v>
      </c>
      <c r="D326" s="242" t="s">
        <v>545</v>
      </c>
      <c r="L326" s="130"/>
      <c r="M326" s="126"/>
      <c r="N326" s="127"/>
    </row>
    <row r="327" spans="1:14" ht="14.25" thickBot="1">
      <c r="A327" s="170">
        <f>_xlfn.XLOOKUP(B327 &amp; "-" &amp; TEXT(C327,"00"),改定!N:N,改定!E:E)</f>
        <v>46839</v>
      </c>
      <c r="B327" s="119" t="s">
        <v>539</v>
      </c>
      <c r="C327" s="124">
        <v>5</v>
      </c>
      <c r="D327" s="242" t="s">
        <v>510</v>
      </c>
      <c r="L327" s="130"/>
      <c r="M327" s="126"/>
      <c r="N327" s="127"/>
    </row>
    <row r="328" spans="1:14">
      <c r="A328" s="170">
        <f>_xlfn.XLOOKUP(B328 &amp; "-" &amp; TEXT(C328,"00"),改定!N:N,改定!E:E)</f>
        <v>46860</v>
      </c>
      <c r="B328" s="119" t="s">
        <v>71</v>
      </c>
      <c r="C328" s="124">
        <v>1</v>
      </c>
      <c r="D328" s="234" t="s">
        <v>821</v>
      </c>
      <c r="L328" s="130"/>
      <c r="M328" s="126"/>
      <c r="N328" s="127"/>
    </row>
    <row r="329" spans="1:14">
      <c r="A329" s="170">
        <f>_xlfn.XLOOKUP(B329 &amp; "-" &amp; TEXT(C329,"00"),改定!N:N,改定!E:E)</f>
        <v>46860</v>
      </c>
      <c r="B329" s="119" t="s">
        <v>71</v>
      </c>
      <c r="C329" s="124">
        <v>1</v>
      </c>
      <c r="D329" s="234" t="s">
        <v>820</v>
      </c>
      <c r="E329" s="249">
        <v>533</v>
      </c>
      <c r="F329" s="249"/>
      <c r="G329" s="128"/>
      <c r="L329" s="130"/>
      <c r="M329" s="126"/>
      <c r="N329" s="127"/>
    </row>
    <row r="330" spans="1:14" ht="14.25" thickBot="1">
      <c r="A330" s="170">
        <f>_xlfn.XLOOKUP(B330 &amp; "-" &amp; TEXT(C330,"00"),改定!N:N,改定!E:E)</f>
        <v>46947</v>
      </c>
      <c r="B330" s="119" t="s">
        <v>218</v>
      </c>
      <c r="C330" s="124">
        <v>7</v>
      </c>
      <c r="D330" s="242" t="s">
        <v>536</v>
      </c>
      <c r="L330" s="130"/>
      <c r="M330" s="126"/>
      <c r="N330" s="127"/>
    </row>
    <row r="331" spans="1:14" ht="14.25" thickBot="1">
      <c r="A331" s="170">
        <f>_xlfn.XLOOKUP(B331 &amp; "-" &amp; TEXT(C331,"00"),改定!N:N,改定!E:E)</f>
        <v>46947</v>
      </c>
      <c r="B331" s="119" t="s">
        <v>218</v>
      </c>
      <c r="C331" s="124">
        <v>7</v>
      </c>
      <c r="D331" s="242" t="s">
        <v>817</v>
      </c>
      <c r="L331" s="130"/>
      <c r="M331" s="126"/>
      <c r="N331" s="127"/>
    </row>
    <row r="332" spans="1:14" ht="14.25" thickBot="1">
      <c r="A332" s="170">
        <f>_xlfn.XLOOKUP(B332 &amp; "-" &amp; TEXT(C332,"00"),改定!N:N,改定!E:E)</f>
        <v>46947</v>
      </c>
      <c r="B332" s="119" t="s">
        <v>218</v>
      </c>
      <c r="C332" s="124">
        <v>7</v>
      </c>
      <c r="D332" s="242" t="s">
        <v>537</v>
      </c>
      <c r="L332" s="130"/>
      <c r="M332" s="126"/>
      <c r="N332" s="127"/>
    </row>
    <row r="333" spans="1:14" ht="14.25" thickBot="1">
      <c r="A333" s="170">
        <f>_xlfn.XLOOKUP(B333 &amp; "-" &amp; TEXT(C333,"00"),改定!N:N,改定!E:E)</f>
        <v>46947</v>
      </c>
      <c r="B333" s="119" t="s">
        <v>220</v>
      </c>
      <c r="C333" s="124">
        <v>4</v>
      </c>
      <c r="D333" s="242" t="s">
        <v>536</v>
      </c>
      <c r="F333" s="251"/>
      <c r="G333" s="139"/>
      <c r="I333"/>
    </row>
    <row r="334" spans="1:14" ht="14.25" thickBot="1">
      <c r="A334" s="170">
        <f>_xlfn.XLOOKUP(B334 &amp; "-" &amp; TEXT(C334,"00"),改定!N:N,改定!E:E)</f>
        <v>46947</v>
      </c>
      <c r="B334" s="119" t="s">
        <v>220</v>
      </c>
      <c r="C334" s="124">
        <v>4</v>
      </c>
      <c r="D334" s="242" t="s">
        <v>515</v>
      </c>
      <c r="F334" s="251"/>
      <c r="G334" s="139"/>
      <c r="I334"/>
      <c r="L334" s="130"/>
      <c r="M334" s="126"/>
      <c r="N334" s="127"/>
    </row>
    <row r="335" spans="1:14" ht="14.25" thickBot="1">
      <c r="A335" s="170">
        <f>_xlfn.XLOOKUP(B335 &amp; "-" &amp; TEXT(C335,"00"),改定!N:N,改定!E:E)</f>
        <v>46947</v>
      </c>
      <c r="B335" s="119" t="s">
        <v>220</v>
      </c>
      <c r="C335" s="124">
        <v>4</v>
      </c>
      <c r="D335" s="242" t="s">
        <v>537</v>
      </c>
      <c r="F335" s="251"/>
      <c r="G335" s="139"/>
      <c r="I335"/>
      <c r="L335" s="130"/>
      <c r="M335" s="126"/>
      <c r="N335" s="127"/>
    </row>
    <row r="336" spans="1:14">
      <c r="A336" s="170">
        <f>_xlfn.XLOOKUP(B336 &amp; "-" &amp; TEXT(C336,"00"),改定!N:N,改定!E:E)</f>
        <v>46989</v>
      </c>
      <c r="B336" s="119" t="s">
        <v>120</v>
      </c>
      <c r="C336" s="124">
        <v>2</v>
      </c>
      <c r="D336" s="243" t="s">
        <v>533</v>
      </c>
      <c r="E336" s="249">
        <v>306</v>
      </c>
      <c r="F336" s="249">
        <v>306</v>
      </c>
      <c r="G336" s="128"/>
      <c r="I336"/>
      <c r="L336" s="130"/>
      <c r="M336" s="126"/>
      <c r="N336" s="127"/>
    </row>
    <row r="337" spans="1:16" ht="14.25" thickBot="1">
      <c r="A337" s="170">
        <f>_xlfn.XLOOKUP(B337 &amp; "-" &amp; TEXT(C337,"00"),改定!N:N,改定!E:E)</f>
        <v>46989</v>
      </c>
      <c r="B337" s="119" t="s">
        <v>120</v>
      </c>
      <c r="C337" s="124">
        <v>2</v>
      </c>
      <c r="D337" s="242" t="s">
        <v>812</v>
      </c>
      <c r="E337" s="249">
        <v>2</v>
      </c>
      <c r="F337" s="249">
        <v>2</v>
      </c>
      <c r="G337" s="128"/>
      <c r="I337"/>
      <c r="L337" s="130"/>
      <c r="M337" s="126"/>
      <c r="N337" s="127"/>
    </row>
    <row r="338" spans="1:16" ht="14.25" thickBot="1">
      <c r="A338" s="170">
        <f>_xlfn.XLOOKUP(B338 &amp; "-" &amp; TEXT(C338,"00"),改定!N:N,改定!E:E)</f>
        <v>46989</v>
      </c>
      <c r="B338" s="119" t="s">
        <v>120</v>
      </c>
      <c r="C338" s="124">
        <v>2</v>
      </c>
      <c r="D338" s="242" t="s">
        <v>855</v>
      </c>
      <c r="E338" s="249">
        <v>16</v>
      </c>
      <c r="F338" s="249">
        <v>16</v>
      </c>
      <c r="G338" s="128"/>
      <c r="I338"/>
      <c r="L338" s="130"/>
      <c r="M338" s="126"/>
      <c r="N338" s="127"/>
    </row>
    <row r="339" spans="1:16">
      <c r="A339" s="170">
        <f>_xlfn.XLOOKUP(B339 &amp; "-" &amp; TEXT(C339,"00"),改定!N:N,改定!E:E)</f>
        <v>46989</v>
      </c>
      <c r="B339" s="119" t="s">
        <v>120</v>
      </c>
      <c r="C339" s="124">
        <v>2</v>
      </c>
      <c r="D339" s="243" t="s">
        <v>814</v>
      </c>
      <c r="E339" s="249">
        <v>4</v>
      </c>
      <c r="F339" s="249">
        <v>4</v>
      </c>
      <c r="G339" s="128"/>
      <c r="I339"/>
      <c r="L339" s="130"/>
      <c r="M339" s="126"/>
      <c r="N339" s="127"/>
    </row>
    <row r="340" spans="1:16">
      <c r="A340" s="170">
        <f>_xlfn.XLOOKUP(B340 &amp; "-" &amp; TEXT(C340,"00"),改定!N:N,改定!E:E)</f>
        <v>47027</v>
      </c>
      <c r="B340" s="119" t="s">
        <v>120</v>
      </c>
      <c r="C340" s="124">
        <v>3</v>
      </c>
      <c r="D340" s="243" t="s">
        <v>533</v>
      </c>
      <c r="E340" s="249">
        <v>348</v>
      </c>
      <c r="F340" s="249">
        <v>348</v>
      </c>
      <c r="G340" s="128"/>
      <c r="I340"/>
      <c r="L340" s="130"/>
      <c r="M340" s="126"/>
      <c r="N340" s="127"/>
    </row>
    <row r="341" spans="1:16" ht="14.25" thickBot="1">
      <c r="A341" s="170">
        <f>_xlfn.XLOOKUP(B341 &amp; "-" &amp; TEXT(C341,"00"),改定!N:N,改定!E:E)</f>
        <v>47027</v>
      </c>
      <c r="B341" s="119" t="s">
        <v>120</v>
      </c>
      <c r="C341" s="124">
        <v>3</v>
      </c>
      <c r="D341" s="242" t="s">
        <v>812</v>
      </c>
      <c r="E341" s="249">
        <v>27</v>
      </c>
      <c r="F341" s="249">
        <v>27</v>
      </c>
      <c r="G341" s="128"/>
      <c r="I341" s="132"/>
      <c r="N341" s="127"/>
    </row>
    <row r="342" spans="1:16" ht="14.25" thickBot="1">
      <c r="A342" s="170">
        <f>_xlfn.XLOOKUP(B342 &amp; "-" &amp; TEXT(C342,"00"),改定!N:N,改定!E:E)</f>
        <v>47027</v>
      </c>
      <c r="B342" s="119" t="s">
        <v>120</v>
      </c>
      <c r="C342" s="124">
        <v>3</v>
      </c>
      <c r="D342" s="242" t="s">
        <v>855</v>
      </c>
      <c r="E342" s="249">
        <v>99</v>
      </c>
      <c r="F342" s="249">
        <v>99</v>
      </c>
      <c r="G342" s="128"/>
      <c r="I342" s="132"/>
      <c r="L342" s="130"/>
      <c r="M342" s="126"/>
      <c r="N342" s="127"/>
    </row>
    <row r="343" spans="1:16">
      <c r="A343" s="170">
        <f>_xlfn.XLOOKUP(B343 &amp; "-" &amp; TEXT(C343,"00"),改定!N:N,改定!E:E)</f>
        <v>47027</v>
      </c>
      <c r="B343" s="119" t="s">
        <v>120</v>
      </c>
      <c r="C343" s="124">
        <v>3</v>
      </c>
      <c r="D343" s="243" t="s">
        <v>814</v>
      </c>
      <c r="E343" s="249">
        <v>4</v>
      </c>
      <c r="F343" s="249">
        <v>4</v>
      </c>
      <c r="G343" s="128"/>
      <c r="I343" s="132"/>
      <c r="L343" s="130"/>
      <c r="M343" s="126"/>
      <c r="N343" s="127"/>
    </row>
    <row r="344" spans="1:16">
      <c r="A344" s="170">
        <f>_xlfn.XLOOKUP(B344 &amp; "-" &amp; TEXT(C344,"00"),改定!N:N,改定!E:E)</f>
        <v>47050</v>
      </c>
      <c r="B344" s="119" t="s">
        <v>188</v>
      </c>
      <c r="C344" s="124">
        <v>2</v>
      </c>
      <c r="D344" s="234" t="s">
        <v>856</v>
      </c>
      <c r="E344" s="249">
        <v>792</v>
      </c>
      <c r="F344" s="249">
        <v>792</v>
      </c>
      <c r="G344" s="128"/>
      <c r="I344" s="132"/>
      <c r="L344" s="125"/>
      <c r="M344" s="126"/>
      <c r="N344" s="127"/>
    </row>
    <row r="345" spans="1:16">
      <c r="A345" s="170">
        <f>_xlfn.XLOOKUP(B345 &amp; "-" &amp; TEXT(C345,"00"),改定!N:N,改定!E:E)</f>
        <v>47083</v>
      </c>
      <c r="B345" s="119" t="s">
        <v>206</v>
      </c>
      <c r="C345" s="124">
        <v>1</v>
      </c>
      <c r="D345" s="234" t="s">
        <v>836</v>
      </c>
      <c r="E345" s="249">
        <v>5842</v>
      </c>
      <c r="F345" s="249">
        <v>5842</v>
      </c>
      <c r="G345" s="128"/>
      <c r="I345" s="132"/>
      <c r="L345" s="130"/>
      <c r="M345" s="126"/>
      <c r="N345" s="127"/>
    </row>
    <row r="346" spans="1:16" ht="14.25" thickBot="1">
      <c r="A346" s="170">
        <f>_xlfn.XLOOKUP(B346 &amp; "-" &amp; TEXT(C346,"00"),改定!N:N,改定!E:E)</f>
        <v>47086</v>
      </c>
      <c r="B346" s="119" t="s">
        <v>137</v>
      </c>
      <c r="C346" s="124">
        <v>8</v>
      </c>
      <c r="D346" s="242" t="s">
        <v>828</v>
      </c>
      <c r="I346" s="132"/>
      <c r="L346" s="125"/>
      <c r="M346" s="126"/>
      <c r="N346" s="127"/>
    </row>
    <row r="347" spans="1:16" ht="14.25" thickBot="1">
      <c r="A347" s="170">
        <f>_xlfn.XLOOKUP(B347 &amp; "-" &amp; TEXT(C347,"00"),改定!N:N,改定!E:E)</f>
        <v>47086</v>
      </c>
      <c r="B347" s="119" t="s">
        <v>137</v>
      </c>
      <c r="C347" s="124">
        <v>8</v>
      </c>
      <c r="D347" s="242" t="s">
        <v>512</v>
      </c>
      <c r="I347" s="132"/>
      <c r="L347" s="125"/>
      <c r="M347" s="126"/>
      <c r="N347" s="127"/>
    </row>
    <row r="348" spans="1:16">
      <c r="A348" s="170">
        <f>_xlfn.XLOOKUP(B348 &amp; "-" &amp; TEXT(C348,"00"),改定!N:N,改定!E:E)</f>
        <v>47086</v>
      </c>
      <c r="B348" s="119" t="s">
        <v>137</v>
      </c>
      <c r="C348" s="124">
        <v>8</v>
      </c>
      <c r="D348" s="243" t="s">
        <v>511</v>
      </c>
      <c r="I348" s="132"/>
      <c r="L348" s="125"/>
      <c r="M348" s="126"/>
      <c r="N348" s="127"/>
    </row>
    <row r="349" spans="1:16">
      <c r="A349" s="170">
        <f>_xlfn.XLOOKUP(B349 &amp; "-" &amp; TEXT(C349,"00"),改定!N:N,改定!E:E)</f>
        <v>47086</v>
      </c>
      <c r="B349" s="119" t="s">
        <v>137</v>
      </c>
      <c r="C349" s="124">
        <v>8</v>
      </c>
      <c r="D349" s="243" t="s">
        <v>513</v>
      </c>
      <c r="I349" s="132"/>
      <c r="L349" s="125"/>
      <c r="M349" s="126"/>
      <c r="N349" s="127"/>
    </row>
    <row r="350" spans="1:16">
      <c r="A350" s="170">
        <f>_xlfn.XLOOKUP(B350 &amp; "-" &amp; TEXT(C350,"00"),改定!N:N,改定!E:E)</f>
        <v>47086</v>
      </c>
      <c r="B350" s="119" t="s">
        <v>137</v>
      </c>
      <c r="C350" s="124">
        <v>8</v>
      </c>
      <c r="D350" s="243" t="s">
        <v>508</v>
      </c>
      <c r="I350" s="132"/>
      <c r="L350" s="125"/>
      <c r="M350" s="126"/>
      <c r="N350" s="127"/>
    </row>
    <row r="351" spans="1:16" ht="14.25" thickBot="1">
      <c r="A351" s="170">
        <f>_xlfn.XLOOKUP(B351 &amp; "-" &amp; TEXT(C351,"00"),改定!N:N,改定!E:E)</f>
        <v>47086</v>
      </c>
      <c r="B351" s="119" t="s">
        <v>150</v>
      </c>
      <c r="C351" s="124">
        <v>3</v>
      </c>
      <c r="D351" s="242" t="s">
        <v>508</v>
      </c>
      <c r="I351" s="132"/>
      <c r="L351" s="125"/>
      <c r="M351" s="126"/>
      <c r="N351" s="127"/>
    </row>
    <row r="352" spans="1:16">
      <c r="A352" s="170">
        <f>_xlfn.XLOOKUP(B352 &amp; "-" &amp; TEXT(C352,"00"),改定!N:N,改定!E:E)</f>
        <v>47086</v>
      </c>
      <c r="B352" s="119" t="s">
        <v>188</v>
      </c>
      <c r="C352" s="124">
        <v>3</v>
      </c>
      <c r="D352" s="234" t="s">
        <v>856</v>
      </c>
      <c r="E352" s="249">
        <v>837</v>
      </c>
      <c r="F352" s="249">
        <v>837</v>
      </c>
      <c r="G352" s="128"/>
      <c r="I352" s="132"/>
      <c r="N352" s="127"/>
      <c r="P352"/>
    </row>
    <row r="353" spans="1:18" ht="14.25" thickBot="1">
      <c r="A353" s="170">
        <f>_xlfn.XLOOKUP(B353 &amp; "-" &amp; TEXT(C353,"00"),改定!N:N,改定!E:E)</f>
        <v>47097</v>
      </c>
      <c r="B353" s="119" t="s">
        <v>218</v>
      </c>
      <c r="C353" s="124">
        <v>8</v>
      </c>
      <c r="D353" s="242" t="s">
        <v>536</v>
      </c>
      <c r="I353" s="132"/>
      <c r="L353" s="130"/>
      <c r="M353" s="126"/>
      <c r="N353" s="127"/>
      <c r="P353"/>
    </row>
    <row r="354" spans="1:18" ht="14.25" thickBot="1">
      <c r="A354" s="170">
        <f>_xlfn.XLOOKUP(B354 &amp; "-" &amp; TEXT(C354,"00"),改定!N:N,改定!E:E)</f>
        <v>47097</v>
      </c>
      <c r="B354" s="119" t="s">
        <v>218</v>
      </c>
      <c r="C354" s="124">
        <v>8</v>
      </c>
      <c r="D354" s="242" t="s">
        <v>515</v>
      </c>
      <c r="I354" s="132"/>
      <c r="L354" s="125"/>
      <c r="M354" s="126"/>
      <c r="N354" s="127"/>
      <c r="P354" s="127"/>
    </row>
    <row r="355" spans="1:18" ht="14.25" thickBot="1">
      <c r="A355" s="170">
        <f>_xlfn.XLOOKUP(B355 &amp; "-" &amp; TEXT(C355,"00"),改定!N:N,改定!E:E)</f>
        <v>47097</v>
      </c>
      <c r="B355" s="119" t="s">
        <v>218</v>
      </c>
      <c r="C355" s="124">
        <v>8</v>
      </c>
      <c r="D355" s="242" t="s">
        <v>537</v>
      </c>
      <c r="I355" s="132"/>
      <c r="L355" s="125"/>
      <c r="M355" s="126"/>
      <c r="N355" s="127"/>
      <c r="P355" s="127"/>
    </row>
    <row r="356" spans="1:18" ht="14.25" thickBot="1">
      <c r="A356" s="170">
        <f>_xlfn.XLOOKUP(B356 &amp; "-" &amp; TEXT(C356,"00"),改定!N:N,改定!E:E)</f>
        <v>47097</v>
      </c>
      <c r="B356" s="119" t="s">
        <v>220</v>
      </c>
      <c r="C356" s="124">
        <v>5</v>
      </c>
      <c r="D356" s="242" t="s">
        <v>536</v>
      </c>
      <c r="L356" s="125"/>
      <c r="M356" s="126"/>
      <c r="N356" s="127"/>
      <c r="O356"/>
      <c r="P356" s="127"/>
      <c r="R356"/>
    </row>
    <row r="357" spans="1:18" ht="14.25" thickBot="1">
      <c r="A357" s="170">
        <f>_xlfn.XLOOKUP(B357 &amp; "-" &amp; TEXT(C357,"00"),改定!N:N,改定!E:E)</f>
        <v>47097</v>
      </c>
      <c r="B357" s="119" t="s">
        <v>220</v>
      </c>
      <c r="C357" s="124">
        <v>5</v>
      </c>
      <c r="D357" s="242" t="s">
        <v>515</v>
      </c>
      <c r="L357" s="130"/>
      <c r="M357" s="126"/>
      <c r="N357" s="127"/>
      <c r="O357"/>
      <c r="P357" s="127"/>
      <c r="R357"/>
    </row>
    <row r="358" spans="1:18" ht="14.25" thickBot="1">
      <c r="A358" s="170">
        <f>_xlfn.XLOOKUP(B358 &amp; "-" &amp; TEXT(C358,"00"),改定!N:N,改定!E:E)</f>
        <v>47097</v>
      </c>
      <c r="B358" s="119" t="s">
        <v>220</v>
      </c>
      <c r="C358" s="124">
        <v>5</v>
      </c>
      <c r="D358" s="242" t="s">
        <v>537</v>
      </c>
      <c r="L358" s="125"/>
      <c r="M358" s="126"/>
      <c r="N358" s="127"/>
      <c r="O358"/>
      <c r="P358" s="127"/>
      <c r="R358"/>
    </row>
    <row r="359" spans="1:18">
      <c r="A359" s="170">
        <f>_xlfn.XLOOKUP(B359 &amp; "-" &amp; TEXT(C359,"00"),改定!N:N,改定!E:E)</f>
        <v>47136</v>
      </c>
      <c r="B359" s="119" t="s">
        <v>120</v>
      </c>
      <c r="C359" s="124">
        <v>4</v>
      </c>
      <c r="D359" s="243" t="s">
        <v>533</v>
      </c>
      <c r="E359" s="249">
        <v>319</v>
      </c>
      <c r="F359" s="249">
        <v>319</v>
      </c>
      <c r="G359" s="128"/>
      <c r="L359" s="125"/>
      <c r="M359" s="126"/>
      <c r="N359" s="127"/>
      <c r="O359"/>
      <c r="P359" s="127"/>
      <c r="R359"/>
    </row>
    <row r="360" spans="1:18" ht="14.25" thickBot="1">
      <c r="A360" s="170">
        <f>_xlfn.XLOOKUP(B360 &amp; "-" &amp; TEXT(C360,"00"),改定!N:N,改定!E:E)</f>
        <v>47136</v>
      </c>
      <c r="B360" s="119" t="s">
        <v>120</v>
      </c>
      <c r="C360" s="124">
        <v>4</v>
      </c>
      <c r="D360" s="242" t="s">
        <v>812</v>
      </c>
      <c r="E360" s="249">
        <v>2</v>
      </c>
      <c r="F360" s="249">
        <v>2</v>
      </c>
      <c r="G360" s="128"/>
      <c r="L360" s="125"/>
      <c r="M360" s="126"/>
      <c r="N360" s="127"/>
      <c r="O360"/>
      <c r="P360" s="127"/>
      <c r="R360"/>
    </row>
    <row r="361" spans="1:18" ht="14.25" thickBot="1">
      <c r="A361" s="170">
        <f>_xlfn.XLOOKUP(B361 &amp; "-" &amp; TEXT(C361,"00"),改定!N:N,改定!E:E)</f>
        <v>47136</v>
      </c>
      <c r="B361" s="119" t="s">
        <v>120</v>
      </c>
      <c r="C361" s="124">
        <v>4</v>
      </c>
      <c r="D361" s="242" t="s">
        <v>855</v>
      </c>
      <c r="E361" s="249">
        <v>46</v>
      </c>
      <c r="F361" s="249">
        <v>46</v>
      </c>
      <c r="G361" s="128"/>
      <c r="L361" s="125"/>
      <c r="M361" s="126"/>
      <c r="N361" s="127"/>
      <c r="O361"/>
      <c r="P361" s="127"/>
      <c r="R361"/>
    </row>
    <row r="362" spans="1:18">
      <c r="A362" s="170">
        <f>_xlfn.XLOOKUP(B362 &amp; "-" &amp; TEXT(C362,"00"),改定!N:N,改定!E:E)</f>
        <v>47136</v>
      </c>
      <c r="B362" s="119" t="s">
        <v>120</v>
      </c>
      <c r="C362" s="124">
        <v>4</v>
      </c>
      <c r="D362" s="243" t="s">
        <v>814</v>
      </c>
      <c r="E362" s="249">
        <v>4</v>
      </c>
      <c r="F362" s="249">
        <v>4</v>
      </c>
      <c r="G362" s="128"/>
      <c r="L362" s="125"/>
      <c r="M362" s="126"/>
      <c r="N362" s="127"/>
      <c r="O362"/>
      <c r="P362" s="127"/>
      <c r="R362"/>
    </row>
    <row r="363" spans="1:18">
      <c r="A363" s="170">
        <f>_xlfn.XLOOKUP(B363 &amp; "-" &amp; TEXT(C363,"00"),改定!N:N,改定!E:E)</f>
        <v>47167</v>
      </c>
      <c r="B363" s="119" t="s">
        <v>19</v>
      </c>
      <c r="C363" s="124">
        <v>7</v>
      </c>
      <c r="D363" s="243" t="s">
        <v>510</v>
      </c>
      <c r="L363" s="125"/>
      <c r="M363" s="126"/>
      <c r="N363" s="127"/>
      <c r="O363"/>
      <c r="P363" s="127"/>
      <c r="R363"/>
    </row>
    <row r="364" spans="1:18" ht="14.25" thickBot="1">
      <c r="A364" s="170">
        <f>_xlfn.XLOOKUP(B364 &amp; "-" &amp; TEXT(C364,"00"),改定!N:N,改定!E:E)</f>
        <v>47167</v>
      </c>
      <c r="B364" s="119" t="s">
        <v>19</v>
      </c>
      <c r="C364" s="124">
        <v>7</v>
      </c>
      <c r="D364" s="242" t="s">
        <v>825</v>
      </c>
      <c r="L364" s="125"/>
      <c r="M364" s="126"/>
      <c r="N364" s="127"/>
      <c r="O364"/>
      <c r="P364" s="127"/>
      <c r="R364"/>
    </row>
    <row r="365" spans="1:18">
      <c r="A365" s="170">
        <f>_xlfn.XLOOKUP(B365 &amp; "-" &amp; TEXT(C365,"00"),改定!N:N,改定!E:E)</f>
        <v>47167</v>
      </c>
      <c r="B365" s="119" t="s">
        <v>19</v>
      </c>
      <c r="C365" s="124">
        <v>7</v>
      </c>
      <c r="D365" s="234" t="s">
        <v>857</v>
      </c>
      <c r="L365" s="125"/>
      <c r="M365" s="126"/>
      <c r="N365" s="127"/>
      <c r="O365"/>
      <c r="P365" s="127"/>
      <c r="R365"/>
    </row>
    <row r="366" spans="1:18">
      <c r="A366" s="170">
        <f>_xlfn.XLOOKUP(B366 &amp; "-" &amp; TEXT(C366,"00"),改定!N:N,改定!E:E)</f>
        <v>47167</v>
      </c>
      <c r="B366" s="119" t="s">
        <v>19</v>
      </c>
      <c r="C366" s="124">
        <v>7</v>
      </c>
      <c r="D366" s="234" t="s">
        <v>858</v>
      </c>
    </row>
    <row r="367" spans="1:18">
      <c r="A367" s="170">
        <f>_xlfn.XLOOKUP(B367 &amp; "-" &amp; TEXT(C367,"00"),改定!N:N,改定!E:E)</f>
        <v>47167</v>
      </c>
      <c r="B367" s="119" t="s">
        <v>19</v>
      </c>
      <c r="C367" s="124">
        <v>7</v>
      </c>
      <c r="D367" s="234" t="s">
        <v>859</v>
      </c>
    </row>
    <row r="368" spans="1:18">
      <c r="A368" s="170">
        <f>_xlfn.XLOOKUP(B368 &amp; "-" &amp; TEXT(C368,"00"),改定!N:N,改定!E:E)</f>
        <v>47167</v>
      </c>
      <c r="B368" s="119" t="s">
        <v>19</v>
      </c>
      <c r="C368" s="124">
        <v>7</v>
      </c>
      <c r="D368" s="234" t="s">
        <v>859</v>
      </c>
    </row>
    <row r="369" spans="1:14">
      <c r="A369" s="170">
        <f>_xlfn.XLOOKUP(B369 &amp; "-" &amp; TEXT(C369,"00"),改定!N:N,改定!E:E)</f>
        <v>47167</v>
      </c>
      <c r="B369" s="119" t="s">
        <v>19</v>
      </c>
      <c r="C369" s="124">
        <v>7</v>
      </c>
      <c r="D369" s="234" t="s">
        <v>860</v>
      </c>
      <c r="L369" s="130"/>
      <c r="M369" s="126"/>
      <c r="N369" s="127"/>
    </row>
    <row r="370" spans="1:14">
      <c r="A370" s="170">
        <f>_xlfn.XLOOKUP(B370 &amp; "-" &amp; TEXT(C370,"00"),改定!N:N,改定!E:E)</f>
        <v>47167</v>
      </c>
      <c r="B370" s="119" t="s">
        <v>19</v>
      </c>
      <c r="C370" s="124">
        <v>7</v>
      </c>
      <c r="D370" s="234" t="s">
        <v>861</v>
      </c>
      <c r="L370" s="130"/>
      <c r="M370" s="126"/>
      <c r="N370" s="127"/>
    </row>
    <row r="371" spans="1:14">
      <c r="A371" s="170">
        <f>_xlfn.XLOOKUP(B371 &amp; "-" &amp; TEXT(C371,"00"),改定!N:N,改定!E:E)</f>
        <v>47167</v>
      </c>
      <c r="B371" s="119" t="s">
        <v>19</v>
      </c>
      <c r="C371" s="124">
        <v>7</v>
      </c>
      <c r="D371" s="234" t="s">
        <v>862</v>
      </c>
      <c r="L371" s="130"/>
      <c r="M371" s="126"/>
      <c r="N371" s="127"/>
    </row>
    <row r="372" spans="1:14">
      <c r="A372" s="170">
        <f>_xlfn.XLOOKUP(B372 &amp; "-" &amp; TEXT(C372,"00"),改定!N:N,改定!E:E)</f>
        <v>47167</v>
      </c>
      <c r="B372" s="119" t="s">
        <v>19</v>
      </c>
      <c r="C372" s="124">
        <v>7</v>
      </c>
      <c r="D372" s="234" t="s">
        <v>863</v>
      </c>
      <c r="L372" s="130"/>
      <c r="M372" s="126"/>
      <c r="N372" s="127"/>
    </row>
    <row r="373" spans="1:14">
      <c r="A373" s="170">
        <f>_xlfn.XLOOKUP(B373 &amp; "-" &amp; TEXT(C373,"00"),改定!N:N,改定!E:E)</f>
        <v>47167</v>
      </c>
      <c r="B373" s="119" t="s">
        <v>19</v>
      </c>
      <c r="C373" s="124">
        <v>7</v>
      </c>
      <c r="D373" s="234" t="s">
        <v>864</v>
      </c>
      <c r="E373" s="250"/>
      <c r="J373" s="135"/>
    </row>
    <row r="374" spans="1:14">
      <c r="A374" s="170">
        <f>_xlfn.XLOOKUP(B374 &amp; "-" &amp; TEXT(C374,"00"),改定!N:N,改定!E:E)</f>
        <v>47167</v>
      </c>
      <c r="B374" s="119" t="s">
        <v>19</v>
      </c>
      <c r="C374" s="124">
        <v>7</v>
      </c>
      <c r="D374" s="234" t="s">
        <v>865</v>
      </c>
      <c r="E374" s="250"/>
      <c r="J374" s="135"/>
      <c r="L374" s="125"/>
      <c r="M374" s="126"/>
      <c r="N374" s="127"/>
    </row>
    <row r="375" spans="1:14">
      <c r="A375" s="170">
        <f>_xlfn.XLOOKUP(B375 &amp; "-" &amp; TEXT(C375,"00"),改定!N:N,改定!E:E)</f>
        <v>47167</v>
      </c>
      <c r="B375" s="119" t="s">
        <v>19</v>
      </c>
      <c r="C375" s="124">
        <v>7</v>
      </c>
      <c r="D375" s="234" t="s">
        <v>866</v>
      </c>
      <c r="E375" s="250"/>
      <c r="J375" s="135"/>
      <c r="L375" s="130"/>
      <c r="M375" s="126"/>
      <c r="N375" s="127"/>
    </row>
    <row r="376" spans="1:14">
      <c r="A376" s="170">
        <f>_xlfn.XLOOKUP(B376 &amp; "-" &amp; TEXT(C376,"00"),改定!N:N,改定!E:E)</f>
        <v>47167</v>
      </c>
      <c r="B376" s="119" t="s">
        <v>19</v>
      </c>
      <c r="C376" s="124">
        <v>7</v>
      </c>
      <c r="D376" s="234" t="s">
        <v>867</v>
      </c>
      <c r="E376" s="250"/>
      <c r="J376" s="135"/>
      <c r="L376" s="130"/>
      <c r="M376" s="126"/>
      <c r="N376" s="127"/>
    </row>
    <row r="377" spans="1:14" ht="14.25" thickBot="1">
      <c r="A377" s="170">
        <f>_xlfn.XLOOKUP(B377 &amp; "-" &amp; TEXT(C377,"00"),改定!N:N,改定!E:E)</f>
        <v>47167</v>
      </c>
      <c r="B377" s="119" t="s">
        <v>19</v>
      </c>
      <c r="C377" s="124">
        <v>7</v>
      </c>
      <c r="D377" s="242" t="s">
        <v>536</v>
      </c>
      <c r="E377" s="250"/>
      <c r="J377" s="135"/>
      <c r="L377" s="130"/>
      <c r="M377" s="126"/>
      <c r="N377" s="127"/>
    </row>
    <row r="378" spans="1:14">
      <c r="A378" s="170">
        <f>_xlfn.XLOOKUP(B378 &amp; "-" &amp; TEXT(C378,"00"),改定!N:N,改定!E:E)</f>
        <v>47167</v>
      </c>
      <c r="B378" s="119" t="s">
        <v>21</v>
      </c>
      <c r="C378" s="124">
        <v>7</v>
      </c>
      <c r="D378" s="243" t="s">
        <v>510</v>
      </c>
      <c r="E378" s="250"/>
      <c r="J378" s="135"/>
      <c r="L378" s="130"/>
      <c r="M378" s="126"/>
      <c r="N378" s="127"/>
    </row>
    <row r="379" spans="1:14">
      <c r="A379" s="170">
        <f>_xlfn.XLOOKUP(B379 &amp; "-" &amp; TEXT(C379,"00"),改定!N:N,改定!E:E)</f>
        <v>47167</v>
      </c>
      <c r="B379" s="119" t="s">
        <v>21</v>
      </c>
      <c r="C379" s="124">
        <v>7</v>
      </c>
      <c r="D379" s="234" t="s">
        <v>868</v>
      </c>
      <c r="E379" s="250"/>
      <c r="J379" s="135"/>
      <c r="L379" s="130"/>
      <c r="M379" s="126"/>
      <c r="N379" s="127"/>
    </row>
    <row r="380" spans="1:14">
      <c r="A380" s="170">
        <f>_xlfn.XLOOKUP(B380 &amp; "-" &amp; TEXT(C380,"00"),改定!N:N,改定!E:E)</f>
        <v>47167</v>
      </c>
      <c r="B380" s="119" t="s">
        <v>21</v>
      </c>
      <c r="C380" s="124">
        <v>7</v>
      </c>
      <c r="D380" s="234" t="s">
        <v>869</v>
      </c>
      <c r="E380" s="250"/>
      <c r="J380" s="135"/>
    </row>
    <row r="381" spans="1:14">
      <c r="A381" s="170">
        <f>_xlfn.XLOOKUP(B381 &amp; "-" &amp; TEXT(C381,"00"),改定!N:N,改定!E:E)</f>
        <v>47167</v>
      </c>
      <c r="B381" s="119" t="s">
        <v>21</v>
      </c>
      <c r="C381" s="124">
        <v>7</v>
      </c>
      <c r="D381" s="234" t="s">
        <v>870</v>
      </c>
      <c r="E381" s="250"/>
      <c r="J381" s="135"/>
      <c r="L381" s="125"/>
      <c r="M381" s="126"/>
      <c r="N381" s="127"/>
    </row>
    <row r="382" spans="1:14" ht="14.25" thickBot="1">
      <c r="A382" s="170">
        <f>_xlfn.XLOOKUP(B382 &amp; "-" &amp; TEXT(C382,"00"),改定!N:N,改定!E:E)</f>
        <v>47167</v>
      </c>
      <c r="B382" s="119" t="s">
        <v>21</v>
      </c>
      <c r="C382" s="124">
        <v>7</v>
      </c>
      <c r="D382" s="242" t="s">
        <v>871</v>
      </c>
      <c r="E382" s="250"/>
      <c r="J382" s="135"/>
      <c r="L382" s="125"/>
      <c r="M382" s="126"/>
      <c r="N382" s="127"/>
    </row>
    <row r="383" spans="1:14">
      <c r="A383" s="170">
        <f>_xlfn.XLOOKUP(B383 &amp; "-" &amp; TEXT(C383,"00"),改定!N:N,改定!E:E)</f>
        <v>47167</v>
      </c>
      <c r="B383" s="119" t="s">
        <v>21</v>
      </c>
      <c r="C383" s="124">
        <v>7</v>
      </c>
      <c r="D383" s="234" t="s">
        <v>863</v>
      </c>
      <c r="E383" s="250"/>
      <c r="J383" s="135"/>
      <c r="L383" s="125"/>
      <c r="M383" s="126"/>
      <c r="N383" s="127"/>
    </row>
    <row r="384" spans="1:14">
      <c r="A384" s="170">
        <f>_xlfn.XLOOKUP(B384 &amp; "-" &amp; TEXT(C384,"00"),改定!N:N,改定!E:E)</f>
        <v>47167</v>
      </c>
      <c r="B384" s="119" t="s">
        <v>21</v>
      </c>
      <c r="C384" s="124">
        <v>7</v>
      </c>
      <c r="D384" s="234" t="s">
        <v>862</v>
      </c>
    </row>
    <row r="385" spans="1:14">
      <c r="A385" s="170">
        <f>_xlfn.XLOOKUP(B385 &amp; "-" &amp; TEXT(C385,"00"),改定!N:N,改定!E:E)</f>
        <v>47167</v>
      </c>
      <c r="B385" s="119" t="s">
        <v>21</v>
      </c>
      <c r="C385" s="124">
        <v>7</v>
      </c>
      <c r="D385" s="234" t="s">
        <v>865</v>
      </c>
      <c r="L385" s="130"/>
      <c r="M385" s="126"/>
      <c r="N385" s="127"/>
    </row>
    <row r="386" spans="1:14">
      <c r="A386" s="170">
        <f>_xlfn.XLOOKUP(B386 &amp; "-" &amp; TEXT(C386,"00"),改定!N:N,改定!E:E)</f>
        <v>47167</v>
      </c>
      <c r="B386" s="119" t="s">
        <v>21</v>
      </c>
      <c r="C386" s="124">
        <v>7</v>
      </c>
      <c r="D386" s="234" t="s">
        <v>872</v>
      </c>
      <c r="N386" s="127"/>
    </row>
    <row r="387" spans="1:14">
      <c r="A387" s="170">
        <f>_xlfn.XLOOKUP(B387 &amp; "-" &amp; TEXT(C387,"00"),改定!N:N,改定!E:E)</f>
        <v>47167</v>
      </c>
      <c r="B387" s="119" t="s">
        <v>21</v>
      </c>
      <c r="C387" s="124">
        <v>7</v>
      </c>
      <c r="D387" s="234" t="s">
        <v>866</v>
      </c>
      <c r="L387" s="130"/>
      <c r="M387" s="126"/>
      <c r="N387" s="127"/>
    </row>
    <row r="388" spans="1:14">
      <c r="A388" s="170">
        <f>_xlfn.XLOOKUP(B388 &amp; "-" &amp; TEXT(C388,"00"),改定!N:N,改定!E:E)</f>
        <v>47167</v>
      </c>
      <c r="B388" s="119" t="s">
        <v>21</v>
      </c>
      <c r="C388" s="124">
        <v>7</v>
      </c>
      <c r="D388" s="234" t="s">
        <v>867</v>
      </c>
      <c r="L388" s="130"/>
      <c r="M388" s="126"/>
      <c r="N388" s="127"/>
    </row>
    <row r="389" spans="1:14">
      <c r="A389" s="170">
        <f>_xlfn.XLOOKUP(B389 &amp; "-" &amp; TEXT(C389,"00"),改定!N:N,改定!E:E)</f>
        <v>47167</v>
      </c>
      <c r="B389" s="119" t="s">
        <v>21</v>
      </c>
      <c r="C389" s="124">
        <v>7</v>
      </c>
      <c r="D389" s="234" t="s">
        <v>873</v>
      </c>
      <c r="L389" s="130"/>
      <c r="M389" s="126"/>
      <c r="N389" s="127"/>
    </row>
    <row r="390" spans="1:14">
      <c r="A390" s="170">
        <f>_xlfn.XLOOKUP(B390 &amp; "-" &amp; TEXT(C390,"00"),改定!N:N,改定!E:E)</f>
        <v>47167</v>
      </c>
      <c r="B390" s="119" t="s">
        <v>21</v>
      </c>
      <c r="C390" s="124">
        <v>7</v>
      </c>
      <c r="D390" s="234" t="s">
        <v>874</v>
      </c>
      <c r="L390" s="130"/>
      <c r="M390" s="126"/>
      <c r="N390" s="127"/>
    </row>
    <row r="391" spans="1:14">
      <c r="A391" s="170">
        <f>_xlfn.XLOOKUP(B391 &amp; "-" &amp; TEXT(C391,"00"),改定!N:N,改定!E:E)</f>
        <v>47167</v>
      </c>
      <c r="B391" s="119" t="s">
        <v>21</v>
      </c>
      <c r="C391" s="124">
        <v>7</v>
      </c>
      <c r="D391" s="234" t="s">
        <v>875</v>
      </c>
      <c r="L391" s="130"/>
      <c r="M391" s="126"/>
      <c r="N391" s="127"/>
    </row>
    <row r="392" spans="1:14">
      <c r="A392" s="170">
        <f>_xlfn.XLOOKUP(B392 &amp; "-" &amp; TEXT(C392,"00"),改定!N:N,改定!E:E)</f>
        <v>47167</v>
      </c>
      <c r="B392" s="119" t="s">
        <v>25</v>
      </c>
      <c r="C392" s="124">
        <v>2</v>
      </c>
      <c r="D392" s="234" t="s">
        <v>876</v>
      </c>
      <c r="L392" s="130"/>
      <c r="M392" s="126"/>
      <c r="N392" s="127"/>
    </row>
    <row r="393" spans="1:14" ht="14.25" thickBot="1">
      <c r="A393" s="170">
        <f>_xlfn.XLOOKUP(B393 &amp; "-" &amp; TEXT(C393,"00"),改定!N:N,改定!E:E)</f>
        <v>47311</v>
      </c>
      <c r="B393" s="119" t="s">
        <v>188</v>
      </c>
      <c r="C393" s="124">
        <v>4</v>
      </c>
      <c r="D393" s="242" t="s">
        <v>514</v>
      </c>
      <c r="L393" s="130"/>
      <c r="M393" s="126"/>
      <c r="N393" s="127"/>
    </row>
    <row r="394" spans="1:14" ht="14.25" thickBot="1">
      <c r="A394" s="170">
        <f>_xlfn.XLOOKUP(B394 &amp; "-" &amp; TEXT(C394,"00"),改定!N:N,改定!E:E)</f>
        <v>47399</v>
      </c>
      <c r="B394" s="119" t="s">
        <v>155</v>
      </c>
      <c r="C394" s="124">
        <v>0</v>
      </c>
      <c r="D394" s="242" t="s">
        <v>828</v>
      </c>
      <c r="L394" s="130"/>
      <c r="M394" s="126"/>
      <c r="N394" s="127"/>
    </row>
    <row r="395" spans="1:14" ht="14.25" thickBot="1">
      <c r="A395" s="170">
        <f>_xlfn.XLOOKUP(B395 &amp; "-" &amp; TEXT(C395,"00"),改定!N:N,改定!E:E)</f>
        <v>47399</v>
      </c>
      <c r="B395" s="119" t="s">
        <v>155</v>
      </c>
      <c r="C395" s="124">
        <v>0</v>
      </c>
      <c r="D395" s="242" t="s">
        <v>877</v>
      </c>
      <c r="L395" s="130"/>
      <c r="M395" s="126"/>
      <c r="N395" s="127"/>
    </row>
    <row r="396" spans="1:14">
      <c r="A396" s="170">
        <f>_xlfn.XLOOKUP(B396 &amp; "-" &amp; TEXT(C396,"00"),改定!N:N,改定!E:E)</f>
        <v>47449</v>
      </c>
      <c r="B396" s="119" t="s">
        <v>71</v>
      </c>
      <c r="C396" s="124">
        <v>2</v>
      </c>
      <c r="D396" s="234" t="s">
        <v>878</v>
      </c>
      <c r="L396" s="130"/>
      <c r="M396" s="126"/>
      <c r="N396" s="127"/>
    </row>
    <row r="397" spans="1:14">
      <c r="A397" s="170">
        <f>_xlfn.XLOOKUP(B397 &amp; "-" &amp; TEXT(C397,"00"),改定!N:N,改定!E:E)</f>
        <v>47449</v>
      </c>
      <c r="B397" s="119" t="s">
        <v>71</v>
      </c>
      <c r="C397" s="124">
        <v>2</v>
      </c>
      <c r="D397" s="234" t="s">
        <v>879</v>
      </c>
      <c r="L397" s="130"/>
      <c r="M397" s="126"/>
      <c r="N397" s="127"/>
    </row>
    <row r="398" spans="1:14">
      <c r="A398" s="170">
        <f>_xlfn.XLOOKUP(B398 &amp; "-" &amp; TEXT(C398,"00"),改定!N:N,改定!E:E)</f>
        <v>47449</v>
      </c>
      <c r="B398" s="119" t="s">
        <v>77</v>
      </c>
      <c r="C398" s="124">
        <v>2</v>
      </c>
      <c r="D398" s="234" t="s">
        <v>880</v>
      </c>
      <c r="L398" s="130"/>
      <c r="M398" s="126"/>
      <c r="N398" s="127"/>
    </row>
    <row r="399" spans="1:14">
      <c r="A399" s="170">
        <f>_xlfn.XLOOKUP(B399 &amp; "-" &amp; TEXT(C399,"00"),改定!N:N,改定!E:E)</f>
        <v>47449</v>
      </c>
      <c r="B399" s="119" t="s">
        <v>77</v>
      </c>
      <c r="C399" s="124">
        <v>2</v>
      </c>
      <c r="D399" s="243" t="s">
        <v>822</v>
      </c>
      <c r="N399" s="127"/>
    </row>
    <row r="400" spans="1:14">
      <c r="A400" s="170">
        <f>_xlfn.XLOOKUP(B400 &amp; "-" &amp; TEXT(C400,"00"),改定!N:N,改定!E:E)</f>
        <v>47467</v>
      </c>
      <c r="B400" s="119" t="s">
        <v>137</v>
      </c>
      <c r="C400" s="124">
        <v>9</v>
      </c>
      <c r="D400" s="234" t="s">
        <v>881</v>
      </c>
      <c r="E400" s="249">
        <v>1179</v>
      </c>
      <c r="F400" s="249">
        <v>1179</v>
      </c>
      <c r="G400" s="128"/>
      <c r="J400" s="135"/>
      <c r="M400" s="126"/>
      <c r="N400" s="127"/>
    </row>
    <row r="401" spans="1:14">
      <c r="A401" s="170">
        <f>_xlfn.XLOOKUP(B401 &amp; "-" &amp; TEXT(C401,"00"),改定!N:N,改定!E:E)</f>
        <v>47467</v>
      </c>
      <c r="B401" s="119" t="s">
        <v>137</v>
      </c>
      <c r="C401" s="124">
        <v>9</v>
      </c>
      <c r="D401" s="234" t="s">
        <v>882</v>
      </c>
      <c r="E401" s="249">
        <v>3584</v>
      </c>
      <c r="F401" s="249">
        <v>3584</v>
      </c>
      <c r="G401" s="128"/>
      <c r="J401" s="135"/>
      <c r="L401" s="125"/>
      <c r="M401" s="126"/>
      <c r="N401" s="127"/>
    </row>
    <row r="402" spans="1:14">
      <c r="A402" s="170">
        <f>_xlfn.XLOOKUP(B402 &amp; "-" &amp; TEXT(C402,"00"),改定!N:N,改定!E:E)</f>
        <v>47467</v>
      </c>
      <c r="B402" s="119" t="s">
        <v>137</v>
      </c>
      <c r="C402" s="124">
        <v>9</v>
      </c>
      <c r="D402" s="234" t="s">
        <v>883</v>
      </c>
      <c r="E402" s="249">
        <v>3399</v>
      </c>
      <c r="F402" s="249">
        <v>3399</v>
      </c>
      <c r="G402" s="128"/>
      <c r="J402" s="135"/>
      <c r="L402" s="125"/>
      <c r="M402" s="126"/>
      <c r="N402" s="127"/>
    </row>
    <row r="403" spans="1:14">
      <c r="A403" s="170">
        <f>_xlfn.XLOOKUP(B403 &amp; "-" &amp; TEXT(C403,"00"),改定!N:N,改定!E:E)</f>
        <v>47467</v>
      </c>
      <c r="B403" s="119" t="s">
        <v>137</v>
      </c>
      <c r="C403" s="124">
        <v>9</v>
      </c>
      <c r="D403" s="234" t="s">
        <v>884</v>
      </c>
      <c r="E403" s="249">
        <v>2666</v>
      </c>
      <c r="F403" s="249">
        <v>2666</v>
      </c>
      <c r="G403" s="128"/>
      <c r="J403" s="135"/>
      <c r="L403" s="130"/>
      <c r="M403" s="126"/>
      <c r="N403" s="127"/>
    </row>
    <row r="404" spans="1:14" ht="40.5">
      <c r="A404" s="170">
        <f>_xlfn.XLOOKUP(B404 &amp; "-" &amp; TEXT(C404,"00"),改定!N:N,改定!E:E)</f>
        <v>47472</v>
      </c>
      <c r="B404" s="119" t="s">
        <v>17</v>
      </c>
      <c r="C404" s="124">
        <v>6</v>
      </c>
      <c r="D404" s="234" t="s">
        <v>885</v>
      </c>
      <c r="E404" s="249">
        <v>5</v>
      </c>
      <c r="F404" s="249">
        <v>5</v>
      </c>
      <c r="G404" s="128"/>
      <c r="H404" s="150" t="s">
        <v>902</v>
      </c>
      <c r="J404" s="135"/>
      <c r="L404" s="125"/>
      <c r="M404" s="126"/>
      <c r="N404" s="127"/>
    </row>
    <row r="405" spans="1:14">
      <c r="A405" s="170">
        <f>_xlfn.XLOOKUP(B405 &amp; "-" &amp; TEXT(C405,"00"),改定!N:N,改定!E:E)</f>
        <v>47472</v>
      </c>
      <c r="B405" s="119" t="s">
        <v>17</v>
      </c>
      <c r="C405" s="124">
        <v>6</v>
      </c>
      <c r="D405" s="234" t="s">
        <v>886</v>
      </c>
      <c r="E405" s="250"/>
      <c r="J405" s="135"/>
      <c r="L405" s="125"/>
      <c r="M405" s="126"/>
      <c r="N405" s="127"/>
    </row>
    <row r="406" spans="1:14">
      <c r="A406" s="170">
        <f>_xlfn.XLOOKUP(B406 &amp; "-" &amp; TEXT(C406,"00"),改定!N:N,改定!E:E)</f>
        <v>47472</v>
      </c>
      <c r="B406" s="119" t="s">
        <v>540</v>
      </c>
      <c r="C406" s="124">
        <v>6</v>
      </c>
      <c r="D406" s="234" t="s">
        <v>887</v>
      </c>
      <c r="E406" s="249">
        <v>7</v>
      </c>
      <c r="F406" s="249">
        <v>7</v>
      </c>
      <c r="G406" s="128"/>
      <c r="J406" s="135"/>
      <c r="L406" s="125"/>
      <c r="M406" s="126"/>
      <c r="N406" s="127"/>
    </row>
    <row r="407" spans="1:14">
      <c r="A407" s="170">
        <f>_xlfn.XLOOKUP(B407 &amp; "-" &amp; TEXT(C407,"00"),改定!N:N,改定!E:E)</f>
        <v>47472</v>
      </c>
      <c r="B407" s="119" t="s">
        <v>540</v>
      </c>
      <c r="C407" s="124">
        <v>6</v>
      </c>
      <c r="D407" s="234" t="s">
        <v>883</v>
      </c>
      <c r="M407" s="126"/>
      <c r="N407" s="127"/>
    </row>
    <row r="408" spans="1:14">
      <c r="A408" s="170">
        <f>_xlfn.XLOOKUP(B408 &amp; "-" &amp; TEXT(C408,"00"),改定!N:N,改定!E:E)</f>
        <v>47472</v>
      </c>
      <c r="B408" s="119" t="s">
        <v>540</v>
      </c>
      <c r="C408" s="124">
        <v>6</v>
      </c>
      <c r="D408" s="234" t="s">
        <v>881</v>
      </c>
      <c r="L408" s="140"/>
      <c r="M408" s="126"/>
      <c r="N408" s="127"/>
    </row>
    <row r="409" spans="1:14">
      <c r="A409" s="170">
        <f>_xlfn.XLOOKUP(B409 &amp; "-" &amp; TEXT(C409,"00"),改定!N:N,改定!E:E)</f>
        <v>47472</v>
      </c>
      <c r="B409" s="119" t="s">
        <v>540</v>
      </c>
      <c r="C409" s="124">
        <v>6</v>
      </c>
      <c r="D409" s="234" t="s">
        <v>888</v>
      </c>
      <c r="L409" s="130"/>
      <c r="M409" s="126"/>
      <c r="N409" s="127"/>
    </row>
    <row r="410" spans="1:14">
      <c r="A410" s="170">
        <f>_xlfn.XLOOKUP(B410 &amp; "-" &amp; TEXT(C410,"00"),改定!N:N,改定!E:E)</f>
        <v>47472</v>
      </c>
      <c r="B410" s="119" t="s">
        <v>540</v>
      </c>
      <c r="C410" s="124">
        <v>6</v>
      </c>
      <c r="D410" s="234" t="s">
        <v>889</v>
      </c>
      <c r="L410" s="130"/>
      <c r="M410" s="126"/>
      <c r="N410" s="127"/>
    </row>
    <row r="411" spans="1:14">
      <c r="A411" s="170">
        <f>_xlfn.XLOOKUP(B411 &amp; "-" &amp; TEXT(C411,"00"),改定!N:N,改定!E:E)</f>
        <v>47472</v>
      </c>
      <c r="B411" s="119" t="s">
        <v>540</v>
      </c>
      <c r="C411" s="124">
        <v>6</v>
      </c>
      <c r="D411" s="234" t="s">
        <v>890</v>
      </c>
      <c r="L411" s="130"/>
      <c r="M411" s="126"/>
      <c r="N411" s="127"/>
    </row>
    <row r="412" spans="1:14">
      <c r="A412" s="170">
        <f>_xlfn.XLOOKUP(B412 &amp; "-" &amp; TEXT(C412,"00"),改定!N:N,改定!E:E)</f>
        <v>47472</v>
      </c>
      <c r="B412" s="119" t="s">
        <v>540</v>
      </c>
      <c r="C412" s="124">
        <v>6</v>
      </c>
      <c r="D412" s="234" t="s">
        <v>891</v>
      </c>
      <c r="L412" s="130"/>
      <c r="M412" s="126"/>
      <c r="N412" s="127"/>
    </row>
    <row r="413" spans="1:14">
      <c r="A413" s="170">
        <f>_xlfn.XLOOKUP(B413 &amp; "-" &amp; TEXT(C413,"00"),改定!N:N,改定!E:E)</f>
        <v>47472</v>
      </c>
      <c r="B413" s="119" t="s">
        <v>540</v>
      </c>
      <c r="C413" s="124">
        <v>6</v>
      </c>
      <c r="D413" s="234" t="s">
        <v>892</v>
      </c>
      <c r="L413" s="130"/>
      <c r="M413" s="126"/>
      <c r="N413" s="127"/>
    </row>
    <row r="414" spans="1:14" ht="40.5">
      <c r="A414" s="170">
        <f>_xlfn.XLOOKUP(B414 &amp; "-" &amp; TEXT(C414,"00"),改定!N:N,改定!E:E)</f>
        <v>47472</v>
      </c>
      <c r="B414" s="119" t="s">
        <v>540</v>
      </c>
      <c r="C414" s="124">
        <v>6</v>
      </c>
      <c r="D414" s="234" t="s">
        <v>893</v>
      </c>
      <c r="E414" s="249">
        <v>816</v>
      </c>
      <c r="F414" s="249">
        <v>816</v>
      </c>
      <c r="G414" s="128"/>
      <c r="H414" s="150" t="s">
        <v>902</v>
      </c>
      <c r="L414" s="130"/>
      <c r="M414" s="126"/>
      <c r="N414" s="127"/>
    </row>
    <row r="415" spans="1:14" ht="40.5">
      <c r="A415" s="170">
        <f>_xlfn.XLOOKUP(B415 &amp; "-" &amp; TEXT(C415,"00"),改定!N:N,改定!E:E)</f>
        <v>47472</v>
      </c>
      <c r="B415" s="119" t="s">
        <v>540</v>
      </c>
      <c r="C415" s="124">
        <v>6</v>
      </c>
      <c r="D415" s="234" t="s">
        <v>894</v>
      </c>
      <c r="E415" s="249">
        <v>1159</v>
      </c>
      <c r="F415" s="249">
        <v>1159</v>
      </c>
      <c r="G415" s="128"/>
      <c r="H415" s="150" t="s">
        <v>902</v>
      </c>
      <c r="L415" s="130"/>
      <c r="M415" s="126"/>
      <c r="N415" s="127"/>
    </row>
    <row r="416" spans="1:14" ht="41.25" thickBot="1">
      <c r="A416" s="170">
        <f>_xlfn.XLOOKUP(B416 &amp; "-" &amp; TEXT(C416,"00"),改定!N:N,改定!E:E)</f>
        <v>47472</v>
      </c>
      <c r="B416" s="119" t="s">
        <v>540</v>
      </c>
      <c r="C416" s="124">
        <v>6</v>
      </c>
      <c r="D416" s="241" t="s">
        <v>536</v>
      </c>
      <c r="E416" s="249">
        <v>1291</v>
      </c>
      <c r="F416" s="249">
        <v>1291</v>
      </c>
      <c r="G416" s="128"/>
      <c r="H416" s="150" t="s">
        <v>902</v>
      </c>
      <c r="L416" s="130"/>
      <c r="M416" s="126"/>
      <c r="N416" s="127"/>
    </row>
    <row r="417" spans="1:14">
      <c r="A417" s="170">
        <f>_xlfn.XLOOKUP(B417 &amp; "-" &amp; TEXT(C417,"00"),改定!N:N,改定!E:E)</f>
        <v>47472</v>
      </c>
      <c r="B417" s="119" t="s">
        <v>540</v>
      </c>
      <c r="C417" s="124">
        <v>6</v>
      </c>
      <c r="D417" s="234" t="s">
        <v>895</v>
      </c>
      <c r="L417" s="130"/>
      <c r="M417" s="126"/>
      <c r="N417" s="127"/>
    </row>
    <row r="418" spans="1:14">
      <c r="A418" s="170">
        <f>_xlfn.XLOOKUP(B418 &amp; "-" &amp; TEXT(C418,"00"),改定!N:N,改定!E:E)</f>
        <v>47472</v>
      </c>
      <c r="B418" s="119" t="s">
        <v>18</v>
      </c>
      <c r="C418" s="124">
        <v>6</v>
      </c>
      <c r="D418" s="234" t="s">
        <v>896</v>
      </c>
      <c r="L418" s="130"/>
      <c r="M418" s="126"/>
      <c r="N418" s="127"/>
    </row>
    <row r="419" spans="1:14">
      <c r="A419" s="170">
        <f>_xlfn.XLOOKUP(B419 &amp; "-" &amp; TEXT(C419,"00"),改定!N:N,改定!E:E)</f>
        <v>47472</v>
      </c>
      <c r="B419" s="119" t="s">
        <v>18</v>
      </c>
      <c r="C419" s="124">
        <v>6</v>
      </c>
      <c r="D419" s="234" t="s">
        <v>895</v>
      </c>
      <c r="M419" s="126"/>
      <c r="N419" s="127"/>
    </row>
    <row r="420" spans="1:14" ht="40.5">
      <c r="A420" s="170">
        <f>_xlfn.XLOOKUP(B420 &amp; "-" &amp; TEXT(C420,"00"),改定!N:N,改定!E:E)</f>
        <v>47472</v>
      </c>
      <c r="B420" s="119" t="s">
        <v>539</v>
      </c>
      <c r="C420" s="124">
        <v>6</v>
      </c>
      <c r="D420" s="234" t="s">
        <v>897</v>
      </c>
      <c r="E420" s="249">
        <v>5</v>
      </c>
      <c r="F420" s="249">
        <v>5</v>
      </c>
      <c r="G420" s="128"/>
      <c r="H420" s="150" t="s">
        <v>902</v>
      </c>
      <c r="M420" s="126"/>
      <c r="N420" s="127"/>
    </row>
    <row r="421" spans="1:14">
      <c r="A421" s="170">
        <f>_xlfn.XLOOKUP(B421 &amp; "-" &amp; TEXT(C421,"00"),改定!N:N,改定!E:E)</f>
        <v>47472</v>
      </c>
      <c r="B421" s="119" t="s">
        <v>539</v>
      </c>
      <c r="C421" s="124">
        <v>6</v>
      </c>
      <c r="D421" s="234" t="s">
        <v>884</v>
      </c>
      <c r="M421" s="126"/>
      <c r="N421" s="127"/>
    </row>
    <row r="422" spans="1:14">
      <c r="A422" s="170">
        <f>_xlfn.XLOOKUP(B422 &amp; "-" &amp; TEXT(C422,"00"),改定!N:N,改定!E:E)</f>
        <v>47472</v>
      </c>
      <c r="B422" s="119" t="s">
        <v>539</v>
      </c>
      <c r="C422" s="124">
        <v>6</v>
      </c>
      <c r="D422" s="234" t="s">
        <v>888</v>
      </c>
      <c r="L422" s="140"/>
      <c r="M422" s="126"/>
      <c r="N422" s="127"/>
    </row>
    <row r="423" spans="1:14">
      <c r="A423" s="170">
        <f>_xlfn.XLOOKUP(B423 &amp; "-" &amp; TEXT(C423,"00"),改定!N:N,改定!E:E)</f>
        <v>47472</v>
      </c>
      <c r="B423" s="119" t="s">
        <v>539</v>
      </c>
      <c r="C423" s="124">
        <v>6</v>
      </c>
      <c r="D423" s="234" t="s">
        <v>892</v>
      </c>
      <c r="L423" s="140"/>
      <c r="M423" s="126"/>
      <c r="N423" s="127"/>
    </row>
    <row r="424" spans="1:14">
      <c r="A424" s="170">
        <f>_xlfn.XLOOKUP(B424 &amp; "-" &amp; TEXT(C424,"00"),改定!N:N,改定!E:E)</f>
        <v>47472</v>
      </c>
      <c r="B424" s="119" t="s">
        <v>539</v>
      </c>
      <c r="C424" s="124">
        <v>6</v>
      </c>
      <c r="D424" s="234" t="s">
        <v>898</v>
      </c>
      <c r="L424" s="140"/>
      <c r="M424" s="126"/>
      <c r="N424" s="127"/>
    </row>
    <row r="425" spans="1:14" ht="41.25" thickBot="1">
      <c r="A425" s="170">
        <f>_xlfn.XLOOKUP(B425 &amp; "-" &amp; TEXT(C425,"00"),改定!N:N,改定!E:E)</f>
        <v>47472</v>
      </c>
      <c r="B425" s="119" t="s">
        <v>539</v>
      </c>
      <c r="C425" s="124">
        <v>6</v>
      </c>
      <c r="D425" s="241" t="s">
        <v>537</v>
      </c>
      <c r="E425" s="249">
        <v>816</v>
      </c>
      <c r="F425" s="249">
        <v>816</v>
      </c>
      <c r="G425" s="128"/>
      <c r="H425" s="150" t="s">
        <v>902</v>
      </c>
      <c r="L425" s="140"/>
      <c r="M425" s="126"/>
      <c r="N425" s="127"/>
    </row>
    <row r="426" spans="1:14" ht="40.5">
      <c r="A426" s="170">
        <f>_xlfn.XLOOKUP(B426 &amp; "-" &amp; TEXT(C426,"00"),改定!N:N,改定!E:E)</f>
        <v>47472</v>
      </c>
      <c r="B426" s="119" t="s">
        <v>539</v>
      </c>
      <c r="C426" s="124">
        <v>6</v>
      </c>
      <c r="D426" s="234" t="s">
        <v>894</v>
      </c>
      <c r="E426" s="249">
        <v>1159</v>
      </c>
      <c r="F426" s="249">
        <v>1159</v>
      </c>
      <c r="G426" s="128"/>
      <c r="H426" s="150" t="s">
        <v>902</v>
      </c>
      <c r="L426" s="140"/>
      <c r="M426" s="126"/>
      <c r="N426" s="127"/>
    </row>
    <row r="427" spans="1:14">
      <c r="A427" s="170">
        <f>_xlfn.XLOOKUP(B427 &amp; "-" &amp; TEXT(C427,"00"),改定!N:N,改定!E:E)</f>
        <v>47472</v>
      </c>
      <c r="B427" s="119" t="s">
        <v>539</v>
      </c>
      <c r="C427" s="124">
        <v>6</v>
      </c>
      <c r="D427" s="234" t="s">
        <v>899</v>
      </c>
      <c r="L427" s="140"/>
      <c r="M427" s="126"/>
      <c r="N427" s="127"/>
    </row>
    <row r="428" spans="1:14" ht="40.5">
      <c r="A428" s="170">
        <f>_xlfn.XLOOKUP(B428 &amp; "-" &amp; TEXT(C428,"00"),改定!N:N,改定!E:E)</f>
        <v>47472</v>
      </c>
      <c r="B428" s="119" t="s">
        <v>539</v>
      </c>
      <c r="C428" s="124">
        <v>6</v>
      </c>
      <c r="D428" s="234" t="s">
        <v>900</v>
      </c>
      <c r="E428" s="249">
        <v>1291</v>
      </c>
      <c r="F428" s="249">
        <v>1291</v>
      </c>
      <c r="G428" s="128"/>
      <c r="H428" s="150" t="s">
        <v>902</v>
      </c>
      <c r="L428" s="140"/>
      <c r="M428" s="126"/>
      <c r="N428" s="127"/>
    </row>
    <row r="429" spans="1:14">
      <c r="A429" s="170">
        <f>_xlfn.XLOOKUP(B429 &amp; "-" &amp; TEXT(C429,"00"),改定!N:N,改定!E:E)</f>
        <v>47472</v>
      </c>
      <c r="B429" s="119" t="s">
        <v>539</v>
      </c>
      <c r="C429" s="124">
        <v>6</v>
      </c>
      <c r="D429" s="234" t="s">
        <v>901</v>
      </c>
      <c r="L429" s="140"/>
      <c r="M429" s="126"/>
      <c r="N429" s="127"/>
    </row>
    <row r="430" spans="1:14">
      <c r="A430" s="170">
        <f>_xlfn.XLOOKUP(B430 &amp; "-" &amp; TEXT(C430,"00"),改定!N:N,改定!E:E)</f>
        <v>47472</v>
      </c>
      <c r="B430" s="119" t="s">
        <v>539</v>
      </c>
      <c r="C430" s="124">
        <v>6</v>
      </c>
      <c r="D430" s="234" t="s">
        <v>895</v>
      </c>
      <c r="M430" s="126"/>
      <c r="N430" s="127"/>
    </row>
    <row r="431" spans="1:14">
      <c r="A431" s="170">
        <f>_xlfn.XLOOKUP(B431 &amp; "-" &amp; TEXT(C431,"00"),改定!N:N,改定!E:E)</f>
        <v>47597</v>
      </c>
      <c r="B431" s="119" t="s">
        <v>120</v>
      </c>
      <c r="C431" s="124">
        <v>5</v>
      </c>
      <c r="D431" s="234" t="s">
        <v>903</v>
      </c>
      <c r="E431" s="249">
        <v>358</v>
      </c>
      <c r="F431" s="249">
        <v>358</v>
      </c>
      <c r="G431" s="128"/>
      <c r="M431" s="126"/>
      <c r="N431" s="127"/>
    </row>
    <row r="432" spans="1:14">
      <c r="A432" s="170">
        <f>_xlfn.XLOOKUP(B432 &amp; "-" &amp; TEXT(C432,"00"),改定!N:N,改定!E:E)</f>
        <v>47597</v>
      </c>
      <c r="B432" s="119" t="s">
        <v>120</v>
      </c>
      <c r="C432" s="124">
        <v>5</v>
      </c>
      <c r="D432" s="234" t="s">
        <v>904</v>
      </c>
      <c r="E432" s="249">
        <v>34</v>
      </c>
      <c r="F432" s="249">
        <v>34</v>
      </c>
      <c r="G432" s="128"/>
      <c r="M432" s="126"/>
      <c r="N432" s="127"/>
    </row>
    <row r="433" spans="1:14">
      <c r="A433" s="170">
        <f>_xlfn.XLOOKUP(B433 &amp; "-" &amp; TEXT(C433,"00"),改定!N:N,改定!E:E)</f>
        <v>47597</v>
      </c>
      <c r="B433" s="119" t="s">
        <v>120</v>
      </c>
      <c r="C433" s="124">
        <v>5</v>
      </c>
      <c r="D433" s="234" t="s">
        <v>905</v>
      </c>
      <c r="E433" s="249">
        <v>119</v>
      </c>
      <c r="F433" s="249">
        <v>120</v>
      </c>
      <c r="G433" s="128"/>
      <c r="M433" s="126"/>
      <c r="N433" s="127"/>
    </row>
    <row r="434" spans="1:14">
      <c r="A434" s="170">
        <f>_xlfn.XLOOKUP(B434 &amp; "-" &amp; TEXT(C434,"00"),改定!N:N,改定!E:E)</f>
        <v>47597</v>
      </c>
      <c r="B434" s="119" t="s">
        <v>120</v>
      </c>
      <c r="C434" s="124">
        <v>5</v>
      </c>
      <c r="D434" s="234" t="s">
        <v>906</v>
      </c>
      <c r="E434" s="249">
        <v>5</v>
      </c>
      <c r="F434" s="249">
        <v>5</v>
      </c>
      <c r="G434" s="128"/>
      <c r="M434" s="126"/>
      <c r="N434" s="127"/>
    </row>
    <row r="435" spans="1:14">
      <c r="A435" s="170">
        <f>_xlfn.XLOOKUP(B435 &amp; "-" &amp; TEXT(C435,"00"),改定!N:N,改定!E:E)</f>
        <v>47627</v>
      </c>
      <c r="B435" s="119" t="s">
        <v>214</v>
      </c>
      <c r="C435" s="124">
        <v>0</v>
      </c>
      <c r="D435" s="234" t="s">
        <v>907</v>
      </c>
      <c r="M435" s="126"/>
      <c r="N435" s="127"/>
    </row>
    <row r="436" spans="1:14">
      <c r="A436" s="170">
        <f>_xlfn.XLOOKUP(B436 &amp; "-" &amp; TEXT(C436,"00"),改定!N:N,改定!E:E)</f>
        <v>47634</v>
      </c>
      <c r="B436" s="119" t="s">
        <v>81</v>
      </c>
      <c r="C436" s="124">
        <v>3</v>
      </c>
      <c r="D436" s="234" t="s">
        <v>908</v>
      </c>
      <c r="E436" s="249">
        <v>5466</v>
      </c>
      <c r="F436" s="249"/>
      <c r="G436" s="128"/>
      <c r="M436" s="126"/>
      <c r="N436" s="127"/>
    </row>
    <row r="437" spans="1:14">
      <c r="A437" s="170">
        <f>_xlfn.XLOOKUP(B437 &amp; "-" &amp; TEXT(C437,"00"),改定!N:N,改定!E:E)</f>
        <v>47634</v>
      </c>
      <c r="B437" s="119" t="s">
        <v>84</v>
      </c>
      <c r="C437" s="124">
        <v>3</v>
      </c>
      <c r="D437" s="234" t="s">
        <v>909</v>
      </c>
      <c r="E437" s="249">
        <v>1026</v>
      </c>
      <c r="F437" s="249"/>
      <c r="G437" s="128"/>
      <c r="L437" s="141"/>
      <c r="M437" s="126"/>
      <c r="N437" s="127"/>
    </row>
    <row r="438" spans="1:14">
      <c r="A438" s="170">
        <f>_xlfn.XLOOKUP(B438 &amp; "-" &amp; TEXT(C438,"00"),改定!N:N,改定!E:E)</f>
        <v>47634</v>
      </c>
      <c r="B438" s="119" t="s">
        <v>84</v>
      </c>
      <c r="C438" s="124">
        <v>3</v>
      </c>
      <c r="D438" s="234" t="s">
        <v>910</v>
      </c>
      <c r="E438" s="250"/>
      <c r="J438" s="135"/>
      <c r="M438" s="126"/>
      <c r="N438" s="127"/>
    </row>
    <row r="439" spans="1:14">
      <c r="A439" s="170">
        <f>_xlfn.XLOOKUP(B439 &amp; "-" &amp; TEXT(C439,"00"),改定!N:N,改定!E:E)</f>
        <v>47644</v>
      </c>
      <c r="B439" s="119" t="s">
        <v>121</v>
      </c>
      <c r="C439" s="124">
        <v>0</v>
      </c>
      <c r="D439" s="234" t="s">
        <v>117</v>
      </c>
      <c r="E439" s="250"/>
      <c r="J439" s="135"/>
      <c r="L439" s="141"/>
      <c r="M439" s="126"/>
      <c r="N439" s="127"/>
    </row>
    <row r="440" spans="1:14">
      <c r="A440" s="170">
        <f>_xlfn.XLOOKUP(B440 &amp; "-" &amp; TEXT(C440,"00"),改定!N:N,改定!E:E)</f>
        <v>47644</v>
      </c>
      <c r="B440" s="119" t="s">
        <v>121</v>
      </c>
      <c r="C440" s="124">
        <v>0</v>
      </c>
      <c r="D440" s="234" t="s">
        <v>840</v>
      </c>
      <c r="E440" s="250"/>
      <c r="J440" s="135"/>
      <c r="L440" s="141"/>
      <c r="M440" s="126"/>
      <c r="N440" s="127"/>
    </row>
    <row r="441" spans="1:14">
      <c r="A441" s="170">
        <f>_xlfn.XLOOKUP(B441 &amp; "-" &amp; TEXT(C441,"00"),改定!N:N,改定!E:E)</f>
        <v>47644</v>
      </c>
      <c r="B441" s="119" t="s">
        <v>121</v>
      </c>
      <c r="C441" s="124">
        <v>0</v>
      </c>
      <c r="D441" s="234" t="s">
        <v>855</v>
      </c>
      <c r="E441" s="250"/>
      <c r="J441" s="135"/>
      <c r="L441" s="141"/>
      <c r="M441" s="126"/>
      <c r="N441" s="127"/>
    </row>
    <row r="442" spans="1:14">
      <c r="A442" s="170">
        <f>_xlfn.XLOOKUP(B442 &amp; "-" &amp; TEXT(C442,"00"),改定!N:N,改定!E:E)</f>
        <v>47644</v>
      </c>
      <c r="B442" s="119" t="s">
        <v>121</v>
      </c>
      <c r="C442" s="124">
        <v>0</v>
      </c>
      <c r="D442" s="234" t="s">
        <v>548</v>
      </c>
      <c r="E442" s="250"/>
      <c r="J442" s="135"/>
      <c r="M442" s="126"/>
      <c r="N442" s="127"/>
    </row>
    <row r="443" spans="1:14">
      <c r="A443" s="170">
        <f>_xlfn.XLOOKUP(B443 &amp; "-" &amp; TEXT(C443,"00"),改定!N:N,改定!E:E)</f>
        <v>47871</v>
      </c>
      <c r="B443" s="119" t="s">
        <v>203</v>
      </c>
      <c r="C443" s="124">
        <v>1</v>
      </c>
      <c r="D443" s="234" t="s">
        <v>911</v>
      </c>
      <c r="E443" s="250"/>
      <c r="J443" s="135"/>
      <c r="L443" s="130"/>
      <c r="M443" s="126"/>
      <c r="N443" s="127"/>
    </row>
    <row r="444" spans="1:14">
      <c r="A444" s="170">
        <f>_xlfn.XLOOKUP(B444 &amp; "-" &amp; TEXT(C444,"00"),改定!N:N,改定!E:E)</f>
        <v>47974</v>
      </c>
      <c r="B444" s="119" t="s">
        <v>81</v>
      </c>
      <c r="C444" s="124">
        <v>4</v>
      </c>
      <c r="D444" s="234" t="s">
        <v>910</v>
      </c>
      <c r="E444" s="249">
        <v>5530</v>
      </c>
      <c r="F444" s="249">
        <v>5530</v>
      </c>
      <c r="G444" s="128"/>
      <c r="J444" s="135"/>
      <c r="L444" s="130"/>
      <c r="M444" s="126"/>
      <c r="N444" s="127"/>
    </row>
    <row r="445" spans="1:14">
      <c r="A445" s="170">
        <f>_xlfn.XLOOKUP(B445 &amp; "-" &amp; TEXT(C445,"00"),改定!N:N,改定!E:E)</f>
        <v>47975</v>
      </c>
      <c r="B445" s="119" t="s">
        <v>137</v>
      </c>
      <c r="C445" s="124">
        <v>10</v>
      </c>
      <c r="D445" s="234" t="s">
        <v>912</v>
      </c>
      <c r="E445" s="250"/>
      <c r="J445" s="135"/>
      <c r="M445" s="126"/>
      <c r="N445" s="127"/>
    </row>
    <row r="446" spans="1:14">
      <c r="A446" s="170">
        <f>_xlfn.XLOOKUP(B446 &amp; "-" &amp; TEXT(C446,"00"),改定!N:N,改定!E:E)</f>
        <v>47975</v>
      </c>
      <c r="B446" s="119" t="s">
        <v>137</v>
      </c>
      <c r="C446" s="124">
        <v>10</v>
      </c>
      <c r="D446" s="234" t="s">
        <v>913</v>
      </c>
      <c r="E446" s="250"/>
      <c r="J446" s="135"/>
      <c r="M446" s="126"/>
      <c r="N446" s="127"/>
    </row>
    <row r="447" spans="1:14">
      <c r="A447" s="170">
        <f>_xlfn.XLOOKUP(B447 &amp; "-" &amp; TEXT(C447,"00"),改定!N:N,改定!E:E)</f>
        <v>47975</v>
      </c>
      <c r="B447" s="119" t="s">
        <v>137</v>
      </c>
      <c r="C447" s="124">
        <v>10</v>
      </c>
      <c r="D447" s="234" t="s">
        <v>914</v>
      </c>
      <c r="E447" s="250"/>
      <c r="J447" s="135"/>
      <c r="M447" s="126"/>
      <c r="N447" s="127"/>
    </row>
    <row r="448" spans="1:14" ht="40.5" customHeight="1">
      <c r="A448" s="170">
        <f>_xlfn.XLOOKUP(B448 &amp; "-" &amp; TEXT(C448,"00"),改定!N:N,改定!E:E)</f>
        <v>47975</v>
      </c>
      <c r="B448" s="119" t="s">
        <v>137</v>
      </c>
      <c r="C448" s="124">
        <v>10</v>
      </c>
      <c r="D448" s="234" t="s">
        <v>915</v>
      </c>
      <c r="E448" s="249">
        <v>3114</v>
      </c>
      <c r="F448" s="249">
        <v>3148</v>
      </c>
      <c r="G448" s="128"/>
      <c r="H448" s="191" t="s">
        <v>916</v>
      </c>
      <c r="J448" s="135"/>
      <c r="M448" s="126"/>
      <c r="N448" s="127"/>
    </row>
    <row r="449" spans="1:14">
      <c r="A449" s="170">
        <f>_xlfn.XLOOKUP(B449 &amp; "-" &amp; TEXT(C449,"00"),改定!N:N,改定!E:E)</f>
        <v>47975</v>
      </c>
      <c r="B449" s="119" t="s">
        <v>150</v>
      </c>
      <c r="C449" s="124">
        <v>5</v>
      </c>
      <c r="D449" s="234" t="s">
        <v>915</v>
      </c>
      <c r="E449" s="249">
        <v>3114</v>
      </c>
      <c r="F449" s="249">
        <v>3148</v>
      </c>
      <c r="G449" s="128"/>
      <c r="H449" s="191"/>
      <c r="J449" s="135"/>
      <c r="M449" s="126"/>
      <c r="N449" s="127"/>
    </row>
    <row r="450" spans="1:14">
      <c r="A450" s="170">
        <f>_xlfn.XLOOKUP(B450 &amp; "-" &amp; TEXT(C450,"00"),改定!N:N,改定!E:E)</f>
        <v>48000</v>
      </c>
      <c r="B450" s="119" t="s">
        <v>32</v>
      </c>
      <c r="C450" s="124">
        <v>3</v>
      </c>
      <c r="D450" s="234" t="s">
        <v>917</v>
      </c>
      <c r="E450" s="249">
        <v>2940</v>
      </c>
      <c r="F450" s="249">
        <v>2958</v>
      </c>
      <c r="G450" s="128"/>
      <c r="J450" s="135"/>
      <c r="L450" s="125"/>
      <c r="M450" s="126"/>
      <c r="N450" s="127"/>
    </row>
    <row r="451" spans="1:14">
      <c r="A451" s="170">
        <f>_xlfn.XLOOKUP(B451 &amp; "-" &amp; TEXT(C451,"00"),改定!N:N,改定!E:E)</f>
        <v>48000</v>
      </c>
      <c r="B451" s="119" t="s">
        <v>32</v>
      </c>
      <c r="C451" s="124">
        <v>3</v>
      </c>
      <c r="D451" s="234" t="s">
        <v>918</v>
      </c>
      <c r="E451" s="249">
        <v>3142</v>
      </c>
      <c r="F451" s="249">
        <v>3232</v>
      </c>
      <c r="G451" s="128"/>
      <c r="J451" s="135"/>
      <c r="K451" s="142"/>
      <c r="L451" s="123"/>
      <c r="M451" s="123"/>
    </row>
    <row r="452" spans="1:14">
      <c r="A452" s="170">
        <f>_xlfn.XLOOKUP(B452 &amp; "-" &amp; TEXT(C452,"00"),改定!N:N,改定!E:E)</f>
        <v>48070</v>
      </c>
      <c r="B452" s="119" t="s">
        <v>133</v>
      </c>
      <c r="C452" s="124">
        <v>1</v>
      </c>
      <c r="D452" s="234" t="s">
        <v>919</v>
      </c>
      <c r="E452" s="249">
        <v>8</v>
      </c>
      <c r="F452" s="249"/>
      <c r="G452" s="128"/>
      <c r="J452" s="135"/>
      <c r="L452" s="125"/>
      <c r="M452" s="126"/>
      <c r="N452" s="127"/>
    </row>
    <row r="453" spans="1:14">
      <c r="A453" s="170">
        <f>_xlfn.XLOOKUP(B453 &amp; "-" &amp; TEXT(C453,"00"),改定!N:N,改定!E:E)</f>
        <v>48070</v>
      </c>
      <c r="B453" s="119" t="s">
        <v>133</v>
      </c>
      <c r="C453" s="124">
        <v>1</v>
      </c>
      <c r="D453" s="234" t="s">
        <v>920</v>
      </c>
      <c r="E453" s="250"/>
      <c r="J453" s="135"/>
      <c r="L453" s="125"/>
      <c r="M453" s="126"/>
      <c r="N453" s="127"/>
    </row>
    <row r="454" spans="1:14">
      <c r="A454" s="170">
        <f>_xlfn.XLOOKUP(B454 &amp; "-" &amp; TEXT(C454,"00"),改定!N:N,改定!E:E)</f>
        <v>48185</v>
      </c>
      <c r="B454" s="119" t="s">
        <v>37</v>
      </c>
      <c r="C454" s="124">
        <v>0</v>
      </c>
      <c r="D454" s="234" t="s">
        <v>921</v>
      </c>
      <c r="E454" s="250"/>
      <c r="J454" s="135"/>
      <c r="L454" s="125"/>
      <c r="M454" s="126"/>
      <c r="N454" s="127"/>
    </row>
    <row r="455" spans="1:14">
      <c r="A455" s="170">
        <f>_xlfn.XLOOKUP(B455 &amp; "-" &amp; TEXT(C455,"00"),改定!N:N,改定!E:E)</f>
        <v>48255</v>
      </c>
      <c r="B455" s="119" t="s">
        <v>121</v>
      </c>
      <c r="C455" s="124">
        <v>1</v>
      </c>
      <c r="D455" s="234" t="s">
        <v>117</v>
      </c>
      <c r="E455" s="249">
        <v>493</v>
      </c>
      <c r="F455" s="249">
        <v>493</v>
      </c>
      <c r="G455" s="128"/>
      <c r="J455" s="135"/>
      <c r="L455" s="125"/>
      <c r="M455" s="126"/>
      <c r="N455" s="127"/>
    </row>
    <row r="456" spans="1:14">
      <c r="A456" s="170">
        <f>_xlfn.XLOOKUP(B456 &amp; "-" &amp; TEXT(C456,"00"),改定!N:N,改定!E:E)</f>
        <v>48255</v>
      </c>
      <c r="B456" s="119" t="s">
        <v>121</v>
      </c>
      <c r="C456" s="124">
        <v>1</v>
      </c>
      <c r="D456" s="234" t="s">
        <v>840</v>
      </c>
      <c r="E456" s="249">
        <v>116</v>
      </c>
      <c r="F456" s="249">
        <v>116</v>
      </c>
      <c r="G456" s="128"/>
      <c r="J456" s="135"/>
      <c r="L456" s="125"/>
      <c r="M456" s="126"/>
      <c r="N456" s="127"/>
    </row>
    <row r="457" spans="1:14">
      <c r="A457" s="170">
        <f>_xlfn.XLOOKUP(B457 &amp; "-" &amp; TEXT(C457,"00"),改定!N:N,改定!E:E)</f>
        <v>48255</v>
      </c>
      <c r="B457" s="119" t="s">
        <v>121</v>
      </c>
      <c r="C457" s="124">
        <v>1</v>
      </c>
      <c r="D457" s="234" t="s">
        <v>855</v>
      </c>
      <c r="E457" s="249">
        <v>341</v>
      </c>
      <c r="F457" s="249">
        <v>339</v>
      </c>
      <c r="G457" s="128"/>
      <c r="J457" s="135"/>
      <c r="L457" s="125"/>
      <c r="M457" s="126"/>
      <c r="N457" s="127"/>
    </row>
    <row r="458" spans="1:14">
      <c r="A458" s="170">
        <f>_xlfn.XLOOKUP(B458 &amp; "-" &amp; TEXT(C458,"00"),改定!N:N,改定!E:E)</f>
        <v>48255</v>
      </c>
      <c r="B458" s="119" t="s">
        <v>121</v>
      </c>
      <c r="C458" s="124">
        <v>1</v>
      </c>
      <c r="D458" s="234" t="s">
        <v>548</v>
      </c>
      <c r="E458" s="249">
        <v>157</v>
      </c>
      <c r="F458" s="249">
        <v>159</v>
      </c>
      <c r="G458" s="128"/>
      <c r="J458" s="135"/>
      <c r="L458" s="125"/>
      <c r="M458" s="126"/>
      <c r="N458" s="127"/>
    </row>
    <row r="459" spans="1:14">
      <c r="A459" s="170">
        <f>_xlfn.XLOOKUP(B459 &amp; "-" &amp; TEXT(C459,"00"),改定!N:N,改定!E:E)</f>
        <v>48284</v>
      </c>
      <c r="B459" s="119" t="s">
        <v>71</v>
      </c>
      <c r="C459" s="124">
        <v>3</v>
      </c>
      <c r="D459" s="234" t="s">
        <v>923</v>
      </c>
      <c r="E459" s="249">
        <v>110</v>
      </c>
      <c r="F459" s="249">
        <v>111</v>
      </c>
      <c r="G459" s="128"/>
      <c r="J459" s="135"/>
      <c r="L459" s="125"/>
      <c r="M459" s="126"/>
      <c r="N459" s="127"/>
    </row>
    <row r="460" spans="1:14">
      <c r="A460" s="170">
        <f>_xlfn.XLOOKUP(B460 &amp; "-" &amp; TEXT(C460,"00"),改定!N:N,改定!E:E)</f>
        <v>48284</v>
      </c>
      <c r="B460" s="119" t="s">
        <v>71</v>
      </c>
      <c r="C460" s="124">
        <v>3</v>
      </c>
      <c r="D460" s="243" t="s">
        <v>822</v>
      </c>
      <c r="E460" s="249">
        <v>673</v>
      </c>
      <c r="F460" s="249">
        <v>674</v>
      </c>
      <c r="G460" s="128"/>
      <c r="I460" s="142"/>
      <c r="J460" s="135"/>
    </row>
    <row r="461" spans="1:14">
      <c r="A461" s="170">
        <f>_xlfn.XLOOKUP(B461 &amp; "-" &amp; TEXT(C461,"00"),改定!N:N,改定!E:E)</f>
        <v>48495</v>
      </c>
      <c r="B461" s="119" t="s">
        <v>123</v>
      </c>
      <c r="C461" s="124">
        <v>0</v>
      </c>
      <c r="D461" s="234" t="s">
        <v>117</v>
      </c>
      <c r="E461" s="249">
        <v>515</v>
      </c>
      <c r="F461" s="249">
        <v>515</v>
      </c>
      <c r="G461" s="128"/>
      <c r="I461" s="142"/>
      <c r="J461" s="135"/>
      <c r="K461" s="142"/>
      <c r="L461" s="123"/>
      <c r="M461" s="123"/>
    </row>
    <row r="462" spans="1:14">
      <c r="A462" s="170">
        <f>_xlfn.XLOOKUP(B462 &amp; "-" &amp; TEXT(C462,"00"),改定!N:N,改定!E:E)</f>
        <v>48495</v>
      </c>
      <c r="B462" s="119" t="s">
        <v>123</v>
      </c>
      <c r="C462" s="124">
        <v>0</v>
      </c>
      <c r="D462" s="234" t="s">
        <v>840</v>
      </c>
      <c r="E462" s="249">
        <v>139</v>
      </c>
      <c r="F462" s="249">
        <v>139</v>
      </c>
      <c r="G462" s="128"/>
      <c r="I462" s="142"/>
      <c r="J462" s="135"/>
    </row>
    <row r="463" spans="1:14">
      <c r="A463" s="170">
        <f>_xlfn.XLOOKUP(B463 &amp; "-" &amp; TEXT(C463,"00"),改定!N:N,改定!E:E)</f>
        <v>48495</v>
      </c>
      <c r="B463" s="119" t="s">
        <v>123</v>
      </c>
      <c r="C463" s="124">
        <v>0</v>
      </c>
      <c r="D463" s="234" t="s">
        <v>855</v>
      </c>
      <c r="E463" s="249">
        <v>372</v>
      </c>
      <c r="F463" s="249">
        <v>372</v>
      </c>
      <c r="G463" s="128"/>
      <c r="I463" s="142"/>
      <c r="J463" s="135"/>
    </row>
    <row r="464" spans="1:14">
      <c r="A464" s="170">
        <f>_xlfn.XLOOKUP(B464 &amp; "-" &amp; TEXT(C464,"00"),改定!N:N,改定!E:E)</f>
        <v>48495</v>
      </c>
      <c r="B464" s="119" t="s">
        <v>123</v>
      </c>
      <c r="C464" s="124">
        <v>0</v>
      </c>
      <c r="D464" s="234" t="s">
        <v>548</v>
      </c>
      <c r="E464" s="249">
        <v>193</v>
      </c>
      <c r="F464" s="249">
        <v>193</v>
      </c>
      <c r="G464" s="128"/>
      <c r="I464" s="142"/>
      <c r="J464" s="135"/>
    </row>
    <row r="465" spans="1:14">
      <c r="A465" s="170">
        <f>_xlfn.XLOOKUP(B465 &amp; "-" &amp; TEXT(C465,"00"),改定!N:N,改定!E:E)</f>
        <v>48542</v>
      </c>
      <c r="B465" s="119" t="s">
        <v>123</v>
      </c>
      <c r="C465" s="124">
        <v>1</v>
      </c>
      <c r="D465" s="234" t="s">
        <v>117</v>
      </c>
      <c r="E465" s="249">
        <v>514</v>
      </c>
      <c r="F465" s="249">
        <v>514</v>
      </c>
      <c r="G465" s="128"/>
      <c r="I465" s="142"/>
      <c r="J465" s="135"/>
    </row>
    <row r="466" spans="1:14">
      <c r="A466" s="170">
        <f>_xlfn.XLOOKUP(B466 &amp; "-" &amp; TEXT(C466,"00"),改定!N:N,改定!E:E)</f>
        <v>48542</v>
      </c>
      <c r="B466" s="119" t="s">
        <v>123</v>
      </c>
      <c r="C466" s="124">
        <v>1</v>
      </c>
      <c r="D466" s="234" t="s">
        <v>840</v>
      </c>
      <c r="E466" s="249">
        <v>139</v>
      </c>
      <c r="F466" s="249">
        <v>139</v>
      </c>
      <c r="G466" s="128"/>
      <c r="I466" s="142"/>
      <c r="J466" s="135"/>
      <c r="K466" s="142"/>
      <c r="L466" s="123"/>
      <c r="M466" s="123"/>
    </row>
    <row r="467" spans="1:14">
      <c r="A467" s="170">
        <f>_xlfn.XLOOKUP(B467 &amp; "-" &amp; TEXT(C467,"00"),改定!N:N,改定!E:E)</f>
        <v>48542</v>
      </c>
      <c r="B467" s="119" t="s">
        <v>123</v>
      </c>
      <c r="C467" s="124">
        <v>1</v>
      </c>
      <c r="D467" s="234" t="s">
        <v>855</v>
      </c>
      <c r="E467" s="249">
        <v>372</v>
      </c>
      <c r="F467" s="249">
        <v>372</v>
      </c>
      <c r="G467" s="128"/>
      <c r="I467" s="142"/>
      <c r="J467" s="135"/>
    </row>
    <row r="468" spans="1:14">
      <c r="A468" s="170">
        <f>_xlfn.XLOOKUP(B468 &amp; "-" &amp; TEXT(C468,"00"),改定!N:N,改定!E:E)</f>
        <v>48542</v>
      </c>
      <c r="B468" s="119" t="s">
        <v>123</v>
      </c>
      <c r="C468" s="124">
        <v>1</v>
      </c>
      <c r="D468" s="234" t="s">
        <v>548</v>
      </c>
      <c r="E468" s="249">
        <v>193</v>
      </c>
      <c r="F468" s="249">
        <v>193</v>
      </c>
      <c r="G468" s="128"/>
    </row>
    <row r="469" spans="1:14">
      <c r="A469" s="170">
        <f>_xlfn.XLOOKUP(B469 &amp; "-" &amp; TEXT(C469,"00"),改定!N:N,改定!E:E)</f>
        <v>48569</v>
      </c>
      <c r="B469" s="119" t="s">
        <v>163</v>
      </c>
      <c r="C469" s="124">
        <v>0</v>
      </c>
      <c r="D469" s="234" t="s">
        <v>925</v>
      </c>
      <c r="K469" s="142"/>
      <c r="L469" s="123"/>
      <c r="M469" s="123"/>
    </row>
    <row r="470" spans="1:14">
      <c r="A470" s="170">
        <f>_xlfn.XLOOKUP(B470 &amp; "-" &amp; TEXT(C470,"00"),改定!N:N,改定!E:E)</f>
        <v>48569</v>
      </c>
      <c r="B470" s="119" t="s">
        <v>163</v>
      </c>
      <c r="C470" s="124">
        <v>0</v>
      </c>
      <c r="D470" s="234" t="s">
        <v>926</v>
      </c>
      <c r="I470" s="142"/>
      <c r="J470" s="135"/>
    </row>
    <row r="471" spans="1:14">
      <c r="A471" s="170">
        <f>_xlfn.XLOOKUP(B471 &amp; "-" &amp; TEXT(C471,"00"),改定!N:N,改定!E:E)</f>
        <v>48593</v>
      </c>
      <c r="B471" s="119" t="s">
        <v>125</v>
      </c>
      <c r="C471" s="124">
        <v>0</v>
      </c>
      <c r="D471" s="234" t="s">
        <v>117</v>
      </c>
      <c r="E471" s="249">
        <v>525</v>
      </c>
      <c r="F471" s="249">
        <v>525</v>
      </c>
      <c r="G471" s="128"/>
    </row>
    <row r="472" spans="1:14">
      <c r="A472" s="170">
        <f>_xlfn.XLOOKUP(B472 &amp; "-" &amp; TEXT(C472,"00"),改定!N:N,改定!E:E)</f>
        <v>48593</v>
      </c>
      <c r="B472" s="119" t="s">
        <v>125</v>
      </c>
      <c r="C472" s="124">
        <v>0</v>
      </c>
      <c r="D472" s="234" t="s">
        <v>840</v>
      </c>
      <c r="E472" s="249">
        <v>142</v>
      </c>
      <c r="F472" s="249">
        <v>142</v>
      </c>
      <c r="G472" s="128"/>
      <c r="K472" s="142"/>
      <c r="L472" s="140"/>
      <c r="M472" s="123"/>
    </row>
    <row r="473" spans="1:14">
      <c r="A473" s="170">
        <f>_xlfn.XLOOKUP(B473 &amp; "-" &amp; TEXT(C473,"00"),改定!N:N,改定!E:E)</f>
        <v>48593</v>
      </c>
      <c r="B473" s="119" t="s">
        <v>125</v>
      </c>
      <c r="C473" s="124">
        <v>0</v>
      </c>
      <c r="D473" s="234" t="s">
        <v>855</v>
      </c>
      <c r="E473" s="249">
        <v>389</v>
      </c>
      <c r="F473" s="249">
        <v>389</v>
      </c>
      <c r="G473" s="128"/>
    </row>
    <row r="474" spans="1:14">
      <c r="A474" s="170">
        <f>_xlfn.XLOOKUP(B474 &amp; "-" &amp; TEXT(C474,"00"),改定!N:N,改定!E:E)</f>
        <v>48593</v>
      </c>
      <c r="B474" s="119" t="s">
        <v>125</v>
      </c>
      <c r="C474" s="124">
        <v>0</v>
      </c>
      <c r="D474" s="234" t="s">
        <v>548</v>
      </c>
      <c r="E474" s="249">
        <v>201</v>
      </c>
      <c r="F474" s="249">
        <v>201</v>
      </c>
      <c r="G474" s="128"/>
      <c r="I474" s="142"/>
      <c r="J474" s="135"/>
      <c r="N474" s="122"/>
    </row>
    <row r="475" spans="1:14">
      <c r="A475" s="170">
        <f>_xlfn.XLOOKUP(B475 &amp; "-" &amp; TEXT(C475,"00"),改定!N:N,改定!E:E)</f>
        <v>48702</v>
      </c>
      <c r="B475" s="119" t="s">
        <v>155</v>
      </c>
      <c r="C475" s="124">
        <v>1</v>
      </c>
      <c r="D475" s="234" t="s">
        <v>927</v>
      </c>
      <c r="E475" s="249">
        <v>845</v>
      </c>
      <c r="F475" s="249">
        <v>845</v>
      </c>
      <c r="G475" s="128"/>
      <c r="I475" s="142"/>
      <c r="J475" s="135"/>
    </row>
    <row r="476" spans="1:14">
      <c r="A476" s="170">
        <f>_xlfn.XLOOKUP(B476 &amp; "-" &amp; TEXT(C476,"00"),改定!N:N,改定!E:E)</f>
        <v>48702</v>
      </c>
      <c r="B476" s="119" t="s">
        <v>155</v>
      </c>
      <c r="C476" s="124">
        <v>1</v>
      </c>
      <c r="D476" s="234" t="s">
        <v>928</v>
      </c>
      <c r="I476" s="142"/>
      <c r="J476" s="135"/>
    </row>
    <row r="477" spans="1:14">
      <c r="A477" s="170">
        <f>_xlfn.XLOOKUP(B477 &amp; "-" &amp; TEXT(C477,"00"),改定!N:N,改定!E:E)</f>
        <v>48731</v>
      </c>
      <c r="B477" s="119" t="s">
        <v>25</v>
      </c>
      <c r="C477" s="124">
        <v>0</v>
      </c>
      <c r="D477" s="234" t="s">
        <v>929</v>
      </c>
      <c r="I477" s="142"/>
      <c r="J477" s="135"/>
    </row>
    <row r="478" spans="1:14">
      <c r="A478" s="170">
        <f>_xlfn.XLOOKUP(B478 &amp; "-" &amp; TEXT(C478,"00"),改定!N:N,改定!E:E)</f>
        <v>48741</v>
      </c>
      <c r="B478" s="119" t="s">
        <v>81</v>
      </c>
      <c r="C478" s="124">
        <v>5</v>
      </c>
      <c r="D478" s="234" t="s">
        <v>908</v>
      </c>
      <c r="E478" s="249">
        <v>6160</v>
      </c>
      <c r="F478" s="249">
        <v>6160</v>
      </c>
      <c r="G478" s="128"/>
      <c r="I478" s="142"/>
      <c r="J478" s="135"/>
      <c r="N478" s="122"/>
    </row>
    <row r="479" spans="1:14">
      <c r="A479" s="170">
        <f>_xlfn.XLOOKUP(B479 &amp; "-" &amp; TEXT(C479,"00"),改定!N:N,改定!E:E)</f>
        <v>48774</v>
      </c>
      <c r="B479" s="119" t="s">
        <v>218</v>
      </c>
      <c r="C479" s="124">
        <v>10</v>
      </c>
      <c r="D479" s="234" t="s">
        <v>930</v>
      </c>
      <c r="I479" s="142"/>
      <c r="J479" s="135"/>
      <c r="K479" s="142"/>
      <c r="L479" s="140"/>
      <c r="M479" s="123"/>
    </row>
    <row r="480" spans="1:14" ht="55.5" customHeight="1">
      <c r="A480" s="170">
        <f>_xlfn.XLOOKUP(B480 &amp; "-" &amp; TEXT(C480,"00"),改定!N:N,改定!E:E)</f>
        <v>48774</v>
      </c>
      <c r="B480" s="119" t="s">
        <v>218</v>
      </c>
      <c r="C480" s="124">
        <v>10</v>
      </c>
      <c r="D480" s="234" t="s">
        <v>931</v>
      </c>
      <c r="E480" s="249">
        <v>1701</v>
      </c>
      <c r="F480" s="249">
        <v>1701</v>
      </c>
      <c r="G480" s="128"/>
      <c r="H480" s="150" t="s">
        <v>933</v>
      </c>
      <c r="I480" s="143"/>
      <c r="J480" s="135"/>
    </row>
    <row r="481" spans="1:13" ht="40.5">
      <c r="A481" s="170">
        <f>_xlfn.XLOOKUP(B481 &amp; "-" &amp; TEXT(C481,"00"),改定!N:N,改定!E:E)</f>
        <v>48774</v>
      </c>
      <c r="B481" s="119" t="s">
        <v>218</v>
      </c>
      <c r="C481" s="124">
        <v>10</v>
      </c>
      <c r="D481" s="234" t="s">
        <v>932</v>
      </c>
      <c r="E481" s="249">
        <v>1380</v>
      </c>
      <c r="F481" s="249">
        <v>1380</v>
      </c>
      <c r="G481" s="128"/>
      <c r="H481" s="150" t="s">
        <v>933</v>
      </c>
    </row>
    <row r="482" spans="1:13">
      <c r="A482" s="170">
        <f>_xlfn.XLOOKUP(B482 &amp; "-" &amp; TEXT(C482,"00"),改定!N:N,改定!E:E)</f>
        <v>48774</v>
      </c>
      <c r="B482" s="119" t="s">
        <v>220</v>
      </c>
      <c r="C482" s="124">
        <v>7</v>
      </c>
      <c r="D482" s="234" t="s">
        <v>930</v>
      </c>
    </row>
    <row r="483" spans="1:13" ht="40.5">
      <c r="A483" s="170">
        <f>_xlfn.XLOOKUP(B483 &amp; "-" &amp; TEXT(C483,"00"),改定!N:N,改定!E:E)</f>
        <v>48774</v>
      </c>
      <c r="B483" s="119" t="s">
        <v>220</v>
      </c>
      <c r="C483" s="124">
        <v>7</v>
      </c>
      <c r="D483" s="234" t="s">
        <v>931</v>
      </c>
      <c r="E483" s="249">
        <v>1701</v>
      </c>
      <c r="F483" s="249">
        <v>1701</v>
      </c>
      <c r="G483" s="128"/>
      <c r="H483" s="150" t="s">
        <v>933</v>
      </c>
      <c r="I483" s="143"/>
      <c r="J483" s="135"/>
      <c r="K483" s="142"/>
      <c r="L483" s="140"/>
      <c r="M483" s="123"/>
    </row>
    <row r="484" spans="1:13" ht="40.5">
      <c r="A484" s="170">
        <f>_xlfn.XLOOKUP(B484 &amp; "-" &amp; TEXT(C484,"00"),改定!N:N,改定!E:E)</f>
        <v>48774</v>
      </c>
      <c r="B484" s="119" t="s">
        <v>220</v>
      </c>
      <c r="C484" s="124">
        <v>7</v>
      </c>
      <c r="D484" s="234" t="s">
        <v>932</v>
      </c>
      <c r="E484" s="249">
        <v>1380</v>
      </c>
      <c r="F484" s="249">
        <v>1380</v>
      </c>
      <c r="G484" s="128"/>
      <c r="H484" s="150" t="s">
        <v>933</v>
      </c>
      <c r="I484" s="143"/>
      <c r="J484" s="135"/>
      <c r="K484" s="142"/>
      <c r="L484" s="140"/>
      <c r="M484" s="123"/>
    </row>
    <row r="485" spans="1:13">
      <c r="A485" s="170">
        <f>_xlfn.XLOOKUP(B485 &amp; "-" &amp; TEXT(C485,"00"),改定!N:N,改定!E:E)</f>
        <v>48878</v>
      </c>
      <c r="B485" s="119" t="s">
        <v>140</v>
      </c>
      <c r="C485" s="124">
        <v>0</v>
      </c>
      <c r="D485" s="234" t="s">
        <v>912</v>
      </c>
      <c r="H485" s="152"/>
      <c r="I485" s="143"/>
      <c r="J485" s="135"/>
      <c r="K485" s="142"/>
      <c r="L485" s="140"/>
      <c r="M485" s="123"/>
    </row>
    <row r="486" spans="1:13">
      <c r="A486" s="170">
        <f>_xlfn.XLOOKUP(B486 &amp; "-" &amp; TEXT(C486,"00"),改定!N:N,改定!E:E)</f>
        <v>48878</v>
      </c>
      <c r="B486" s="119" t="s">
        <v>140</v>
      </c>
      <c r="C486" s="124">
        <v>0</v>
      </c>
      <c r="D486" s="234" t="s">
        <v>934</v>
      </c>
      <c r="H486" s="152"/>
      <c r="I486" s="143"/>
      <c r="J486" s="135"/>
    </row>
    <row r="487" spans="1:13">
      <c r="A487" s="170">
        <f>_xlfn.XLOOKUP(B487 &amp; "-" &amp; TEXT(C487,"00"),改定!N:N,改定!E:E)</f>
        <v>48878</v>
      </c>
      <c r="B487" s="119" t="s">
        <v>140</v>
      </c>
      <c r="C487" s="124">
        <v>0</v>
      </c>
      <c r="D487" s="234" t="s">
        <v>914</v>
      </c>
      <c r="H487" s="152"/>
      <c r="I487" s="143"/>
      <c r="J487" s="135"/>
      <c r="K487" s="142"/>
      <c r="L487" s="140"/>
      <c r="M487" s="123"/>
    </row>
    <row r="488" spans="1:13">
      <c r="A488" s="170">
        <f>_xlfn.XLOOKUP(B488 &amp; "-" &amp; TEXT(C488,"00"),改定!N:N,改定!E:E)</f>
        <v>48878</v>
      </c>
      <c r="B488" s="119" t="s">
        <v>140</v>
      </c>
      <c r="C488" s="124">
        <v>0</v>
      </c>
      <c r="D488" s="234" t="s">
        <v>915</v>
      </c>
      <c r="E488" s="249">
        <v>3816</v>
      </c>
      <c r="F488" s="249">
        <v>3816</v>
      </c>
      <c r="G488" s="128"/>
      <c r="H488" s="152"/>
      <c r="I488" s="143"/>
      <c r="J488" s="135"/>
      <c r="K488" s="142"/>
      <c r="L488" s="140"/>
      <c r="M488" s="123"/>
    </row>
    <row r="489" spans="1:13">
      <c r="A489" s="170">
        <f>_xlfn.XLOOKUP(B489 &amp; "-" &amp; TEXT(C489,"00"),改定!N:N,改定!E:E)</f>
        <v>49039</v>
      </c>
      <c r="B489" s="119" t="s">
        <v>100</v>
      </c>
      <c r="C489" s="124">
        <v>0</v>
      </c>
      <c r="D489" s="234" t="s">
        <v>935</v>
      </c>
      <c r="E489" s="249">
        <v>1</v>
      </c>
      <c r="F489" s="249">
        <v>1</v>
      </c>
      <c r="G489" s="128"/>
      <c r="H489" s="152"/>
      <c r="I489" s="143"/>
      <c r="J489" s="135"/>
      <c r="K489" s="142"/>
      <c r="L489" s="140"/>
      <c r="M489" s="123"/>
    </row>
    <row r="490" spans="1:13">
      <c r="A490" s="170">
        <f>_xlfn.XLOOKUP(B490 &amp; "-" &amp; TEXT(C490,"00"),改定!N:N,改定!E:E)</f>
        <v>49061</v>
      </c>
      <c r="B490" s="119" t="s">
        <v>208</v>
      </c>
      <c r="C490" s="124">
        <v>0</v>
      </c>
      <c r="D490" s="234" t="s">
        <v>936</v>
      </c>
      <c r="H490" s="152"/>
      <c r="I490" s="143"/>
      <c r="J490" s="135"/>
    </row>
    <row r="491" spans="1:13">
      <c r="A491" s="170">
        <f>_xlfn.XLOOKUP(B491 &amp; "-" &amp; TEXT(C491,"00"),改定!N:N,改定!E:E)</f>
        <v>49061</v>
      </c>
      <c r="B491" s="119" t="s">
        <v>208</v>
      </c>
      <c r="C491" s="124">
        <v>0</v>
      </c>
      <c r="D491" s="234" t="s">
        <v>937</v>
      </c>
      <c r="H491" s="152"/>
      <c r="I491" s="143"/>
      <c r="K491" s="142"/>
      <c r="L491" s="140"/>
      <c r="M491" s="123"/>
    </row>
    <row r="492" spans="1:13" ht="40.5">
      <c r="A492" s="170">
        <f>_xlfn.XLOOKUP(B492 &amp; "-" &amp; TEXT(C492,"00"),改定!N:N,改定!E:E)</f>
        <v>49074</v>
      </c>
      <c r="B492" s="119" t="s">
        <v>19</v>
      </c>
      <c r="C492" s="124">
        <v>0</v>
      </c>
      <c r="D492" s="236" t="s">
        <v>510</v>
      </c>
      <c r="E492" s="249">
        <v>7120</v>
      </c>
      <c r="F492" s="249">
        <v>7120</v>
      </c>
      <c r="G492" s="128"/>
      <c r="H492" s="150" t="s">
        <v>952</v>
      </c>
      <c r="J492" s="135"/>
    </row>
    <row r="493" spans="1:13" ht="40.5">
      <c r="A493" s="170">
        <f>_xlfn.XLOOKUP(B493 &amp; "-" &amp; TEXT(C493,"00"),改定!N:N,改定!E:E)</f>
        <v>49074</v>
      </c>
      <c r="B493" s="119" t="s">
        <v>19</v>
      </c>
      <c r="C493" s="124">
        <v>0</v>
      </c>
      <c r="D493" s="234" t="s">
        <v>938</v>
      </c>
      <c r="E493" s="249">
        <v>1564</v>
      </c>
      <c r="F493" s="249">
        <v>1564</v>
      </c>
      <c r="G493" s="128"/>
      <c r="H493" s="150" t="s">
        <v>952</v>
      </c>
    </row>
    <row r="494" spans="1:13" ht="40.5">
      <c r="A494" s="170">
        <f>_xlfn.XLOOKUP(B494 &amp; "-" &amp; TEXT(C494,"00"),改定!N:N,改定!E:E)</f>
        <v>49074</v>
      </c>
      <c r="B494" s="119" t="s">
        <v>19</v>
      </c>
      <c r="C494" s="124">
        <v>0</v>
      </c>
      <c r="D494" s="234" t="s">
        <v>934</v>
      </c>
      <c r="E494" s="249">
        <v>5588</v>
      </c>
      <c r="F494" s="249">
        <v>5597</v>
      </c>
      <c r="G494" s="128"/>
      <c r="H494" s="150" t="s">
        <v>952</v>
      </c>
    </row>
    <row r="495" spans="1:13" ht="40.5">
      <c r="A495" s="170">
        <f>_xlfn.XLOOKUP(B495 &amp; "-" &amp; TEXT(C495,"00"),改定!N:N,改定!E:E)</f>
        <v>49074</v>
      </c>
      <c r="B495" s="119" t="s">
        <v>19</v>
      </c>
      <c r="C495" s="124">
        <v>0</v>
      </c>
      <c r="D495" s="234" t="s">
        <v>927</v>
      </c>
      <c r="E495" s="249">
        <v>938</v>
      </c>
      <c r="F495" s="249">
        <v>941</v>
      </c>
      <c r="G495" s="128"/>
      <c r="H495" s="150" t="s">
        <v>952</v>
      </c>
    </row>
    <row r="496" spans="1:13" ht="40.5">
      <c r="A496" s="170">
        <f>_xlfn.XLOOKUP(B496 &amp; "-" &amp; TEXT(C496,"00"),改定!N:N,改定!E:E)</f>
        <v>49074</v>
      </c>
      <c r="B496" s="119" t="s">
        <v>19</v>
      </c>
      <c r="C496" s="124">
        <v>0</v>
      </c>
      <c r="D496" s="234" t="s">
        <v>939</v>
      </c>
      <c r="E496" s="249">
        <v>4337</v>
      </c>
      <c r="F496" s="249">
        <v>4337</v>
      </c>
      <c r="G496" s="128"/>
      <c r="H496" s="150" t="s">
        <v>952</v>
      </c>
    </row>
    <row r="497" spans="1:8" ht="40.5">
      <c r="A497" s="170">
        <f>_xlfn.XLOOKUP(B497 &amp; "-" &amp; TEXT(C497,"00"),改定!N:N,改定!E:E)</f>
        <v>49074</v>
      </c>
      <c r="B497" s="119" t="s">
        <v>19</v>
      </c>
      <c r="C497" s="124">
        <v>0</v>
      </c>
      <c r="D497" s="234" t="s">
        <v>951</v>
      </c>
      <c r="E497" s="249">
        <v>1701</v>
      </c>
      <c r="F497" s="249">
        <v>1704</v>
      </c>
      <c r="G497" s="128"/>
      <c r="H497" s="150" t="s">
        <v>952</v>
      </c>
    </row>
    <row r="498" spans="1:8" ht="40.5">
      <c r="A498" s="170">
        <f>_xlfn.XLOOKUP(B498 &amp; "-" &amp; TEXT(C498,"00"),改定!N:N,改定!E:E)</f>
        <v>49074</v>
      </c>
      <c r="B498" s="119" t="s">
        <v>19</v>
      </c>
      <c r="C498" s="124">
        <v>0</v>
      </c>
      <c r="D498" s="234" t="s">
        <v>940</v>
      </c>
      <c r="E498" s="249">
        <v>21</v>
      </c>
      <c r="F498" s="249">
        <v>21</v>
      </c>
      <c r="G498" s="128"/>
      <c r="H498" s="150" t="s">
        <v>952</v>
      </c>
    </row>
    <row r="499" spans="1:8">
      <c r="A499" s="170">
        <f>_xlfn.XLOOKUP(B499 &amp; "-" &amp; TEXT(C499,"00"),改定!N:N,改定!E:E)</f>
        <v>49074</v>
      </c>
      <c r="B499" s="119" t="s">
        <v>19</v>
      </c>
      <c r="C499" s="124">
        <v>0</v>
      </c>
      <c r="D499" s="234" t="s">
        <v>941</v>
      </c>
    </row>
    <row r="500" spans="1:8" ht="40.5">
      <c r="A500" s="170">
        <f>_xlfn.XLOOKUP(B500 &amp; "-" &amp; TEXT(C500,"00"),改定!N:N,改定!E:E)</f>
        <v>49074</v>
      </c>
      <c r="B500" s="119" t="s">
        <v>19</v>
      </c>
      <c r="C500" s="124">
        <v>0</v>
      </c>
      <c r="D500" s="234" t="s">
        <v>917</v>
      </c>
      <c r="E500" s="249">
        <v>3612</v>
      </c>
      <c r="F500" s="249">
        <v>3612</v>
      </c>
      <c r="G500" s="128"/>
      <c r="H500" s="150" t="s">
        <v>952</v>
      </c>
    </row>
    <row r="501" spans="1:8" ht="40.5">
      <c r="A501" s="170">
        <f>_xlfn.XLOOKUP(B501 &amp; "-" &amp; TEXT(C501,"00"),改定!N:N,改定!E:E)</f>
        <v>49074</v>
      </c>
      <c r="B501" s="119" t="s">
        <v>19</v>
      </c>
      <c r="C501" s="124">
        <v>0</v>
      </c>
      <c r="D501" s="234" t="s">
        <v>915</v>
      </c>
      <c r="E501" s="249">
        <v>3816</v>
      </c>
      <c r="F501" s="249">
        <v>3816</v>
      </c>
      <c r="G501" s="128"/>
      <c r="H501" s="150" t="s">
        <v>952</v>
      </c>
    </row>
    <row r="502" spans="1:8" ht="40.5">
      <c r="A502" s="170">
        <f>_xlfn.XLOOKUP(B502 &amp; "-" &amp; TEXT(C502,"00"),改定!N:N,改定!E:E)</f>
        <v>49074</v>
      </c>
      <c r="B502" s="119" t="s">
        <v>19</v>
      </c>
      <c r="C502" s="124">
        <v>0</v>
      </c>
      <c r="D502" s="234" t="s">
        <v>942</v>
      </c>
      <c r="E502" s="249">
        <v>1377</v>
      </c>
      <c r="F502" s="249">
        <v>1377</v>
      </c>
      <c r="G502" s="128"/>
      <c r="H502" s="150" t="s">
        <v>952</v>
      </c>
    </row>
    <row r="503" spans="1:8">
      <c r="A503" s="170">
        <f>_xlfn.XLOOKUP(B503 &amp; "-" &amp; TEXT(C503,"00"),改定!N:N,改定!E:E)</f>
        <v>49074</v>
      </c>
      <c r="B503" s="119" t="s">
        <v>19</v>
      </c>
      <c r="C503" s="124">
        <v>0</v>
      </c>
      <c r="D503" s="234" t="s">
        <v>943</v>
      </c>
    </row>
    <row r="504" spans="1:8" ht="40.5">
      <c r="A504" s="170">
        <f>_xlfn.XLOOKUP(B504 &amp; "-" &amp; TEXT(C504,"00"),改定!N:N,改定!E:E)</f>
        <v>49074</v>
      </c>
      <c r="B504" s="119" t="s">
        <v>19</v>
      </c>
      <c r="C504" s="124">
        <v>0</v>
      </c>
      <c r="D504" s="234" t="s">
        <v>944</v>
      </c>
      <c r="E504" s="249">
        <v>1746</v>
      </c>
      <c r="F504" s="249">
        <v>1746</v>
      </c>
      <c r="G504" s="128"/>
      <c r="H504" s="150" t="s">
        <v>952</v>
      </c>
    </row>
    <row r="505" spans="1:8" ht="40.5">
      <c r="A505" s="170">
        <f>_xlfn.XLOOKUP(B505 &amp; "-" &amp; TEXT(C505,"00"),改定!N:N,改定!E:E)</f>
        <v>49074</v>
      </c>
      <c r="B505" s="119" t="s">
        <v>19</v>
      </c>
      <c r="C505" s="124">
        <v>0</v>
      </c>
      <c r="D505" s="234" t="s">
        <v>931</v>
      </c>
      <c r="E505" s="249">
        <v>2049</v>
      </c>
      <c r="F505" s="249">
        <v>2049</v>
      </c>
      <c r="G505" s="128"/>
      <c r="H505" s="150" t="s">
        <v>952</v>
      </c>
    </row>
    <row r="506" spans="1:8" ht="40.5">
      <c r="A506" s="170">
        <f>_xlfn.XLOOKUP(B506 &amp; "-" &amp; TEXT(C506,"00"),改定!N:N,改定!E:E)</f>
        <v>49074</v>
      </c>
      <c r="B506" s="119" t="s">
        <v>19</v>
      </c>
      <c r="C506" s="124">
        <v>0</v>
      </c>
      <c r="D506" s="234" t="s">
        <v>945</v>
      </c>
      <c r="E506" s="249">
        <v>2545</v>
      </c>
      <c r="F506" s="249">
        <v>2545</v>
      </c>
      <c r="G506" s="128"/>
      <c r="H506" s="150" t="s">
        <v>952</v>
      </c>
    </row>
    <row r="507" spans="1:8" ht="40.5">
      <c r="A507" s="170">
        <f>_xlfn.XLOOKUP(B507 &amp; "-" &amp; TEXT(C507,"00"),改定!N:N,改定!E:E)</f>
        <v>49074</v>
      </c>
      <c r="B507" s="119" t="s">
        <v>21</v>
      </c>
      <c r="C507" s="124">
        <v>0</v>
      </c>
      <c r="D507" s="234" t="s">
        <v>908</v>
      </c>
      <c r="E507" s="249">
        <v>7120</v>
      </c>
      <c r="F507" s="249">
        <v>7120</v>
      </c>
      <c r="G507" s="128"/>
      <c r="H507" s="150" t="s">
        <v>952</v>
      </c>
    </row>
    <row r="508" spans="1:8" ht="40.5">
      <c r="A508" s="170">
        <f>_xlfn.XLOOKUP(B508 &amp; "-" &amp; TEXT(C508,"00"),改定!N:N,改定!E:E)</f>
        <v>49074</v>
      </c>
      <c r="B508" s="119" t="s">
        <v>21</v>
      </c>
      <c r="C508" s="124">
        <v>0</v>
      </c>
      <c r="D508" s="234" t="s">
        <v>946</v>
      </c>
      <c r="E508" s="249">
        <v>1366</v>
      </c>
      <c r="F508" s="249">
        <v>1366</v>
      </c>
      <c r="G508" s="128"/>
      <c r="H508" s="150" t="s">
        <v>952</v>
      </c>
    </row>
    <row r="509" spans="1:8">
      <c r="A509" s="170">
        <f>_xlfn.XLOOKUP(B509 &amp; "-" &amp; TEXT(C509,"00"),改定!N:N,改定!E:E)</f>
        <v>49074</v>
      </c>
      <c r="B509" s="119" t="s">
        <v>21</v>
      </c>
      <c r="C509" s="124">
        <v>0</v>
      </c>
      <c r="D509" s="234" t="s">
        <v>935</v>
      </c>
    </row>
    <row r="510" spans="1:8" ht="40.5">
      <c r="A510" s="170">
        <f>_xlfn.XLOOKUP(B510 &amp; "-" &amp; TEXT(C510,"00"),改定!N:N,改定!E:E)</f>
        <v>49074</v>
      </c>
      <c r="B510" s="119" t="s">
        <v>21</v>
      </c>
      <c r="C510" s="124">
        <v>0</v>
      </c>
      <c r="D510" s="234" t="s">
        <v>938</v>
      </c>
      <c r="E510" s="249">
        <v>1564</v>
      </c>
      <c r="F510" s="249">
        <v>1564</v>
      </c>
      <c r="G510" s="128"/>
      <c r="H510" s="150" t="s">
        <v>952</v>
      </c>
    </row>
    <row r="511" spans="1:8">
      <c r="A511" s="170">
        <f>_xlfn.XLOOKUP(B511 &amp; "-" &amp; TEXT(C511,"00"),改定!N:N,改定!E:E)</f>
        <v>49074</v>
      </c>
      <c r="B511" s="119" t="s">
        <v>21</v>
      </c>
      <c r="C511" s="124">
        <v>0</v>
      </c>
      <c r="D511" s="234" t="s">
        <v>947</v>
      </c>
    </row>
    <row r="512" spans="1:8" ht="40.5">
      <c r="A512" s="170">
        <f>_xlfn.XLOOKUP(B512 &amp; "-" &amp; TEXT(C512,"00"),改定!N:N,改定!E:E)</f>
        <v>49074</v>
      </c>
      <c r="B512" s="119" t="s">
        <v>21</v>
      </c>
      <c r="C512" s="124">
        <v>0</v>
      </c>
      <c r="D512" s="234" t="s">
        <v>915</v>
      </c>
      <c r="E512" s="249">
        <v>3816</v>
      </c>
      <c r="F512" s="249">
        <v>3816</v>
      </c>
      <c r="G512" s="128"/>
      <c r="H512" s="150" t="s">
        <v>952</v>
      </c>
    </row>
    <row r="513" spans="1:8" ht="40.5">
      <c r="A513" s="170">
        <f>_xlfn.XLOOKUP(B513 &amp; "-" &amp; TEXT(C513,"00"),改定!N:N,改定!E:E)</f>
        <v>49074</v>
      </c>
      <c r="B513" s="119" t="s">
        <v>21</v>
      </c>
      <c r="C513" s="124">
        <v>0</v>
      </c>
      <c r="D513" s="234" t="s">
        <v>917</v>
      </c>
      <c r="E513" s="249">
        <v>3612</v>
      </c>
      <c r="F513" s="249">
        <v>3612</v>
      </c>
      <c r="G513" s="128"/>
      <c r="H513" s="150" t="s">
        <v>952</v>
      </c>
    </row>
    <row r="514" spans="1:8">
      <c r="A514" s="170">
        <f>_xlfn.XLOOKUP(B514 &amp; "-" &amp; TEXT(C514,"00"),改定!N:N,改定!E:E)</f>
        <v>49074</v>
      </c>
      <c r="B514" s="119" t="s">
        <v>21</v>
      </c>
      <c r="C514" s="124">
        <v>0</v>
      </c>
      <c r="D514" s="234" t="s">
        <v>943</v>
      </c>
    </row>
    <row r="515" spans="1:8">
      <c r="A515" s="170">
        <f>_xlfn.XLOOKUP(B515 &amp; "-" &amp; TEXT(C515,"00"),改定!N:N,改定!E:E)</f>
        <v>49074</v>
      </c>
      <c r="B515" s="119" t="s">
        <v>21</v>
      </c>
      <c r="C515" s="124">
        <v>0</v>
      </c>
      <c r="D515" s="234" t="s">
        <v>948</v>
      </c>
    </row>
    <row r="516" spans="1:8" ht="40.5">
      <c r="A516" s="170">
        <f>_xlfn.XLOOKUP(B516 &amp; "-" &amp; TEXT(C516,"00"),改定!N:N,改定!E:E)</f>
        <v>49074</v>
      </c>
      <c r="B516" s="119" t="s">
        <v>21</v>
      </c>
      <c r="C516" s="124">
        <v>0</v>
      </c>
      <c r="D516" s="234" t="s">
        <v>944</v>
      </c>
      <c r="E516" s="249">
        <v>1746</v>
      </c>
      <c r="F516" s="249">
        <v>1746</v>
      </c>
      <c r="G516" s="128"/>
      <c r="H516" s="150" t="s">
        <v>952</v>
      </c>
    </row>
    <row r="517" spans="1:8" ht="40.5">
      <c r="A517" s="170">
        <f>_xlfn.XLOOKUP(B517 &amp; "-" &amp; TEXT(C517,"00"),改定!N:N,改定!E:E)</f>
        <v>49074</v>
      </c>
      <c r="B517" s="119" t="s">
        <v>21</v>
      </c>
      <c r="C517" s="124">
        <v>0</v>
      </c>
      <c r="D517" s="234" t="s">
        <v>931</v>
      </c>
      <c r="E517" s="249">
        <v>2049</v>
      </c>
      <c r="F517" s="249">
        <v>2049</v>
      </c>
      <c r="G517" s="128"/>
      <c r="H517" s="150" t="s">
        <v>952</v>
      </c>
    </row>
    <row r="518" spans="1:8" ht="40.5">
      <c r="A518" s="170">
        <f>_xlfn.XLOOKUP(B518 &amp; "-" &amp; TEXT(C518,"00"),改定!N:N,改定!E:E)</f>
        <v>49074</v>
      </c>
      <c r="B518" s="119" t="s">
        <v>21</v>
      </c>
      <c r="C518" s="124">
        <v>0</v>
      </c>
      <c r="D518" s="234" t="s">
        <v>930</v>
      </c>
      <c r="E518" s="249">
        <v>2545</v>
      </c>
      <c r="F518" s="249">
        <v>2545</v>
      </c>
      <c r="G518" s="128"/>
      <c r="H518" s="150" t="s">
        <v>952</v>
      </c>
    </row>
    <row r="519" spans="1:8">
      <c r="A519" s="170">
        <f>_xlfn.XLOOKUP(B519 &amp; "-" &amp; TEXT(C519,"00"),改定!N:N,改定!E:E)</f>
        <v>49074</v>
      </c>
      <c r="B519" s="119" t="s">
        <v>21</v>
      </c>
      <c r="C519" s="124">
        <v>0</v>
      </c>
      <c r="D519" s="236" t="s">
        <v>545</v>
      </c>
    </row>
    <row r="520" spans="1:8" ht="40.5">
      <c r="A520" s="170">
        <f>_xlfn.XLOOKUP(B520 &amp; "-" &amp; TEXT(C520,"00"),改定!N:N,改定!E:E)</f>
        <v>49074</v>
      </c>
      <c r="B520" s="119" t="s">
        <v>21</v>
      </c>
      <c r="C520" s="124">
        <v>0</v>
      </c>
      <c r="D520" s="234" t="s">
        <v>949</v>
      </c>
      <c r="E520" s="249">
        <v>1</v>
      </c>
      <c r="F520" s="249">
        <v>1</v>
      </c>
      <c r="G520" s="128"/>
      <c r="H520" s="150" t="s">
        <v>952</v>
      </c>
    </row>
    <row r="521" spans="1:8">
      <c r="A521" s="170">
        <f>_xlfn.XLOOKUP(B521 &amp; "-" &amp; TEXT(C521,"00"),改定!N:N,改定!E:E)</f>
        <v>49074</v>
      </c>
      <c r="B521" s="119" t="s">
        <v>21</v>
      </c>
      <c r="C521" s="124">
        <v>0</v>
      </c>
      <c r="D521" s="234" t="s">
        <v>950</v>
      </c>
    </row>
    <row r="522" spans="1:8">
      <c r="A522" s="170">
        <f>_xlfn.XLOOKUP(B522 &amp; "-" &amp; TEXT(C522,"00"),改定!N:N,改定!E:E)</f>
        <v>49082</v>
      </c>
      <c r="B522" s="119" t="s">
        <v>216</v>
      </c>
      <c r="C522" s="124">
        <v>0</v>
      </c>
      <c r="D522" s="234" t="s">
        <v>948</v>
      </c>
    </row>
    <row r="523" spans="1:8">
      <c r="A523" s="170">
        <f>_xlfn.XLOOKUP(B523 &amp; "-" &amp; TEXT(C523,"00"),改定!N:N,改定!E:E)</f>
        <v>49119</v>
      </c>
      <c r="B523" s="119" t="s">
        <v>179</v>
      </c>
      <c r="C523" s="124">
        <v>0</v>
      </c>
      <c r="D523" s="234" t="s">
        <v>953</v>
      </c>
    </row>
    <row r="524" spans="1:8">
      <c r="A524" s="170">
        <f>_xlfn.XLOOKUP(B524 &amp; "-" &amp; TEXT(C524,"00"),改定!N:N,改定!E:E)</f>
        <v>49134</v>
      </c>
      <c r="B524" s="119" t="s">
        <v>155</v>
      </c>
      <c r="C524" s="124">
        <v>2</v>
      </c>
      <c r="D524" s="234" t="s">
        <v>927</v>
      </c>
      <c r="E524" s="249">
        <v>836</v>
      </c>
      <c r="F524" s="249"/>
      <c r="G524" s="128"/>
    </row>
    <row r="525" spans="1:8">
      <c r="A525" s="170">
        <f>_xlfn.XLOOKUP(B525 &amp; "-" &amp; TEXT(C525,"00"),改定!N:N,改定!E:E)</f>
        <v>49134</v>
      </c>
      <c r="B525" s="119" t="s">
        <v>155</v>
      </c>
      <c r="C525" s="124">
        <v>2</v>
      </c>
      <c r="D525" s="234" t="s">
        <v>928</v>
      </c>
      <c r="E525" s="249">
        <v>6</v>
      </c>
      <c r="F525" s="249"/>
      <c r="G525" s="128"/>
    </row>
    <row r="526" spans="1:8">
      <c r="A526" s="170">
        <f>_xlfn.XLOOKUP(B526 &amp; "-" &amp; TEXT(C526,"00"),改定!N:N,改定!E:E)</f>
        <v>49165</v>
      </c>
      <c r="B526" s="119" t="s">
        <v>204</v>
      </c>
      <c r="C526" s="124">
        <v>0</v>
      </c>
      <c r="D526" s="234" t="s">
        <v>938</v>
      </c>
      <c r="E526" s="249">
        <v>1564</v>
      </c>
      <c r="F526" s="249">
        <v>1564</v>
      </c>
      <c r="G526" s="128"/>
    </row>
    <row r="527" spans="1:8">
      <c r="A527" s="170">
        <f>_xlfn.XLOOKUP(B527 &amp; "-" &amp; TEXT(C527,"00"),改定!N:N,改定!E:E)</f>
        <v>49165</v>
      </c>
      <c r="B527" s="119" t="s">
        <v>204</v>
      </c>
      <c r="C527" s="124">
        <v>0</v>
      </c>
      <c r="D527" s="234" t="s">
        <v>947</v>
      </c>
      <c r="E527" s="249">
        <v>1</v>
      </c>
      <c r="F527" s="249"/>
      <c r="G527" s="128"/>
    </row>
    <row r="528" spans="1:8">
      <c r="A528" s="170">
        <f>_xlfn.XLOOKUP(B528 &amp; "-" &amp; TEXT(C528,"00"),改定!N:N,改定!E:E)</f>
        <v>49170</v>
      </c>
      <c r="B528" s="119" t="s">
        <v>221</v>
      </c>
      <c r="C528" s="124">
        <v>0</v>
      </c>
      <c r="D528" s="234" t="s">
        <v>954</v>
      </c>
    </row>
    <row r="529" spans="1:7">
      <c r="A529" s="170">
        <f>_xlfn.XLOOKUP(B529 &amp; "-" &amp; TEXT(C529,"00"),改定!N:N,改定!E:E)</f>
        <v>49170</v>
      </c>
      <c r="B529" s="119" t="s">
        <v>221</v>
      </c>
      <c r="C529" s="124">
        <v>0</v>
      </c>
      <c r="D529" s="234" t="s">
        <v>945</v>
      </c>
    </row>
    <row r="530" spans="1:7">
      <c r="A530" s="170">
        <f>_xlfn.XLOOKUP(B530 &amp; "-" &amp; TEXT(C530,"00"),改定!N:N,改定!E:E)</f>
        <v>49170</v>
      </c>
      <c r="B530" s="119" t="s">
        <v>221</v>
      </c>
      <c r="C530" s="124">
        <v>0</v>
      </c>
      <c r="D530" s="234" t="s">
        <v>944</v>
      </c>
      <c r="E530" s="249">
        <v>1746</v>
      </c>
      <c r="F530" s="249">
        <v>1746</v>
      </c>
      <c r="G530" s="128"/>
    </row>
    <row r="531" spans="1:7">
      <c r="A531" s="170">
        <f>_xlfn.XLOOKUP(B531 &amp; "-" &amp; TEXT(C531,"00"),改定!N:N,改定!E:E)</f>
        <v>49170</v>
      </c>
      <c r="B531" s="119" t="s">
        <v>221</v>
      </c>
      <c r="C531" s="124">
        <v>0</v>
      </c>
      <c r="D531" s="234" t="s">
        <v>931</v>
      </c>
      <c r="E531" s="249">
        <v>2049</v>
      </c>
      <c r="F531" s="249">
        <v>2049</v>
      </c>
      <c r="G531" s="128"/>
    </row>
    <row r="532" spans="1:7">
      <c r="A532" s="170">
        <f>_xlfn.XLOOKUP(B532 &amp; "-" &amp; TEXT(C532,"00"),改定!N:N,改定!E:E)</f>
        <v>49170</v>
      </c>
      <c r="B532" s="119" t="s">
        <v>221</v>
      </c>
      <c r="C532" s="124">
        <v>0</v>
      </c>
      <c r="D532" s="234" t="s">
        <v>950</v>
      </c>
    </row>
    <row r="533" spans="1:7">
      <c r="A533" s="170">
        <f>_xlfn.XLOOKUP(B533 &amp; "-" &amp; TEXT(C533,"00"),改定!N:N,改定!E:E)</f>
        <v>49170</v>
      </c>
      <c r="B533" s="119" t="s">
        <v>221</v>
      </c>
      <c r="C533" s="124">
        <v>0</v>
      </c>
      <c r="D533" s="234" t="s">
        <v>949</v>
      </c>
    </row>
    <row r="534" spans="1:7">
      <c r="A534" s="170">
        <f>_xlfn.XLOOKUP(B534 &amp; "-" &amp; TEXT(C534,"00"),改定!N:N,改定!E:E)</f>
        <v>49172</v>
      </c>
      <c r="B534" s="119" t="s">
        <v>125</v>
      </c>
      <c r="C534" s="124">
        <v>1</v>
      </c>
      <c r="D534" s="234" t="s">
        <v>117</v>
      </c>
      <c r="E534" s="249">
        <v>525</v>
      </c>
      <c r="F534" s="249"/>
      <c r="G534" s="128"/>
    </row>
    <row r="535" spans="1:7">
      <c r="A535" s="170">
        <f>_xlfn.XLOOKUP(B535 &amp; "-" &amp; TEXT(C535,"00"),改定!N:N,改定!E:E)</f>
        <v>49172</v>
      </c>
      <c r="B535" s="119" t="s">
        <v>125</v>
      </c>
      <c r="C535" s="124">
        <v>1</v>
      </c>
      <c r="D535" s="234" t="s">
        <v>840</v>
      </c>
      <c r="E535" s="249">
        <v>142</v>
      </c>
      <c r="F535" s="249"/>
      <c r="G535" s="128"/>
    </row>
    <row r="536" spans="1:7">
      <c r="A536" s="170">
        <f>_xlfn.XLOOKUP(B536 &amp; "-" &amp; TEXT(C536,"00"),改定!N:N,改定!E:E)</f>
        <v>49172</v>
      </c>
      <c r="B536" s="119" t="s">
        <v>125</v>
      </c>
      <c r="C536" s="124">
        <v>1</v>
      </c>
      <c r="D536" s="234" t="s">
        <v>855</v>
      </c>
      <c r="E536" s="249">
        <v>389</v>
      </c>
      <c r="F536" s="249"/>
      <c r="G536" s="128"/>
    </row>
    <row r="537" spans="1:7">
      <c r="A537" s="170">
        <f>_xlfn.XLOOKUP(B537 &amp; "-" &amp; TEXT(C537,"00"),改定!N:N,改定!E:E)</f>
        <v>49172</v>
      </c>
      <c r="B537" s="119" t="s">
        <v>125</v>
      </c>
      <c r="C537" s="124">
        <v>1</v>
      </c>
      <c r="D537" s="234" t="s">
        <v>548</v>
      </c>
      <c r="E537" s="249">
        <v>201</v>
      </c>
      <c r="F537" s="249"/>
      <c r="G537" s="128"/>
    </row>
    <row r="538" spans="1:7">
      <c r="A538" s="170">
        <f>_xlfn.XLOOKUP(B538 &amp; "-" &amp; TEXT(C538,"00"),改定!N:N,改定!E:E)</f>
        <v>49197</v>
      </c>
      <c r="B538" s="119" t="s">
        <v>192</v>
      </c>
      <c r="C538" s="124">
        <v>0</v>
      </c>
      <c r="D538" s="234" t="s">
        <v>955</v>
      </c>
      <c r="E538" s="249">
        <v>1382</v>
      </c>
      <c r="F538" s="249">
        <v>1382</v>
      </c>
      <c r="G538" s="128"/>
    </row>
    <row r="539" spans="1:7">
      <c r="A539" s="170">
        <f>_xlfn.XLOOKUP(B539 &amp; "-" &amp; TEXT(C539,"00"),改定!N:N,改定!E:E)</f>
        <v>49337</v>
      </c>
      <c r="B539" s="119" t="s">
        <v>140</v>
      </c>
      <c r="C539" s="124">
        <v>1</v>
      </c>
      <c r="D539" s="234" t="s">
        <v>912</v>
      </c>
      <c r="E539" s="249">
        <v>1707</v>
      </c>
      <c r="F539" s="249">
        <v>1701</v>
      </c>
      <c r="G539" s="128"/>
    </row>
    <row r="540" spans="1:7">
      <c r="A540" s="170">
        <f>_xlfn.XLOOKUP(B540 &amp; "-" &amp; TEXT(C540,"00"),改定!N:N,改定!E:E)</f>
        <v>49337</v>
      </c>
      <c r="B540" s="119" t="s">
        <v>140</v>
      </c>
      <c r="C540" s="124">
        <v>1</v>
      </c>
      <c r="D540" s="234" t="s">
        <v>934</v>
      </c>
      <c r="E540" s="249">
        <v>5600</v>
      </c>
      <c r="F540" s="249">
        <v>5588</v>
      </c>
      <c r="G540" s="128"/>
    </row>
    <row r="541" spans="1:7">
      <c r="A541" s="170">
        <f>_xlfn.XLOOKUP(B541 &amp; "-" &amp; TEXT(C541,"00"),改定!N:N,改定!E:E)</f>
        <v>49337</v>
      </c>
      <c r="B541" s="119" t="s">
        <v>140</v>
      </c>
      <c r="C541" s="124">
        <v>1</v>
      </c>
      <c r="D541" s="234" t="s">
        <v>914</v>
      </c>
      <c r="E541" s="249">
        <v>4343</v>
      </c>
      <c r="F541" s="249">
        <v>4337</v>
      </c>
      <c r="G541" s="128"/>
    </row>
    <row r="542" spans="1:7">
      <c r="A542" s="170">
        <f>_xlfn.XLOOKUP(B542 &amp; "-" &amp; TEXT(C542,"00"),改定!N:N,改定!E:E)</f>
        <v>49337</v>
      </c>
      <c r="B542" s="119" t="s">
        <v>140</v>
      </c>
      <c r="C542" s="124">
        <v>1</v>
      </c>
      <c r="D542" s="234" t="s">
        <v>918</v>
      </c>
      <c r="E542" s="249">
        <v>3822</v>
      </c>
      <c r="F542" s="249">
        <v>3816</v>
      </c>
      <c r="G542" s="128"/>
    </row>
    <row r="543" spans="1:7">
      <c r="A543" s="170">
        <f>_xlfn.XLOOKUP(B543 &amp; "-" &amp; TEXT(C543,"00"),改定!N:N,改定!E:E)</f>
        <v>49402</v>
      </c>
      <c r="B543" s="119" t="s">
        <v>155</v>
      </c>
      <c r="C543" s="124">
        <v>3</v>
      </c>
      <c r="D543" s="244" t="s">
        <v>828</v>
      </c>
    </row>
    <row r="544" spans="1:7">
      <c r="A544" s="170">
        <f>_xlfn.XLOOKUP(B544 &amp; "-" &amp; TEXT(C544,"00"),改定!N:N,改定!E:E)</f>
        <v>49402</v>
      </c>
      <c r="B544" s="119" t="s">
        <v>155</v>
      </c>
      <c r="C544" s="124">
        <v>3</v>
      </c>
      <c r="D544" s="237" t="s">
        <v>928</v>
      </c>
    </row>
    <row r="545" spans="1:7">
      <c r="A545" s="170">
        <f>_xlfn.XLOOKUP(B545 &amp; "-" &amp; TEXT(C545,"00"),改定!N:N,改定!E:E)</f>
        <v>49405</v>
      </c>
      <c r="B545" s="119" t="s">
        <v>158</v>
      </c>
      <c r="C545" s="124">
        <v>0</v>
      </c>
      <c r="D545" s="239" t="s">
        <v>956</v>
      </c>
    </row>
    <row r="546" spans="1:7">
      <c r="A546" s="170">
        <f>_xlfn.XLOOKUP(B546 &amp; "-" &amp; TEXT(C546,"00"),改定!N:N,改定!E:E)</f>
        <v>49405</v>
      </c>
      <c r="B546" s="119" t="s">
        <v>158</v>
      </c>
      <c r="C546" s="124">
        <v>0</v>
      </c>
      <c r="D546" s="245" t="s">
        <v>957</v>
      </c>
    </row>
    <row r="547" spans="1:7">
      <c r="A547" s="170">
        <f>_xlfn.XLOOKUP(B547 &amp; "-" &amp; TEXT(C547,"00"),改定!N:N,改定!E:E)</f>
        <v>49405</v>
      </c>
      <c r="B547" s="119" t="s">
        <v>158</v>
      </c>
      <c r="C547" s="124">
        <v>0</v>
      </c>
      <c r="D547" s="245" t="s">
        <v>958</v>
      </c>
    </row>
    <row r="548" spans="1:7">
      <c r="A548" s="170">
        <f>_xlfn.XLOOKUP(B548 &amp; "-" &amp; TEXT(C548,"00"),改定!N:N,改定!E:E)</f>
        <v>49405</v>
      </c>
      <c r="B548" s="119" t="s">
        <v>158</v>
      </c>
      <c r="C548" s="124">
        <v>0</v>
      </c>
      <c r="D548" s="237" t="s">
        <v>959</v>
      </c>
    </row>
    <row r="549" spans="1:7">
      <c r="A549" s="170">
        <f>_xlfn.XLOOKUP(B549 &amp; "-" &amp; TEXT(C549,"00"),改定!N:N,改定!E:E)</f>
        <v>49405</v>
      </c>
      <c r="B549" s="119" t="s">
        <v>158</v>
      </c>
      <c r="C549" s="124">
        <v>0</v>
      </c>
      <c r="D549" s="245" t="s">
        <v>960</v>
      </c>
    </row>
    <row r="550" spans="1:7">
      <c r="A550" s="170">
        <f>_xlfn.XLOOKUP(B550 &amp; "-" &amp; TEXT(C550,"00"),改定!N:N,改定!E:E)</f>
        <v>49467</v>
      </c>
      <c r="B550" s="119" t="s">
        <v>184</v>
      </c>
      <c r="C550" s="124">
        <v>0</v>
      </c>
      <c r="D550" s="234" t="s">
        <v>961</v>
      </c>
    </row>
    <row r="551" spans="1:7">
      <c r="A551" s="170">
        <f>_xlfn.XLOOKUP(B551 &amp; "-" &amp; TEXT(C551,"00"),改定!N:N,改定!E:E)</f>
        <v>49487</v>
      </c>
      <c r="B551" s="119" t="s">
        <v>126</v>
      </c>
      <c r="C551" s="124">
        <v>0</v>
      </c>
      <c r="D551" s="234" t="s">
        <v>117</v>
      </c>
      <c r="E551" s="249">
        <v>638</v>
      </c>
      <c r="F551" s="249">
        <v>636</v>
      </c>
      <c r="G551" s="128"/>
    </row>
    <row r="552" spans="1:7">
      <c r="A552" s="170">
        <f>_xlfn.XLOOKUP(B552 &amp; "-" &amp; TEXT(C552,"00"),改定!N:N,改定!E:E)</f>
        <v>49487</v>
      </c>
      <c r="B552" s="119" t="s">
        <v>126</v>
      </c>
      <c r="C552" s="124">
        <v>0</v>
      </c>
      <c r="D552" s="234" t="s">
        <v>840</v>
      </c>
      <c r="E552" s="249">
        <v>249</v>
      </c>
      <c r="F552" s="249">
        <v>252</v>
      </c>
      <c r="G552" s="128"/>
    </row>
    <row r="553" spans="1:7">
      <c r="A553" s="170">
        <f>_xlfn.XLOOKUP(B553 &amp; "-" &amp; TEXT(C553,"00"),改定!N:N,改定!E:E)</f>
        <v>49487</v>
      </c>
      <c r="B553" s="119" t="s">
        <v>126</v>
      </c>
      <c r="C553" s="124">
        <v>0</v>
      </c>
      <c r="D553" s="234" t="s">
        <v>855</v>
      </c>
      <c r="E553" s="249">
        <v>502</v>
      </c>
      <c r="F553" s="249">
        <v>502</v>
      </c>
      <c r="G553" s="128"/>
    </row>
    <row r="554" spans="1:7">
      <c r="A554" s="170">
        <f>_xlfn.XLOOKUP(B554 &amp; "-" &amp; TEXT(C554,"00"),改定!N:N,改定!E:E)</f>
        <v>49487</v>
      </c>
      <c r="B554" s="119" t="s">
        <v>126</v>
      </c>
      <c r="C554" s="124">
        <v>0</v>
      </c>
      <c r="D554" s="234" t="s">
        <v>548</v>
      </c>
      <c r="E554" s="249">
        <v>331</v>
      </c>
      <c r="F554" s="249">
        <v>333</v>
      </c>
      <c r="G554" s="128"/>
    </row>
    <row r="555" spans="1:7">
      <c r="A555" s="170">
        <f>_xlfn.XLOOKUP(B555 &amp; "-" &amp; TEXT(C555,"00"),改定!N:N,改定!E:E)</f>
        <v>49504</v>
      </c>
      <c r="B555" s="119" t="s">
        <v>155</v>
      </c>
      <c r="C555" s="124">
        <v>4</v>
      </c>
      <c r="D555" s="244" t="s">
        <v>828</v>
      </c>
      <c r="E555" s="249">
        <v>866</v>
      </c>
      <c r="F555" s="249">
        <v>866</v>
      </c>
      <c r="G555" s="128"/>
    </row>
    <row r="556" spans="1:7">
      <c r="A556" s="170">
        <f>_xlfn.XLOOKUP(B556 &amp; "-" &amp; TEXT(C556,"00"),改定!N:N,改定!E:E)</f>
        <v>49504</v>
      </c>
      <c r="B556" s="119" t="s">
        <v>155</v>
      </c>
      <c r="C556" s="124">
        <v>4</v>
      </c>
      <c r="D556" s="244" t="s">
        <v>877</v>
      </c>
      <c r="E556" s="249">
        <v>9</v>
      </c>
      <c r="F556" s="249">
        <v>9</v>
      </c>
      <c r="G556" s="128"/>
    </row>
    <row r="557" spans="1:7">
      <c r="A557" s="170">
        <f>_xlfn.XLOOKUP(B557 &amp; "-" &amp; TEXT(C557,"00"),改定!N:N,改定!E:E)</f>
        <v>49525</v>
      </c>
      <c r="B557" s="119" t="s">
        <v>73</v>
      </c>
      <c r="C557" s="124">
        <v>0</v>
      </c>
      <c r="D557" s="234" t="s">
        <v>962</v>
      </c>
      <c r="E557" s="249">
        <v>356</v>
      </c>
      <c r="F557" s="249">
        <v>356</v>
      </c>
      <c r="G557" s="128"/>
    </row>
    <row r="558" spans="1:7">
      <c r="A558" s="170">
        <f>_xlfn.XLOOKUP(B558 &amp; "-" &amp; TEXT(C558,"00"),改定!N:N,改定!E:E)</f>
        <v>49525</v>
      </c>
      <c r="B558" s="119" t="s">
        <v>73</v>
      </c>
      <c r="C558" s="124">
        <v>0</v>
      </c>
      <c r="D558" s="234" t="s">
        <v>963</v>
      </c>
      <c r="E558" s="249">
        <v>928</v>
      </c>
      <c r="F558" s="249">
        <v>928</v>
      </c>
      <c r="G558" s="128"/>
    </row>
    <row r="559" spans="1:7">
      <c r="A559" s="170">
        <f>_xlfn.XLOOKUP(B559 &amp; "-" &amp; TEXT(C559,"00"),改定!N:N,改定!E:E)</f>
        <v>49568</v>
      </c>
      <c r="B559" s="137" t="s">
        <v>964</v>
      </c>
      <c r="C559" s="128">
        <v>1</v>
      </c>
      <c r="D559" s="238" t="s">
        <v>268</v>
      </c>
      <c r="E559" s="249">
        <v>7</v>
      </c>
    </row>
    <row r="560" spans="1:7">
      <c r="A560" s="170">
        <f>_xlfn.XLOOKUP(B560 &amp; "-" &amp; TEXT(C560,"00"),改定!N:N,改定!E:E)</f>
        <v>49584</v>
      </c>
      <c r="B560" s="119" t="s">
        <v>34</v>
      </c>
      <c r="C560" s="124">
        <v>0</v>
      </c>
      <c r="D560" s="234" t="s">
        <v>965</v>
      </c>
      <c r="E560" s="249">
        <v>3744</v>
      </c>
      <c r="F560" s="249">
        <v>3744</v>
      </c>
      <c r="G560" s="128"/>
    </row>
    <row r="561" spans="1:8">
      <c r="A561" s="170">
        <f>_xlfn.XLOOKUP(B561 &amp; "-" &amp; TEXT(C561,"00"),改定!N:N,改定!E:E)</f>
        <v>49584</v>
      </c>
      <c r="B561" s="119" t="s">
        <v>34</v>
      </c>
      <c r="C561" s="124">
        <v>0</v>
      </c>
      <c r="D561" s="234" t="s">
        <v>966</v>
      </c>
      <c r="E561" s="249">
        <v>4176</v>
      </c>
      <c r="F561" s="249"/>
      <c r="G561" s="128"/>
    </row>
    <row r="562" spans="1:8">
      <c r="A562" s="170">
        <f>_xlfn.XLOOKUP(B562 &amp; "-" &amp; TEXT(C562,"00"),改定!N:N,改定!E:E)</f>
        <v>49603</v>
      </c>
      <c r="B562" s="119" t="s">
        <v>140</v>
      </c>
      <c r="C562" s="124">
        <v>2</v>
      </c>
      <c r="D562" s="234" t="s">
        <v>967</v>
      </c>
      <c r="E562" s="249">
        <v>1701</v>
      </c>
      <c r="F562" s="249">
        <v>1701</v>
      </c>
      <c r="G562" s="128"/>
    </row>
    <row r="563" spans="1:8">
      <c r="A563" s="170">
        <f>_xlfn.XLOOKUP(B563 &amp; "-" &amp; TEXT(C563,"00"),改定!N:N,改定!E:E)</f>
        <v>49603</v>
      </c>
      <c r="B563" s="119" t="s">
        <v>140</v>
      </c>
      <c r="C563" s="124">
        <v>2</v>
      </c>
      <c r="D563" s="234" t="s">
        <v>968</v>
      </c>
      <c r="E563" s="249">
        <v>5588</v>
      </c>
      <c r="F563" s="249">
        <v>5588</v>
      </c>
      <c r="G563" s="128"/>
    </row>
    <row r="564" spans="1:8">
      <c r="A564" s="170">
        <f>_xlfn.XLOOKUP(B564 &amp; "-" &amp; TEXT(C564,"00"),改定!N:N,改定!E:E)</f>
        <v>49603</v>
      </c>
      <c r="B564" s="119" t="s">
        <v>140</v>
      </c>
      <c r="C564" s="124">
        <v>2</v>
      </c>
      <c r="D564" s="234" t="s">
        <v>969</v>
      </c>
      <c r="E564" s="249">
        <v>4337</v>
      </c>
      <c r="F564" s="249">
        <v>4337</v>
      </c>
      <c r="G564" s="128"/>
    </row>
    <row r="565" spans="1:8">
      <c r="A565" s="170">
        <f>_xlfn.XLOOKUP(B565 &amp; "-" &amp; TEXT(C565,"00"),改定!N:N,改定!E:E)</f>
        <v>49603</v>
      </c>
      <c r="B565" s="119" t="s">
        <v>140</v>
      </c>
      <c r="C565" s="124">
        <v>2</v>
      </c>
      <c r="D565" s="234" t="s">
        <v>970</v>
      </c>
      <c r="E565" s="249">
        <v>3816</v>
      </c>
      <c r="F565" s="249">
        <v>3816</v>
      </c>
      <c r="G565" s="128"/>
    </row>
    <row r="566" spans="1:8">
      <c r="A566" s="170">
        <f>_xlfn.XLOOKUP(B566 &amp; "-" &amp; TEXT(C566,"00"),改定!N:N,改定!E:E)</f>
        <v>49650</v>
      </c>
      <c r="B566" s="119" t="s">
        <v>86</v>
      </c>
      <c r="C566" s="124">
        <v>0</v>
      </c>
      <c r="D566" s="243" t="s">
        <v>510</v>
      </c>
      <c r="E566" s="249">
        <v>7312</v>
      </c>
      <c r="F566" s="249">
        <v>7312</v>
      </c>
      <c r="G566" s="128"/>
    </row>
    <row r="567" spans="1:8">
      <c r="A567" s="170">
        <f>_xlfn.XLOOKUP(B567 &amp; "-" &amp; TEXT(C567,"00"),改定!N:N,改定!E:E)</f>
        <v>49659</v>
      </c>
      <c r="B567" s="119" t="s">
        <v>77</v>
      </c>
      <c r="C567" s="124">
        <v>3</v>
      </c>
      <c r="D567" s="244" t="s">
        <v>822</v>
      </c>
      <c r="E567" s="249">
        <v>899</v>
      </c>
      <c r="F567" s="249">
        <v>898</v>
      </c>
      <c r="G567" s="128"/>
    </row>
    <row r="568" spans="1:8">
      <c r="A568" s="170">
        <f>_xlfn.XLOOKUP(B568 &amp; "-" &amp; TEXT(C568,"00"),改定!N:N,改定!E:E)</f>
        <v>49659</v>
      </c>
      <c r="B568" s="119" t="s">
        <v>77</v>
      </c>
      <c r="C568" s="124">
        <v>3</v>
      </c>
      <c r="D568" s="243" t="s">
        <v>922</v>
      </c>
      <c r="E568" s="249">
        <v>325</v>
      </c>
      <c r="F568" s="249">
        <v>324</v>
      </c>
      <c r="G568" s="128"/>
    </row>
    <row r="569" spans="1:8" ht="40.5">
      <c r="A569" s="170">
        <f>_xlfn.XLOOKUP(B569 &amp; "-" &amp; TEXT(C569,"00"),改定!N:N,改定!E:E)</f>
        <v>49660</v>
      </c>
      <c r="B569" s="119" t="s">
        <v>19</v>
      </c>
      <c r="C569" s="124">
        <v>1</v>
      </c>
      <c r="D569" s="244" t="s">
        <v>510</v>
      </c>
      <c r="E569" s="249">
        <v>7164</v>
      </c>
      <c r="F569" s="249">
        <v>7164</v>
      </c>
      <c r="G569" s="128"/>
      <c r="H569" s="150" t="s">
        <v>974</v>
      </c>
    </row>
    <row r="570" spans="1:8">
      <c r="A570" s="170">
        <f>_xlfn.XLOOKUP(B570 &amp; "-" &amp; TEXT(C570,"00"),改定!N:N,改定!E:E)</f>
        <v>49660</v>
      </c>
      <c r="B570" s="119" t="s">
        <v>19</v>
      </c>
      <c r="C570" s="124">
        <v>1</v>
      </c>
      <c r="D570" s="244" t="s">
        <v>825</v>
      </c>
    </row>
    <row r="571" spans="1:8">
      <c r="A571" s="170">
        <f>_xlfn.XLOOKUP(B571 &amp; "-" &amp; TEXT(C571,"00"),改定!N:N,改定!E:E)</f>
        <v>49660</v>
      </c>
      <c r="B571" s="119" t="s">
        <v>19</v>
      </c>
      <c r="C571" s="124">
        <v>1</v>
      </c>
      <c r="D571" s="244" t="s">
        <v>511</v>
      </c>
      <c r="E571" s="249">
        <v>5681</v>
      </c>
      <c r="F571" s="249">
        <v>5681</v>
      </c>
      <c r="G571" s="128"/>
    </row>
    <row r="572" spans="1:8">
      <c r="A572" s="170">
        <f>_xlfn.XLOOKUP(B572 &amp; "-" &amp; TEXT(C572,"00"),改定!N:N,改定!E:E)</f>
        <v>49660</v>
      </c>
      <c r="B572" s="119" t="s">
        <v>19</v>
      </c>
      <c r="C572" s="124">
        <v>1</v>
      </c>
      <c r="D572" s="243" t="s">
        <v>828</v>
      </c>
      <c r="E572" s="249">
        <v>995</v>
      </c>
      <c r="F572" s="249">
        <v>995</v>
      </c>
      <c r="G572" s="128"/>
    </row>
    <row r="573" spans="1:8">
      <c r="A573" s="170">
        <f>_xlfn.XLOOKUP(B573 &amp; "-" &amp; TEXT(C573,"00"),改定!N:N,改定!E:E)</f>
        <v>49660</v>
      </c>
      <c r="B573" s="119" t="s">
        <v>19</v>
      </c>
      <c r="C573" s="124">
        <v>1</v>
      </c>
      <c r="D573" s="244" t="s">
        <v>513</v>
      </c>
      <c r="E573" s="249">
        <v>4395</v>
      </c>
      <c r="F573" s="249">
        <v>4395</v>
      </c>
      <c r="G573" s="128"/>
    </row>
    <row r="574" spans="1:8">
      <c r="A574" s="170">
        <f>_xlfn.XLOOKUP(B574 &amp; "-" &amp; TEXT(C574,"00"),改定!N:N,改定!E:E)</f>
        <v>49660</v>
      </c>
      <c r="B574" s="119" t="s">
        <v>19</v>
      </c>
      <c r="C574" s="124">
        <v>1</v>
      </c>
      <c r="D574" s="243" t="s">
        <v>512</v>
      </c>
      <c r="E574" s="249">
        <v>1737</v>
      </c>
      <c r="F574" s="249">
        <v>1737</v>
      </c>
      <c r="G574" s="128"/>
    </row>
    <row r="575" spans="1:8">
      <c r="A575" s="170">
        <f>_xlfn.XLOOKUP(B575 &amp; "-" &amp; TEXT(C575,"00"),改定!N:N,改定!E:E)</f>
        <v>49660</v>
      </c>
      <c r="B575" s="119" t="s">
        <v>19</v>
      </c>
      <c r="C575" s="124">
        <v>1</v>
      </c>
      <c r="D575" s="243" t="s">
        <v>877</v>
      </c>
    </row>
    <row r="576" spans="1:8">
      <c r="A576" s="170">
        <f>_xlfn.XLOOKUP(B576 &amp; "-" &amp; TEXT(C576,"00"),改定!N:N,改定!E:E)</f>
        <v>49660</v>
      </c>
      <c r="B576" s="119" t="s">
        <v>19</v>
      </c>
      <c r="C576" s="124">
        <v>1</v>
      </c>
      <c r="D576" s="244" t="s">
        <v>971</v>
      </c>
    </row>
    <row r="577" spans="1:8">
      <c r="A577" s="170">
        <f>_xlfn.XLOOKUP(B577 &amp; "-" &amp; TEXT(C577,"00"),改定!N:N,改定!E:E)</f>
        <v>49660</v>
      </c>
      <c r="B577" s="119" t="s">
        <v>19</v>
      </c>
      <c r="C577" s="124">
        <v>1</v>
      </c>
      <c r="D577" s="243" t="s">
        <v>263</v>
      </c>
    </row>
    <row r="578" spans="1:8">
      <c r="A578" s="170">
        <f>_xlfn.XLOOKUP(B578 &amp; "-" &amp; TEXT(C578,"00"),改定!N:N,改定!E:E)</f>
        <v>49660</v>
      </c>
      <c r="B578" s="119" t="s">
        <v>19</v>
      </c>
      <c r="C578" s="124">
        <v>1</v>
      </c>
      <c r="D578" s="244" t="s">
        <v>508</v>
      </c>
    </row>
    <row r="579" spans="1:8">
      <c r="A579" s="170">
        <f>_xlfn.XLOOKUP(B579 &amp; "-" &amp; TEXT(C579,"00"),改定!N:N,改定!E:E)</f>
        <v>49660</v>
      </c>
      <c r="B579" s="119" t="s">
        <v>19</v>
      </c>
      <c r="C579" s="124">
        <v>1</v>
      </c>
      <c r="D579" s="243" t="s">
        <v>514</v>
      </c>
    </row>
    <row r="580" spans="1:8" ht="14.25" thickBot="1">
      <c r="A580" s="170">
        <f>_xlfn.XLOOKUP(B580 &amp; "-" &amp; TEXT(C580,"00"),改定!N:N,改定!E:E)</f>
        <v>49660</v>
      </c>
      <c r="B580" s="119" t="s">
        <v>19</v>
      </c>
      <c r="C580" s="124">
        <v>1</v>
      </c>
      <c r="D580" s="244" t="s">
        <v>518</v>
      </c>
      <c r="E580" s="252"/>
    </row>
    <row r="581" spans="1:8">
      <c r="A581" s="170">
        <f>_xlfn.XLOOKUP(B581 &amp; "-" &amp; TEXT(C581,"00"),改定!N:N,改定!E:E)</f>
        <v>49660</v>
      </c>
      <c r="B581" s="119" t="s">
        <v>19</v>
      </c>
      <c r="C581" s="124">
        <v>1</v>
      </c>
      <c r="D581" s="244" t="s">
        <v>537</v>
      </c>
    </row>
    <row r="582" spans="1:8">
      <c r="A582" s="170">
        <f>_xlfn.XLOOKUP(B582 &amp; "-" &amp; TEXT(C582,"00"),改定!N:N,改定!E:E)</f>
        <v>49660</v>
      </c>
      <c r="B582" s="119" t="s">
        <v>19</v>
      </c>
      <c r="C582" s="124">
        <v>1</v>
      </c>
      <c r="D582" s="243" t="s">
        <v>515</v>
      </c>
    </row>
    <row r="583" spans="1:8" ht="14.25" thickBot="1">
      <c r="A583" s="170">
        <f>_xlfn.XLOOKUP(B583 &amp; "-" &amp; TEXT(C583,"00"),改定!N:N,改定!E:E)</f>
        <v>49660</v>
      </c>
      <c r="B583" s="119" t="s">
        <v>19</v>
      </c>
      <c r="C583" s="124">
        <v>1</v>
      </c>
      <c r="D583" s="244" t="s">
        <v>536</v>
      </c>
      <c r="E583" s="252"/>
    </row>
    <row r="584" spans="1:8" ht="40.5">
      <c r="A584" s="170">
        <f>_xlfn.XLOOKUP(B584 &amp; "-" &amp; TEXT(C584,"00"),改定!N:N,改定!E:E)</f>
        <v>49660</v>
      </c>
      <c r="B584" s="119" t="s">
        <v>21</v>
      </c>
      <c r="C584" s="124">
        <v>1</v>
      </c>
      <c r="D584" s="243" t="s">
        <v>510</v>
      </c>
      <c r="E584" s="249">
        <v>7164</v>
      </c>
      <c r="F584" s="249">
        <v>7164</v>
      </c>
      <c r="G584" s="128"/>
      <c r="H584" s="150" t="s">
        <v>974</v>
      </c>
    </row>
    <row r="585" spans="1:8">
      <c r="A585" s="170">
        <f>_xlfn.XLOOKUP(B585 &amp; "-" &amp; TEXT(C585,"00"),改定!N:N,改定!E:E)</f>
        <v>49660</v>
      </c>
      <c r="B585" s="119" t="s">
        <v>21</v>
      </c>
      <c r="C585" s="124">
        <v>1</v>
      </c>
      <c r="D585" s="243" t="s">
        <v>516</v>
      </c>
    </row>
    <row r="586" spans="1:8">
      <c r="A586" s="170">
        <f>_xlfn.XLOOKUP(B586 &amp; "-" &amp; TEXT(C586,"00"),改定!N:N,改定!E:E)</f>
        <v>49660</v>
      </c>
      <c r="B586" s="119" t="s">
        <v>21</v>
      </c>
      <c r="C586" s="124">
        <v>1</v>
      </c>
      <c r="D586" s="244" t="s">
        <v>972</v>
      </c>
      <c r="E586" s="249">
        <v>93</v>
      </c>
      <c r="F586" s="249">
        <v>93</v>
      </c>
      <c r="G586" s="128"/>
    </row>
    <row r="587" spans="1:8">
      <c r="A587" s="170">
        <f>_xlfn.XLOOKUP(B587 &amp; "-" &amp; TEXT(C587,"00"),改定!N:N,改定!E:E)</f>
        <v>49660</v>
      </c>
      <c r="B587" s="119" t="s">
        <v>21</v>
      </c>
      <c r="C587" s="124">
        <v>1</v>
      </c>
      <c r="D587" s="244" t="s">
        <v>825</v>
      </c>
    </row>
    <row r="588" spans="1:8">
      <c r="A588" s="170">
        <f>_xlfn.XLOOKUP(B588 &amp; "-" &amp; TEXT(C588,"00"),改定!N:N,改定!E:E)</f>
        <v>49660</v>
      </c>
      <c r="B588" s="119" t="s">
        <v>21</v>
      </c>
      <c r="C588" s="124">
        <v>1</v>
      </c>
      <c r="D588" s="243" t="s">
        <v>871</v>
      </c>
    </row>
    <row r="589" spans="1:8">
      <c r="A589" s="170">
        <f>_xlfn.XLOOKUP(B589 &amp; "-" &amp; TEXT(C589,"00"),改定!N:N,改定!E:E)</f>
        <v>49660</v>
      </c>
      <c r="B589" s="119" t="s">
        <v>21</v>
      </c>
      <c r="C589" s="124">
        <v>1</v>
      </c>
      <c r="D589" s="243" t="s">
        <v>508</v>
      </c>
    </row>
    <row r="590" spans="1:8">
      <c r="A590" s="170">
        <f>_xlfn.XLOOKUP(B590 &amp; "-" &amp; TEXT(C590,"00"),改定!N:N,改定!E:E)</f>
        <v>49660</v>
      </c>
      <c r="B590" s="119" t="s">
        <v>21</v>
      </c>
      <c r="C590" s="124">
        <v>1</v>
      </c>
      <c r="D590" s="244" t="s">
        <v>263</v>
      </c>
    </row>
    <row r="591" spans="1:8">
      <c r="A591" s="170">
        <f>_xlfn.XLOOKUP(B591 &amp; "-" &amp; TEXT(C591,"00"),改定!N:N,改定!E:E)</f>
        <v>49660</v>
      </c>
      <c r="B591" s="119" t="s">
        <v>21</v>
      </c>
      <c r="C591" s="124">
        <v>1</v>
      </c>
      <c r="D591" s="243" t="s">
        <v>518</v>
      </c>
    </row>
    <row r="592" spans="1:8">
      <c r="A592" s="170">
        <f>_xlfn.XLOOKUP(B592 &amp; "-" &amp; TEXT(C592,"00"),改定!N:N,改定!E:E)</f>
        <v>49660</v>
      </c>
      <c r="B592" s="119" t="s">
        <v>21</v>
      </c>
      <c r="C592" s="124">
        <v>1</v>
      </c>
      <c r="D592" s="243" t="s">
        <v>973</v>
      </c>
    </row>
    <row r="593" spans="1:8">
      <c r="A593" s="170">
        <f>_xlfn.XLOOKUP(B593 &amp; "-" &amp; TEXT(C593,"00"),改定!N:N,改定!E:E)</f>
        <v>49660</v>
      </c>
      <c r="B593" s="119" t="s">
        <v>21</v>
      </c>
      <c r="C593" s="124">
        <v>1</v>
      </c>
      <c r="D593" s="244" t="s">
        <v>537</v>
      </c>
    </row>
    <row r="594" spans="1:8">
      <c r="A594" s="170">
        <f>_xlfn.XLOOKUP(B594 &amp; "-" &amp; TEXT(C594,"00"),改定!N:N,改定!E:E)</f>
        <v>49660</v>
      </c>
      <c r="B594" s="119" t="s">
        <v>21</v>
      </c>
      <c r="C594" s="124">
        <v>1</v>
      </c>
      <c r="D594" s="244" t="s">
        <v>515</v>
      </c>
    </row>
    <row r="595" spans="1:8">
      <c r="A595" s="170">
        <f>_xlfn.XLOOKUP(B595 &amp; "-" &amp; TEXT(C595,"00"),改定!N:N,改定!E:E)</f>
        <v>49660</v>
      </c>
      <c r="B595" s="119" t="s">
        <v>21</v>
      </c>
      <c r="C595" s="124">
        <v>1</v>
      </c>
      <c r="D595" s="244" t="s">
        <v>536</v>
      </c>
    </row>
    <row r="596" spans="1:8">
      <c r="A596" s="170">
        <f>_xlfn.XLOOKUP(B596 &amp; "-" &amp; TEXT(C596,"00"),改定!N:N,改定!E:E)</f>
        <v>49660</v>
      </c>
      <c r="B596" s="119" t="s">
        <v>21</v>
      </c>
      <c r="C596" s="124">
        <v>1</v>
      </c>
      <c r="D596" s="243" t="s">
        <v>545</v>
      </c>
    </row>
    <row r="597" spans="1:8">
      <c r="A597" s="170">
        <f>_xlfn.XLOOKUP(B597 &amp; "-" &amp; TEXT(C597,"00"),改定!N:N,改定!E:E)</f>
        <v>49660</v>
      </c>
      <c r="B597" s="119" t="s">
        <v>21</v>
      </c>
      <c r="C597" s="124">
        <v>1</v>
      </c>
      <c r="D597" s="243" t="s">
        <v>547</v>
      </c>
    </row>
    <row r="598" spans="1:8">
      <c r="A598" s="170">
        <f>_xlfn.XLOOKUP(B598 &amp; "-" &amp; TEXT(C598,"00"),改定!N:N,改定!E:E)</f>
        <v>49660</v>
      </c>
      <c r="B598" s="119" t="s">
        <v>21</v>
      </c>
      <c r="C598" s="124">
        <v>1</v>
      </c>
      <c r="D598" s="244" t="s">
        <v>546</v>
      </c>
    </row>
    <row r="599" spans="1:8" ht="40.5">
      <c r="A599" s="170">
        <f>_xlfn.XLOOKUP(B599 &amp; "-" &amp; TEXT(C599,"00"),改定!N:N,改定!E:E)</f>
        <v>49695</v>
      </c>
      <c r="B599" s="119" t="s">
        <v>81</v>
      </c>
      <c r="C599" s="124">
        <v>6</v>
      </c>
      <c r="D599" s="234" t="s">
        <v>975</v>
      </c>
      <c r="E599" s="249">
        <v>7120</v>
      </c>
      <c r="F599" s="249">
        <v>7120</v>
      </c>
      <c r="G599" s="128"/>
      <c r="H599" s="150" t="s">
        <v>976</v>
      </c>
    </row>
    <row r="600" spans="1:8">
      <c r="A600" s="170">
        <f>_xlfn.XLOOKUP(B600 &amp; "-" &amp; TEXT(C600,"00"),改定!N:N,改定!E:E)</f>
        <v>49695</v>
      </c>
      <c r="B600" s="119" t="s">
        <v>84</v>
      </c>
      <c r="C600" s="124">
        <v>4</v>
      </c>
      <c r="D600" s="243" t="s">
        <v>516</v>
      </c>
    </row>
    <row r="601" spans="1:8" ht="40.5">
      <c r="A601" s="170">
        <f>_xlfn.XLOOKUP(B601 &amp; "-" &amp; TEXT(C601,"00"),改定!N:N,改定!E:E)</f>
        <v>49695</v>
      </c>
      <c r="B601" s="119" t="s">
        <v>84</v>
      </c>
      <c r="C601" s="124">
        <v>4</v>
      </c>
      <c r="D601" s="243" t="s">
        <v>510</v>
      </c>
      <c r="E601" s="249">
        <v>7120</v>
      </c>
      <c r="F601" s="249">
        <v>7120</v>
      </c>
      <c r="G601" s="128"/>
      <c r="H601" s="150" t="s">
        <v>976</v>
      </c>
    </row>
    <row r="602" spans="1:8" ht="40.5">
      <c r="A602" s="170">
        <f>_xlfn.XLOOKUP(B602 &amp; "-" &amp; TEXT(C602,"00"),改定!N:N,改定!E:E)</f>
        <v>49695</v>
      </c>
      <c r="B602" s="119" t="s">
        <v>86</v>
      </c>
      <c r="C602" s="124">
        <v>1</v>
      </c>
      <c r="D602" s="243" t="s">
        <v>510</v>
      </c>
      <c r="E602" s="249">
        <v>7120</v>
      </c>
      <c r="F602" s="249">
        <v>7120</v>
      </c>
      <c r="G602" s="128"/>
      <c r="H602" s="150" t="s">
        <v>976</v>
      </c>
    </row>
    <row r="603" spans="1:8" ht="40.5">
      <c r="A603" s="170">
        <f>_xlfn.XLOOKUP(B603 &amp; "-" &amp; TEXT(C603,"00"),改定!N:N,改定!E:E)</f>
        <v>49695</v>
      </c>
      <c r="B603" s="119" t="s">
        <v>91</v>
      </c>
      <c r="C603" s="124">
        <v>4</v>
      </c>
      <c r="D603" s="243" t="s">
        <v>510</v>
      </c>
      <c r="E603" s="249">
        <v>7120</v>
      </c>
      <c r="F603" s="249">
        <v>7120</v>
      </c>
      <c r="G603" s="128"/>
      <c r="H603" s="150" t="s">
        <v>976</v>
      </c>
    </row>
    <row r="604" spans="1:8" ht="14.25" thickBot="1">
      <c r="A604" s="170">
        <f>_xlfn.XLOOKUP(B604 &amp; "-" &amp; TEXT(C604,"00"),改定!N:N,改定!E:E)</f>
        <v>49777</v>
      </c>
      <c r="B604" s="119" t="s">
        <v>204</v>
      </c>
      <c r="C604" s="124">
        <v>1</v>
      </c>
      <c r="D604" s="242" t="s">
        <v>825</v>
      </c>
      <c r="E604" s="249">
        <v>1567</v>
      </c>
      <c r="F604" s="249">
        <v>1567</v>
      </c>
      <c r="G604" s="128"/>
    </row>
    <row r="605" spans="1:8" ht="14.25" thickBot="1">
      <c r="A605" s="170">
        <f>_xlfn.XLOOKUP(B605 &amp; "-" &amp; TEXT(C605,"00"),改定!N:N,改定!E:E)</f>
        <v>49777</v>
      </c>
      <c r="B605" s="119" t="s">
        <v>204</v>
      </c>
      <c r="C605" s="124">
        <v>1</v>
      </c>
      <c r="D605" s="242" t="s">
        <v>871</v>
      </c>
      <c r="E605" s="249">
        <v>1</v>
      </c>
      <c r="F605" s="249">
        <v>1</v>
      </c>
      <c r="G605" s="128"/>
    </row>
    <row r="606" spans="1:8" ht="14.25" thickBot="1">
      <c r="A606" s="170">
        <f>_xlfn.XLOOKUP(B606 &amp; "-" &amp; TEXT(C606,"00"),改定!N:N,改定!E:E)</f>
        <v>49853</v>
      </c>
      <c r="B606" s="119" t="s">
        <v>84</v>
      </c>
      <c r="C606" s="124">
        <v>5</v>
      </c>
      <c r="D606" s="242" t="s">
        <v>516</v>
      </c>
    </row>
    <row r="607" spans="1:8" ht="40.5">
      <c r="A607" s="170">
        <f>_xlfn.XLOOKUP(B607 &amp; "-" &amp; TEXT(C607,"00"),改定!N:N,改定!E:E)</f>
        <v>49853</v>
      </c>
      <c r="B607" s="119" t="s">
        <v>84</v>
      </c>
      <c r="C607" s="124">
        <v>5</v>
      </c>
      <c r="D607" s="243" t="s">
        <v>510</v>
      </c>
      <c r="E607" s="249">
        <v>7312</v>
      </c>
      <c r="F607" s="249">
        <v>7312</v>
      </c>
      <c r="G607" s="128"/>
      <c r="H607" s="150" t="s">
        <v>979</v>
      </c>
    </row>
    <row r="608" spans="1:8" ht="41.25" thickBot="1">
      <c r="A608" s="170">
        <f>_xlfn.XLOOKUP(B608 &amp; "-" &amp; TEXT(C608,"00"),改定!N:N,改定!E:E)</f>
        <v>49853</v>
      </c>
      <c r="B608" s="119" t="s">
        <v>95</v>
      </c>
      <c r="C608" s="124">
        <v>0</v>
      </c>
      <c r="D608" s="246" t="s">
        <v>510</v>
      </c>
      <c r="E608" s="249">
        <v>7312</v>
      </c>
      <c r="F608" s="249">
        <v>7312</v>
      </c>
      <c r="G608" s="128"/>
      <c r="H608" s="150" t="s">
        <v>979</v>
      </c>
    </row>
    <row r="609" spans="1:7">
      <c r="A609" s="170">
        <f>_xlfn.XLOOKUP(B609 &amp; "-" &amp; TEXT(C609,"00"),改定!N:N,改定!E:E)</f>
        <v>49853</v>
      </c>
      <c r="B609" s="119" t="s">
        <v>140</v>
      </c>
      <c r="C609" s="124">
        <v>3</v>
      </c>
      <c r="D609" s="237" t="s">
        <v>967</v>
      </c>
      <c r="E609" s="249">
        <v>1758</v>
      </c>
      <c r="F609" s="249">
        <v>1758</v>
      </c>
      <c r="G609" s="128"/>
    </row>
    <row r="610" spans="1:7">
      <c r="A610" s="170">
        <f>_xlfn.XLOOKUP(B610 &amp; "-" &amp; TEXT(C610,"00"),改定!N:N,改定!E:E)</f>
        <v>49853</v>
      </c>
      <c r="B610" s="119" t="s">
        <v>140</v>
      </c>
      <c r="C610" s="124">
        <v>3</v>
      </c>
      <c r="D610" s="237" t="s">
        <v>977</v>
      </c>
      <c r="E610" s="249">
        <v>5768</v>
      </c>
      <c r="F610" s="249">
        <v>5768</v>
      </c>
      <c r="G610" s="128"/>
    </row>
    <row r="611" spans="1:7">
      <c r="A611" s="170">
        <f>_xlfn.XLOOKUP(B611 &amp; "-" &amp; TEXT(C611,"00"),改定!N:N,改定!E:E)</f>
        <v>49853</v>
      </c>
      <c r="B611" s="119" t="s">
        <v>140</v>
      </c>
      <c r="C611" s="124">
        <v>3</v>
      </c>
      <c r="D611" s="237" t="s">
        <v>978</v>
      </c>
      <c r="E611" s="249">
        <v>4442</v>
      </c>
      <c r="F611" s="249">
        <v>4442</v>
      </c>
      <c r="G611" s="128"/>
    </row>
    <row r="612" spans="1:7">
      <c r="A612" s="170">
        <f>_xlfn.XLOOKUP(B612 &amp; "-" &amp; TEXT(C612,"00"),改定!N:N,改定!E:E)</f>
        <v>49853</v>
      </c>
      <c r="B612" s="119" t="s">
        <v>140</v>
      </c>
      <c r="C612" s="124">
        <v>3</v>
      </c>
      <c r="D612" s="237" t="s">
        <v>966</v>
      </c>
      <c r="E612" s="249">
        <v>3982</v>
      </c>
      <c r="F612" s="249">
        <v>3982</v>
      </c>
      <c r="G612" s="128"/>
    </row>
    <row r="613" spans="1:7">
      <c r="A613" s="170">
        <f>_xlfn.XLOOKUP(B613 &amp; "-" &amp; TEXT(C613,"00"),改定!N:N,改定!E:E)</f>
        <v>50075</v>
      </c>
      <c r="B613" s="119" t="s">
        <v>126</v>
      </c>
      <c r="C613" s="124">
        <v>1</v>
      </c>
      <c r="D613" s="237" t="s">
        <v>980</v>
      </c>
      <c r="E613" s="249">
        <v>636</v>
      </c>
      <c r="F613" s="249"/>
      <c r="G613" s="128"/>
    </row>
    <row r="614" spans="1:7">
      <c r="A614" s="170">
        <f>_xlfn.XLOOKUP(B614 &amp; "-" &amp; TEXT(C614,"00"),改定!N:N,改定!E:E)</f>
        <v>50075</v>
      </c>
      <c r="B614" s="119" t="s">
        <v>126</v>
      </c>
      <c r="C614" s="124">
        <v>1</v>
      </c>
      <c r="D614" s="237" t="s">
        <v>981</v>
      </c>
      <c r="E614" s="249">
        <v>252</v>
      </c>
      <c r="F614" s="249"/>
      <c r="G614" s="128"/>
    </row>
    <row r="615" spans="1:7">
      <c r="A615" s="170">
        <f>_xlfn.XLOOKUP(B615 &amp; "-" &amp; TEXT(C615,"00"),改定!N:N,改定!E:E)</f>
        <v>50075</v>
      </c>
      <c r="B615" s="119" t="s">
        <v>126</v>
      </c>
      <c r="C615" s="124">
        <v>1</v>
      </c>
      <c r="D615" s="237" t="s">
        <v>982</v>
      </c>
      <c r="E615" s="249">
        <v>502</v>
      </c>
      <c r="F615" s="249"/>
      <c r="G615" s="128"/>
    </row>
    <row r="616" spans="1:7">
      <c r="A616" s="170">
        <f>_xlfn.XLOOKUP(B616 &amp; "-" &amp; TEXT(C616,"00"),改定!N:N,改定!E:E)</f>
        <v>50075</v>
      </c>
      <c r="B616" s="119" t="s">
        <v>126</v>
      </c>
      <c r="C616" s="124">
        <v>1</v>
      </c>
      <c r="D616" s="237" t="s">
        <v>983</v>
      </c>
      <c r="E616" s="249">
        <v>333</v>
      </c>
      <c r="F616" s="249"/>
      <c r="G616" s="128"/>
    </row>
    <row r="617" spans="1:7">
      <c r="A617" s="170">
        <f>_xlfn.XLOOKUP(B617 &amp; "-" &amp; TEXT(C617,"00"),改定!N:N,改定!E:E)</f>
        <v>50119</v>
      </c>
      <c r="B617" s="119" t="s">
        <v>19</v>
      </c>
      <c r="C617" s="124">
        <v>2</v>
      </c>
      <c r="D617" s="237" t="s">
        <v>975</v>
      </c>
    </row>
    <row r="618" spans="1:7">
      <c r="A618" s="170">
        <f>_xlfn.XLOOKUP(B618 &amp; "-" &amp; TEXT(C618,"00"),改定!N:N,改定!E:E)</f>
        <v>50119</v>
      </c>
      <c r="B618" s="119" t="s">
        <v>19</v>
      </c>
      <c r="C618" s="124">
        <v>2</v>
      </c>
      <c r="D618" s="237" t="s">
        <v>984</v>
      </c>
    </row>
    <row r="619" spans="1:7">
      <c r="A619" s="170">
        <f>_xlfn.XLOOKUP(B619 &amp; "-" &amp; TEXT(C619,"00"),改定!N:N,改定!E:E)</f>
        <v>50119</v>
      </c>
      <c r="B619" s="119" t="s">
        <v>19</v>
      </c>
      <c r="C619" s="124">
        <v>2</v>
      </c>
      <c r="D619" s="237" t="s">
        <v>968</v>
      </c>
    </row>
    <row r="620" spans="1:7">
      <c r="A620" s="170">
        <f>_xlfn.XLOOKUP(B620 &amp; "-" &amp; TEXT(C620,"00"),改定!N:N,改定!E:E)</f>
        <v>50119</v>
      </c>
      <c r="B620" s="119" t="s">
        <v>19</v>
      </c>
      <c r="C620" s="124">
        <v>2</v>
      </c>
      <c r="D620" s="237" t="s">
        <v>985</v>
      </c>
    </row>
    <row r="621" spans="1:7">
      <c r="A621" s="170">
        <f>_xlfn.XLOOKUP(B621 &amp; "-" &amp; TEXT(C621,"00"),改定!N:N,改定!E:E)</f>
        <v>50119</v>
      </c>
      <c r="B621" s="119" t="s">
        <v>19</v>
      </c>
      <c r="C621" s="124">
        <v>2</v>
      </c>
      <c r="D621" s="237" t="s">
        <v>986</v>
      </c>
    </row>
    <row r="622" spans="1:7">
      <c r="A622" s="170">
        <f>_xlfn.XLOOKUP(B622 &amp; "-" &amp; TEXT(C622,"00"),改定!N:N,改定!E:E)</f>
        <v>50119</v>
      </c>
      <c r="B622" s="119" t="s">
        <v>19</v>
      </c>
      <c r="C622" s="124">
        <v>2</v>
      </c>
      <c r="D622" s="237" t="s">
        <v>967</v>
      </c>
    </row>
    <row r="623" spans="1:7">
      <c r="A623" s="170">
        <f>_xlfn.XLOOKUP(B623 &amp; "-" &amp; TEXT(C623,"00"),改定!N:N,改定!E:E)</f>
        <v>50119</v>
      </c>
      <c r="B623" s="119" t="s">
        <v>19</v>
      </c>
      <c r="C623" s="124">
        <v>2</v>
      </c>
      <c r="D623" s="237" t="s">
        <v>987</v>
      </c>
    </row>
    <row r="624" spans="1:7">
      <c r="A624" s="170">
        <f>_xlfn.XLOOKUP(B624 &amp; "-" &amp; TEXT(C624,"00"),改定!N:N,改定!E:E)</f>
        <v>50119</v>
      </c>
      <c r="B624" s="119" t="s">
        <v>19</v>
      </c>
      <c r="C624" s="124">
        <v>2</v>
      </c>
      <c r="D624" s="237" t="s">
        <v>988</v>
      </c>
    </row>
    <row r="625" spans="1:4">
      <c r="A625" s="170">
        <f>_xlfn.XLOOKUP(B625 &amp; "-" &amp; TEXT(C625,"00"),改定!N:N,改定!E:E)</f>
        <v>50119</v>
      </c>
      <c r="B625" s="119" t="s">
        <v>19</v>
      </c>
      <c r="C625" s="124">
        <v>2</v>
      </c>
      <c r="D625" s="237" t="s">
        <v>965</v>
      </c>
    </row>
    <row r="626" spans="1:4">
      <c r="A626" s="170">
        <f>_xlfn.XLOOKUP(B626 &amp; "-" &amp; TEXT(C626,"00"),改定!N:N,改定!E:E)</f>
        <v>50119</v>
      </c>
      <c r="B626" s="119" t="s">
        <v>19</v>
      </c>
      <c r="C626" s="124">
        <v>2</v>
      </c>
      <c r="D626" s="237" t="s">
        <v>966</v>
      </c>
    </row>
    <row r="627" spans="1:4">
      <c r="A627" s="170">
        <f>_xlfn.XLOOKUP(B627 &amp; "-" &amp; TEXT(C627,"00"),改定!N:N,改定!E:E)</f>
        <v>50119</v>
      </c>
      <c r="B627" s="119" t="s">
        <v>19</v>
      </c>
      <c r="C627" s="124">
        <v>2</v>
      </c>
      <c r="D627" s="237" t="s">
        <v>989</v>
      </c>
    </row>
    <row r="628" spans="1:4">
      <c r="A628" s="170">
        <f>_xlfn.XLOOKUP(B628 &amp; "-" &amp; TEXT(C628,"00"),改定!N:N,改定!E:E)</f>
        <v>50119</v>
      </c>
      <c r="B628" s="119" t="s">
        <v>19</v>
      </c>
      <c r="C628" s="124">
        <v>2</v>
      </c>
      <c r="D628" s="237" t="s">
        <v>990</v>
      </c>
    </row>
    <row r="629" spans="1:4">
      <c r="A629" s="170">
        <f>_xlfn.XLOOKUP(B629 &amp; "-" &amp; TEXT(C629,"00"),改定!N:N,改定!E:E)</f>
        <v>50119</v>
      </c>
      <c r="B629" s="119" t="s">
        <v>19</v>
      </c>
      <c r="C629" s="124">
        <v>2</v>
      </c>
      <c r="D629" s="237" t="s">
        <v>991</v>
      </c>
    </row>
    <row r="630" spans="1:4">
      <c r="A630" s="170">
        <f>_xlfn.XLOOKUP(B630 &amp; "-" &amp; TEXT(C630,"00"),改定!N:N,改定!E:E)</f>
        <v>50119</v>
      </c>
      <c r="B630" s="119" t="s">
        <v>19</v>
      </c>
      <c r="C630" s="124">
        <v>2</v>
      </c>
      <c r="D630" s="237" t="s">
        <v>992</v>
      </c>
    </row>
    <row r="631" spans="1:4">
      <c r="A631" s="170">
        <f>_xlfn.XLOOKUP(B631 &amp; "-" &amp; TEXT(C631,"00"),改定!N:N,改定!E:E)</f>
        <v>50119</v>
      </c>
      <c r="B631" s="119" t="s">
        <v>19</v>
      </c>
      <c r="C631" s="124">
        <v>2</v>
      </c>
      <c r="D631" s="237" t="s">
        <v>993</v>
      </c>
    </row>
    <row r="632" spans="1:4">
      <c r="A632" s="170">
        <f>_xlfn.XLOOKUP(B632 &amp; "-" &amp; TEXT(C632,"00"),改定!N:N,改定!E:E)</f>
        <v>50119</v>
      </c>
      <c r="B632" s="119" t="s">
        <v>21</v>
      </c>
      <c r="C632" s="124">
        <v>2</v>
      </c>
      <c r="D632" s="245" t="s">
        <v>510</v>
      </c>
    </row>
    <row r="633" spans="1:4">
      <c r="A633" s="170">
        <f>_xlfn.XLOOKUP(B633 &amp; "-" &amp; TEXT(C633,"00"),改定!N:N,改定!E:E)</f>
        <v>50119</v>
      </c>
      <c r="B633" s="119" t="s">
        <v>21</v>
      </c>
      <c r="C633" s="124">
        <v>2</v>
      </c>
      <c r="D633" s="237" t="s">
        <v>994</v>
      </c>
    </row>
    <row r="634" spans="1:4">
      <c r="A634" s="170">
        <f>_xlfn.XLOOKUP(B634 &amp; "-" &amp; TEXT(C634,"00"),改定!N:N,改定!E:E)</f>
        <v>50119</v>
      </c>
      <c r="B634" s="119" t="s">
        <v>21</v>
      </c>
      <c r="C634" s="124">
        <v>2</v>
      </c>
      <c r="D634" s="237" t="s">
        <v>995</v>
      </c>
    </row>
    <row r="635" spans="1:4">
      <c r="A635" s="170">
        <f>_xlfn.XLOOKUP(B635 &amp; "-" &amp; TEXT(C635,"00"),改定!N:N,改定!E:E)</f>
        <v>50119</v>
      </c>
      <c r="B635" s="119" t="s">
        <v>21</v>
      </c>
      <c r="C635" s="124">
        <v>2</v>
      </c>
      <c r="D635" s="237" t="s">
        <v>996</v>
      </c>
    </row>
    <row r="636" spans="1:4">
      <c r="A636" s="170">
        <f>_xlfn.XLOOKUP(B636 &amp; "-" &amp; TEXT(C636,"00"),改定!N:N,改定!E:E)</f>
        <v>50119</v>
      </c>
      <c r="B636" s="119" t="s">
        <v>21</v>
      </c>
      <c r="C636" s="124">
        <v>2</v>
      </c>
      <c r="D636" s="237" t="s">
        <v>997</v>
      </c>
    </row>
    <row r="637" spans="1:4">
      <c r="A637" s="170">
        <f>_xlfn.XLOOKUP(B637 &amp; "-" &amp; TEXT(C637,"00"),改定!N:N,改定!E:E)</f>
        <v>50119</v>
      </c>
      <c r="B637" s="119" t="s">
        <v>21</v>
      </c>
      <c r="C637" s="124">
        <v>2</v>
      </c>
      <c r="D637" s="237" t="s">
        <v>966</v>
      </c>
    </row>
    <row r="638" spans="1:4">
      <c r="A638" s="170">
        <f>_xlfn.XLOOKUP(B638 &amp; "-" &amp; TEXT(C638,"00"),改定!N:N,改定!E:E)</f>
        <v>50119</v>
      </c>
      <c r="B638" s="119" t="s">
        <v>21</v>
      </c>
      <c r="C638" s="124">
        <v>2</v>
      </c>
      <c r="D638" s="237" t="s">
        <v>998</v>
      </c>
    </row>
    <row r="639" spans="1:4">
      <c r="A639" s="170">
        <f>_xlfn.XLOOKUP(B639 &amp; "-" &amp; TEXT(C639,"00"),改定!N:N,改定!E:E)</f>
        <v>50119</v>
      </c>
      <c r="B639" s="119" t="s">
        <v>21</v>
      </c>
      <c r="C639" s="124">
        <v>2</v>
      </c>
      <c r="D639" s="237" t="s">
        <v>990</v>
      </c>
    </row>
    <row r="640" spans="1:4">
      <c r="A640" s="170">
        <f>_xlfn.XLOOKUP(B640 &amp; "-" &amp; TEXT(C640,"00"),改定!N:N,改定!E:E)</f>
        <v>50119</v>
      </c>
      <c r="B640" s="119" t="s">
        <v>21</v>
      </c>
      <c r="C640" s="124">
        <v>2</v>
      </c>
      <c r="D640" s="237" t="s">
        <v>999</v>
      </c>
    </row>
    <row r="641" spans="1:8">
      <c r="A641" s="170">
        <f>_xlfn.XLOOKUP(B641 &amp; "-" &amp; TEXT(C641,"00"),改定!N:N,改定!E:E)</f>
        <v>50119</v>
      </c>
      <c r="B641" s="119" t="s">
        <v>21</v>
      </c>
      <c r="C641" s="124">
        <v>2</v>
      </c>
      <c r="D641" s="237" t="s">
        <v>1000</v>
      </c>
    </row>
    <row r="642" spans="1:8">
      <c r="A642" s="170">
        <f>_xlfn.XLOOKUP(B642 &amp; "-" &amp; TEXT(C642,"00"),改定!N:N,改定!E:E)</f>
        <v>50119</v>
      </c>
      <c r="B642" s="119" t="s">
        <v>21</v>
      </c>
      <c r="C642" s="124">
        <v>2</v>
      </c>
      <c r="D642" s="237" t="s">
        <v>1001</v>
      </c>
    </row>
    <row r="643" spans="1:8">
      <c r="A643" s="170">
        <f>_xlfn.XLOOKUP(B643 &amp; "-" &amp; TEXT(C643,"00"),改定!N:N,改定!E:E)</f>
        <v>50119</v>
      </c>
      <c r="B643" s="119" t="s">
        <v>21</v>
      </c>
      <c r="C643" s="124">
        <v>2</v>
      </c>
      <c r="D643" s="237" t="s">
        <v>1002</v>
      </c>
    </row>
    <row r="644" spans="1:8">
      <c r="A644" s="170">
        <f>_xlfn.XLOOKUP(B644 &amp; "-" &amp; TEXT(C644,"00"),改定!N:N,改定!E:E)</f>
        <v>50119</v>
      </c>
      <c r="B644" s="119" t="s">
        <v>21</v>
      </c>
      <c r="C644" s="124">
        <v>2</v>
      </c>
      <c r="D644" s="237" t="s">
        <v>1075</v>
      </c>
    </row>
    <row r="645" spans="1:8">
      <c r="A645" s="170">
        <f>_xlfn.XLOOKUP(B645 &amp; "-" &amp; TEXT(C645,"00"),改定!N:N,改定!E:E)</f>
        <v>50119</v>
      </c>
      <c r="B645" s="119" t="s">
        <v>21</v>
      </c>
      <c r="C645" s="124">
        <v>2</v>
      </c>
      <c r="D645" s="237" t="s">
        <v>1003</v>
      </c>
    </row>
    <row r="646" spans="1:8">
      <c r="A646" s="170">
        <f>_xlfn.XLOOKUP(B646 &amp; "-" &amp; TEXT(C646,"00"),改定!N:N,改定!E:E)</f>
        <v>50119</v>
      </c>
      <c r="B646" s="119" t="s">
        <v>21</v>
      </c>
      <c r="C646" s="124">
        <v>2</v>
      </c>
      <c r="D646" s="237" t="s">
        <v>1004</v>
      </c>
    </row>
    <row r="647" spans="1:8">
      <c r="A647" s="170">
        <f>_xlfn.XLOOKUP(B647 &amp; "-" &amp; TEXT(C647,"00"),改定!N:N,改定!E:E)</f>
        <v>50119</v>
      </c>
      <c r="B647" s="119" t="s">
        <v>100</v>
      </c>
      <c r="C647" s="124">
        <v>1</v>
      </c>
      <c r="D647" s="237" t="s">
        <v>995</v>
      </c>
    </row>
    <row r="648" spans="1:8">
      <c r="A648" s="170">
        <f>_xlfn.XLOOKUP(B648 &amp; "-" &amp; TEXT(C648,"00"),改定!N:N,改定!E:E)</f>
        <v>50119</v>
      </c>
      <c r="B648" s="119" t="s">
        <v>192</v>
      </c>
      <c r="C648" s="124">
        <v>1</v>
      </c>
      <c r="D648" s="237" t="s">
        <v>989</v>
      </c>
    </row>
    <row r="649" spans="1:8">
      <c r="A649" s="170">
        <f>_xlfn.XLOOKUP(B649 &amp; "-" &amp; TEXT(C649,"00"),改定!N:N,改定!E:E)</f>
        <v>50132</v>
      </c>
      <c r="B649" s="119" t="s">
        <v>198</v>
      </c>
      <c r="C649" s="124">
        <v>0</v>
      </c>
      <c r="D649" s="234" t="s">
        <v>1005</v>
      </c>
    </row>
    <row r="650" spans="1:8" ht="40.5">
      <c r="A650" s="170">
        <f>_xlfn.XLOOKUP(B650 &amp; "-" &amp; TEXT(C650,"00"),改定!N:N,改定!E:E)</f>
        <v>50149</v>
      </c>
      <c r="B650" s="119" t="s">
        <v>203</v>
      </c>
      <c r="C650" s="124">
        <v>2</v>
      </c>
      <c r="D650" s="234" t="s">
        <v>996</v>
      </c>
      <c r="E650" s="249">
        <v>2050</v>
      </c>
      <c r="F650" s="249"/>
      <c r="G650" s="128"/>
      <c r="H650" s="150" t="s">
        <v>1007</v>
      </c>
    </row>
    <row r="651" spans="1:8" ht="40.5">
      <c r="A651" s="170">
        <f>_xlfn.XLOOKUP(B651 &amp; "-" &amp; TEXT(C651,"00"),改定!N:N,改定!E:E)</f>
        <v>50149</v>
      </c>
      <c r="B651" s="119" t="s">
        <v>204</v>
      </c>
      <c r="C651" s="124">
        <v>2</v>
      </c>
      <c r="D651" s="234" t="s">
        <v>996</v>
      </c>
      <c r="E651" s="249">
        <v>2050</v>
      </c>
      <c r="F651" s="249"/>
      <c r="G651" s="128"/>
      <c r="H651" s="150" t="s">
        <v>1007</v>
      </c>
    </row>
    <row r="652" spans="1:8">
      <c r="A652" s="170">
        <f>_xlfn.XLOOKUP(B652 &amp; "-" &amp; TEXT(C652,"00"),改定!N:N,改定!E:E)</f>
        <v>50149</v>
      </c>
      <c r="B652" s="119" t="s">
        <v>204</v>
      </c>
      <c r="C652" s="124">
        <v>2</v>
      </c>
      <c r="D652" s="234" t="s">
        <v>1006</v>
      </c>
      <c r="E652" s="249">
        <v>10</v>
      </c>
      <c r="F652" s="249"/>
      <c r="G652" s="128"/>
    </row>
    <row r="653" spans="1:8">
      <c r="A653" s="170">
        <f>_xlfn.XLOOKUP(B653 &amp; "-" &amp; TEXT(C653,"00"),改定!N:N,改定!E:E)</f>
        <v>50187</v>
      </c>
      <c r="B653" s="119" t="s">
        <v>177</v>
      </c>
      <c r="C653" s="124">
        <v>0</v>
      </c>
      <c r="D653" s="234" t="s">
        <v>1008</v>
      </c>
      <c r="E653" s="249">
        <v>10</v>
      </c>
      <c r="F653" s="249"/>
      <c r="G653" s="128" t="s">
        <v>1176</v>
      </c>
    </row>
    <row r="654" spans="1:8">
      <c r="A654" s="170">
        <f>_xlfn.XLOOKUP(B654 &amp; "-" &amp; TEXT(C654,"00"),改定!N:N,改定!E:E)</f>
        <v>50197</v>
      </c>
      <c r="B654" s="119" t="s">
        <v>37</v>
      </c>
      <c r="C654" s="124">
        <v>2</v>
      </c>
      <c r="D654" s="234" t="s">
        <v>1009</v>
      </c>
      <c r="E654" s="249">
        <v>7</v>
      </c>
      <c r="F654" s="249"/>
      <c r="G654" s="128"/>
    </row>
    <row r="655" spans="1:8">
      <c r="A655" s="170">
        <f>_xlfn.XLOOKUP(B655 &amp; "-" &amp; TEXT(C655,"00"),改定!N:N,改定!E:E)</f>
        <v>50296</v>
      </c>
      <c r="B655" s="119" t="s">
        <v>163</v>
      </c>
      <c r="C655" s="124">
        <v>1</v>
      </c>
      <c r="D655" s="234" t="s">
        <v>1010</v>
      </c>
      <c r="E655" s="249">
        <v>2</v>
      </c>
      <c r="F655" s="249"/>
      <c r="G655" s="128"/>
    </row>
    <row r="656" spans="1:8">
      <c r="A656" s="170">
        <f>_xlfn.XLOOKUP(B656 &amp; "-" &amp; TEXT(C656,"00"),改定!N:N,改定!E:E)</f>
        <v>50296</v>
      </c>
      <c r="B656" s="119" t="s">
        <v>163</v>
      </c>
      <c r="C656" s="124">
        <v>1</v>
      </c>
      <c r="D656" s="234" t="s">
        <v>1011</v>
      </c>
      <c r="E656" s="249">
        <v>2</v>
      </c>
      <c r="F656" s="249"/>
      <c r="G656" s="128"/>
    </row>
    <row r="657" spans="1:8">
      <c r="A657" s="170">
        <f>_xlfn.XLOOKUP(B657 &amp; "-" &amp; TEXT(C657,"00"),改定!N:N,改定!E:E)</f>
        <v>50366</v>
      </c>
      <c r="B657" s="119" t="s">
        <v>73</v>
      </c>
      <c r="C657" s="124">
        <v>1</v>
      </c>
      <c r="D657" s="234" t="s">
        <v>1012</v>
      </c>
      <c r="E657" s="249">
        <v>1085</v>
      </c>
      <c r="F657" s="249">
        <v>1085</v>
      </c>
      <c r="G657" s="128"/>
    </row>
    <row r="658" spans="1:8">
      <c r="A658" s="170">
        <f>_xlfn.XLOOKUP(B658 &amp; "-" &amp; TEXT(C658,"00"),改定!N:N,改定!E:E)</f>
        <v>50366</v>
      </c>
      <c r="B658" s="119" t="s">
        <v>73</v>
      </c>
      <c r="C658" s="124">
        <v>1</v>
      </c>
      <c r="D658" s="234" t="s">
        <v>1013</v>
      </c>
      <c r="E658" s="249">
        <v>518</v>
      </c>
      <c r="F658" s="249">
        <v>518</v>
      </c>
      <c r="G658" s="128"/>
    </row>
    <row r="659" spans="1:8">
      <c r="A659" s="170">
        <f>_xlfn.XLOOKUP(B659 &amp; "-" &amp; TEXT(C659,"00"),改定!N:N,改定!E:E)</f>
        <v>50466</v>
      </c>
      <c r="B659" s="119" t="s">
        <v>86</v>
      </c>
      <c r="C659" s="124">
        <v>2</v>
      </c>
      <c r="D659" s="234" t="s">
        <v>975</v>
      </c>
    </row>
    <row r="660" spans="1:8">
      <c r="A660" s="170">
        <f>_xlfn.XLOOKUP(B660 &amp; "-" &amp; TEXT(C660,"00"),改定!N:N,改定!E:E)</f>
        <v>50466</v>
      </c>
      <c r="B660" s="119" t="s">
        <v>95</v>
      </c>
      <c r="C660" s="124">
        <v>1</v>
      </c>
      <c r="D660" s="234" t="s">
        <v>1014</v>
      </c>
    </row>
    <row r="661" spans="1:8">
      <c r="A661" s="170">
        <f>_xlfn.XLOOKUP(B661 &amp; "-" &amp; TEXT(C661,"00"),改定!N:N,改定!E:E)</f>
        <v>50567</v>
      </c>
      <c r="B661" s="119" t="s">
        <v>169</v>
      </c>
      <c r="C661" s="124">
        <v>0</v>
      </c>
      <c r="D661" s="234" t="s">
        <v>1010</v>
      </c>
      <c r="E661" s="249">
        <v>2</v>
      </c>
      <c r="F661" s="249"/>
      <c r="G661" s="128"/>
    </row>
    <row r="662" spans="1:8">
      <c r="A662" s="170">
        <f>_xlfn.XLOOKUP(B662 &amp; "-" &amp; TEXT(C662,"00"),改定!N:N,改定!E:E)</f>
        <v>50770</v>
      </c>
      <c r="B662" s="119" t="s">
        <v>66</v>
      </c>
      <c r="C662" s="124">
        <v>0</v>
      </c>
      <c r="D662" s="234" t="s">
        <v>1016</v>
      </c>
    </row>
    <row r="663" spans="1:8">
      <c r="A663" s="170">
        <f>_xlfn.XLOOKUP(B663 &amp; "-" &amp; TEXT(C663,"00"),改定!N:N,改定!E:E)</f>
        <v>50851</v>
      </c>
      <c r="B663" s="119" t="s">
        <v>25</v>
      </c>
      <c r="C663" s="124">
        <v>1</v>
      </c>
      <c r="D663" s="234" t="s">
        <v>1017</v>
      </c>
    </row>
    <row r="664" spans="1:8">
      <c r="A664" s="170">
        <f>_xlfn.XLOOKUP(B664 &amp; "-" &amp; TEXT(C664,"00"),改定!N:N,改定!E:E)</f>
        <v>50879</v>
      </c>
      <c r="B664" s="119" t="s">
        <v>19</v>
      </c>
      <c r="C664" s="124">
        <v>5</v>
      </c>
      <c r="D664" s="237" t="s">
        <v>975</v>
      </c>
    </row>
    <row r="665" spans="1:8" ht="40.5">
      <c r="A665" s="170">
        <f>_xlfn.XLOOKUP(B665 &amp; "-" &amp; TEXT(C665,"00"),改定!N:N,改定!E:E)</f>
        <v>50879</v>
      </c>
      <c r="B665" s="119" t="s">
        <v>19</v>
      </c>
      <c r="C665" s="124">
        <v>5</v>
      </c>
      <c r="D665" s="237" t="s">
        <v>984</v>
      </c>
      <c r="E665" s="249">
        <v>2379</v>
      </c>
      <c r="F665" s="249">
        <v>2379</v>
      </c>
      <c r="G665" s="128"/>
      <c r="H665" s="150" t="s">
        <v>1020</v>
      </c>
    </row>
    <row r="666" spans="1:8">
      <c r="A666" s="170">
        <f>_xlfn.XLOOKUP(B666 &amp; "-" &amp; TEXT(C666,"00"),改定!N:N,改定!E:E)</f>
        <v>50879</v>
      </c>
      <c r="B666" s="119" t="s">
        <v>1018</v>
      </c>
      <c r="C666" s="124">
        <v>5</v>
      </c>
      <c r="D666" s="237" t="s">
        <v>968</v>
      </c>
    </row>
    <row r="667" spans="1:8">
      <c r="A667" s="170">
        <f>_xlfn.XLOOKUP(B667 &amp; "-" &amp; TEXT(C667,"00"),改定!N:N,改定!E:E)</f>
        <v>50879</v>
      </c>
      <c r="B667" s="119" t="s">
        <v>1018</v>
      </c>
      <c r="C667" s="124">
        <v>5</v>
      </c>
      <c r="D667" s="237" t="s">
        <v>985</v>
      </c>
    </row>
    <row r="668" spans="1:8">
      <c r="A668" s="170">
        <f>_xlfn.XLOOKUP(B668 &amp; "-" &amp; TEXT(C668,"00"),改定!N:N,改定!E:E)</f>
        <v>50879</v>
      </c>
      <c r="B668" s="119" t="s">
        <v>1018</v>
      </c>
      <c r="C668" s="124">
        <v>5</v>
      </c>
      <c r="D668" s="237" t="s">
        <v>986</v>
      </c>
    </row>
    <row r="669" spans="1:8">
      <c r="A669" s="170">
        <f>_xlfn.XLOOKUP(B669 &amp; "-" &amp; TEXT(C669,"00"),改定!N:N,改定!E:E)</f>
        <v>50879</v>
      </c>
      <c r="B669" s="119" t="s">
        <v>1018</v>
      </c>
      <c r="C669" s="124">
        <v>5</v>
      </c>
      <c r="D669" s="237" t="s">
        <v>967</v>
      </c>
    </row>
    <row r="670" spans="1:8">
      <c r="A670" s="170">
        <f>_xlfn.XLOOKUP(B670 &amp; "-" &amp; TEXT(C670,"00"),改定!N:N,改定!E:E)</f>
        <v>50879</v>
      </c>
      <c r="B670" s="119" t="s">
        <v>1018</v>
      </c>
      <c r="C670" s="124">
        <v>5</v>
      </c>
      <c r="D670" s="237" t="s">
        <v>987</v>
      </c>
      <c r="E670" s="249">
        <v>1568</v>
      </c>
      <c r="F670" s="249">
        <v>1568</v>
      </c>
      <c r="G670" s="128"/>
    </row>
    <row r="671" spans="1:8">
      <c r="A671" s="170">
        <f>_xlfn.XLOOKUP(B671 &amp; "-" &amp; TEXT(C671,"00"),改定!N:N,改定!E:E)</f>
        <v>50879</v>
      </c>
      <c r="B671" s="119" t="s">
        <v>1018</v>
      </c>
      <c r="C671" s="124">
        <v>5</v>
      </c>
      <c r="D671" s="237" t="s">
        <v>988</v>
      </c>
      <c r="E671" s="249">
        <v>7</v>
      </c>
      <c r="F671" s="249">
        <v>7</v>
      </c>
      <c r="G671" s="128"/>
    </row>
    <row r="672" spans="1:8" ht="40.5">
      <c r="A672" s="170">
        <f>_xlfn.XLOOKUP(B672 &amp; "-" &amp; TEXT(C672,"00"),改定!N:N,改定!E:E)</f>
        <v>50879</v>
      </c>
      <c r="B672" s="119" t="s">
        <v>1018</v>
      </c>
      <c r="C672" s="124">
        <v>5</v>
      </c>
      <c r="D672" s="237" t="s">
        <v>965</v>
      </c>
      <c r="E672" s="249">
        <v>3795</v>
      </c>
      <c r="F672" s="249">
        <v>3795</v>
      </c>
      <c r="G672" s="128"/>
      <c r="H672" s="150" t="s">
        <v>1020</v>
      </c>
    </row>
    <row r="673" spans="1:8" ht="40.5">
      <c r="A673" s="170">
        <f>_xlfn.XLOOKUP(B673 &amp; "-" &amp; TEXT(C673,"00"),改定!N:N,改定!E:E)</f>
        <v>50879</v>
      </c>
      <c r="B673" s="119" t="s">
        <v>1018</v>
      </c>
      <c r="C673" s="124">
        <v>5</v>
      </c>
      <c r="D673" s="237" t="s">
        <v>966</v>
      </c>
      <c r="E673" s="249">
        <v>5642</v>
      </c>
      <c r="F673" s="249">
        <v>5642</v>
      </c>
      <c r="G673" s="128"/>
      <c r="H673" s="150" t="s">
        <v>1020</v>
      </c>
    </row>
    <row r="674" spans="1:8">
      <c r="A674" s="170">
        <f>_xlfn.XLOOKUP(B674 &amp; "-" &amp; TEXT(C674,"00"),改定!N:N,改定!E:E)</f>
        <v>50879</v>
      </c>
      <c r="B674" s="119" t="s">
        <v>1018</v>
      </c>
      <c r="C674" s="124">
        <v>5</v>
      </c>
      <c r="D674" s="237" t="s">
        <v>989</v>
      </c>
      <c r="E674" s="249">
        <v>1857</v>
      </c>
      <c r="F674" s="249">
        <v>1857</v>
      </c>
      <c r="G674" s="128"/>
    </row>
    <row r="675" spans="1:8">
      <c r="A675" s="170">
        <f>_xlfn.XLOOKUP(B675 &amp; "-" &amp; TEXT(C675,"00"),改定!N:N,改定!E:E)</f>
        <v>50879</v>
      </c>
      <c r="B675" s="119" t="s">
        <v>1018</v>
      </c>
      <c r="C675" s="124">
        <v>5</v>
      </c>
      <c r="D675" s="237" t="s">
        <v>990</v>
      </c>
    </row>
    <row r="676" spans="1:8" ht="40.5">
      <c r="A676" s="170">
        <f>_xlfn.XLOOKUP(B676 &amp; "-" &amp; TEXT(C676,"00"),改定!N:N,改定!E:E)</f>
        <v>50879</v>
      </c>
      <c r="B676" s="119" t="s">
        <v>1018</v>
      </c>
      <c r="C676" s="124">
        <v>5</v>
      </c>
      <c r="D676" s="237" t="s">
        <v>991</v>
      </c>
      <c r="E676" s="249">
        <v>3113</v>
      </c>
      <c r="F676" s="249">
        <v>3113</v>
      </c>
      <c r="G676" s="128"/>
      <c r="H676" s="150" t="s">
        <v>1020</v>
      </c>
    </row>
    <row r="677" spans="1:8" ht="40.5">
      <c r="A677" s="170">
        <f>_xlfn.XLOOKUP(B677 &amp; "-" &amp; TEXT(C677,"00"),改定!N:N,改定!E:E)</f>
        <v>50879</v>
      </c>
      <c r="B677" s="119" t="s">
        <v>1018</v>
      </c>
      <c r="C677" s="124">
        <v>5</v>
      </c>
      <c r="D677" s="237" t="s">
        <v>992</v>
      </c>
      <c r="E677" s="249">
        <v>3435</v>
      </c>
      <c r="F677" s="249">
        <v>3435</v>
      </c>
      <c r="G677" s="128"/>
      <c r="H677" s="150" t="s">
        <v>1020</v>
      </c>
    </row>
    <row r="678" spans="1:8" ht="40.5">
      <c r="A678" s="170">
        <f>_xlfn.XLOOKUP(B678 &amp; "-" &amp; TEXT(C678,"00"),改定!N:N,改定!E:E)</f>
        <v>50879</v>
      </c>
      <c r="B678" s="119" t="s">
        <v>1018</v>
      </c>
      <c r="C678" s="124">
        <v>5</v>
      </c>
      <c r="D678" s="237" t="s">
        <v>993</v>
      </c>
      <c r="E678" s="249">
        <v>4303</v>
      </c>
      <c r="F678" s="249">
        <v>4303</v>
      </c>
      <c r="G678" s="128"/>
      <c r="H678" s="150" t="s">
        <v>1020</v>
      </c>
    </row>
    <row r="679" spans="1:8">
      <c r="A679" s="170">
        <f>_xlfn.XLOOKUP(B679 &amp; "-" &amp; TEXT(C679,"00"),改定!N:N,改定!E:E)</f>
        <v>50879</v>
      </c>
      <c r="B679" s="119" t="s">
        <v>21</v>
      </c>
      <c r="C679" s="124">
        <v>5</v>
      </c>
      <c r="D679" s="245" t="s">
        <v>510</v>
      </c>
    </row>
    <row r="680" spans="1:8">
      <c r="A680" s="170">
        <f>_xlfn.XLOOKUP(B680 &amp; "-" &amp; TEXT(C680,"00"),改定!N:N,改定!E:E)</f>
        <v>50879</v>
      </c>
      <c r="B680" s="119" t="s">
        <v>21</v>
      </c>
      <c r="C680" s="124">
        <v>5</v>
      </c>
      <c r="D680" s="237" t="s">
        <v>994</v>
      </c>
    </row>
    <row r="681" spans="1:8">
      <c r="A681" s="170">
        <f>_xlfn.XLOOKUP(B681 &amp; "-" &amp; TEXT(C681,"00"),改定!N:N,改定!E:E)</f>
        <v>50879</v>
      </c>
      <c r="B681" s="119" t="s">
        <v>1019</v>
      </c>
      <c r="C681" s="124">
        <v>5</v>
      </c>
      <c r="D681" s="237" t="s">
        <v>995</v>
      </c>
    </row>
    <row r="682" spans="1:8">
      <c r="A682" s="170">
        <f>_xlfn.XLOOKUP(B682 &amp; "-" &amp; TEXT(C682,"00"),改定!N:N,改定!E:E)</f>
        <v>50879</v>
      </c>
      <c r="B682" s="119" t="s">
        <v>1019</v>
      </c>
      <c r="C682" s="124">
        <v>5</v>
      </c>
      <c r="D682" s="237" t="s">
        <v>996</v>
      </c>
      <c r="E682" s="249">
        <v>2379</v>
      </c>
      <c r="F682" s="249">
        <v>2379</v>
      </c>
      <c r="G682" s="128"/>
    </row>
    <row r="683" spans="1:8">
      <c r="A683" s="170">
        <f>_xlfn.XLOOKUP(B683 &amp; "-" &amp; TEXT(C683,"00"),改定!N:N,改定!E:E)</f>
        <v>50879</v>
      </c>
      <c r="B683" s="119" t="s">
        <v>1019</v>
      </c>
      <c r="C683" s="124">
        <v>5</v>
      </c>
      <c r="D683" s="237" t="s">
        <v>997</v>
      </c>
      <c r="E683" s="249">
        <v>24</v>
      </c>
      <c r="F683" s="249">
        <v>24</v>
      </c>
      <c r="G683" s="128"/>
    </row>
    <row r="684" spans="1:8" ht="40.5">
      <c r="A684" s="170">
        <f>_xlfn.XLOOKUP(B684 &amp; "-" &amp; TEXT(C684,"00"),改定!N:N,改定!E:E)</f>
        <v>50879</v>
      </c>
      <c r="B684" s="119" t="s">
        <v>1019</v>
      </c>
      <c r="C684" s="124">
        <v>5</v>
      </c>
      <c r="D684" s="237" t="s">
        <v>966</v>
      </c>
      <c r="E684" s="249">
        <v>5642</v>
      </c>
      <c r="F684" s="249">
        <v>5642</v>
      </c>
      <c r="G684" s="128"/>
      <c r="H684" s="150" t="s">
        <v>1020</v>
      </c>
    </row>
    <row r="685" spans="1:8" ht="40.5">
      <c r="A685" s="170">
        <f>_xlfn.XLOOKUP(B685 &amp; "-" &amp; TEXT(C685,"00"),改定!N:N,改定!E:E)</f>
        <v>50879</v>
      </c>
      <c r="B685" s="119" t="s">
        <v>1019</v>
      </c>
      <c r="C685" s="124">
        <v>5</v>
      </c>
      <c r="D685" s="237" t="s">
        <v>998</v>
      </c>
      <c r="E685" s="249">
        <v>3795</v>
      </c>
      <c r="F685" s="249">
        <v>3795</v>
      </c>
      <c r="G685" s="128"/>
      <c r="H685" s="150" t="s">
        <v>1020</v>
      </c>
    </row>
    <row r="686" spans="1:8">
      <c r="A686" s="170">
        <f>_xlfn.XLOOKUP(B686 &amp; "-" &amp; TEXT(C686,"00"),改定!N:N,改定!E:E)</f>
        <v>50879</v>
      </c>
      <c r="B686" s="119" t="s">
        <v>1019</v>
      </c>
      <c r="C686" s="124">
        <v>5</v>
      </c>
      <c r="D686" s="237" t="s">
        <v>990</v>
      </c>
    </row>
    <row r="687" spans="1:8">
      <c r="A687" s="170">
        <f>_xlfn.XLOOKUP(B687 &amp; "-" &amp; TEXT(C687,"00"),改定!N:N,改定!E:E)</f>
        <v>50879</v>
      </c>
      <c r="B687" s="119" t="s">
        <v>1019</v>
      </c>
      <c r="C687" s="124">
        <v>5</v>
      </c>
      <c r="D687" s="237" t="s">
        <v>999</v>
      </c>
      <c r="E687" s="249">
        <v>379</v>
      </c>
      <c r="F687" s="249">
        <v>379</v>
      </c>
      <c r="G687" s="128"/>
    </row>
    <row r="688" spans="1:8" ht="40.5">
      <c r="A688" s="170">
        <f>_xlfn.XLOOKUP(B688 &amp; "-" &amp; TEXT(C688,"00"),改定!N:N,改定!E:E)</f>
        <v>50879</v>
      </c>
      <c r="B688" s="119" t="s">
        <v>1019</v>
      </c>
      <c r="C688" s="124">
        <v>5</v>
      </c>
      <c r="D688" s="237" t="s">
        <v>1000</v>
      </c>
      <c r="E688" s="249">
        <v>3113</v>
      </c>
      <c r="F688" s="249">
        <v>3113</v>
      </c>
      <c r="G688" s="128"/>
      <c r="H688" s="150" t="s">
        <v>1020</v>
      </c>
    </row>
    <row r="689" spans="1:8" ht="40.5">
      <c r="A689" s="170">
        <f>_xlfn.XLOOKUP(B689 &amp; "-" &amp; TEXT(C689,"00"),改定!N:N,改定!E:E)</f>
        <v>50879</v>
      </c>
      <c r="B689" s="119" t="s">
        <v>1019</v>
      </c>
      <c r="C689" s="124">
        <v>5</v>
      </c>
      <c r="D689" s="237" t="s">
        <v>1001</v>
      </c>
      <c r="E689" s="249">
        <v>3435</v>
      </c>
      <c r="F689" s="249">
        <v>3435</v>
      </c>
      <c r="G689" s="128"/>
      <c r="H689" s="150" t="s">
        <v>1020</v>
      </c>
    </row>
    <row r="690" spans="1:8">
      <c r="A690" s="170">
        <f>_xlfn.XLOOKUP(B690 &amp; "-" &amp; TEXT(C690,"00"),改定!N:N,改定!E:E)</f>
        <v>50879</v>
      </c>
      <c r="B690" s="119" t="s">
        <v>1019</v>
      </c>
      <c r="C690" s="124">
        <v>5</v>
      </c>
      <c r="D690" s="237" t="s">
        <v>1002</v>
      </c>
      <c r="E690" s="249">
        <v>84</v>
      </c>
      <c r="F690" s="249">
        <v>84</v>
      </c>
      <c r="G690" s="128"/>
    </row>
    <row r="691" spans="1:8" ht="40.5">
      <c r="A691" s="170">
        <f>_xlfn.XLOOKUP(B691 &amp; "-" &amp; TEXT(C691,"00"),改定!N:N,改定!E:E)</f>
        <v>50879</v>
      </c>
      <c r="B691" s="119" t="s">
        <v>1019</v>
      </c>
      <c r="C691" s="124">
        <v>5</v>
      </c>
      <c r="D691" s="237" t="s">
        <v>1095</v>
      </c>
      <c r="E691" s="249">
        <v>4303</v>
      </c>
      <c r="F691" s="249">
        <v>4303</v>
      </c>
      <c r="G691" s="128"/>
      <c r="H691" s="150" t="s">
        <v>1020</v>
      </c>
    </row>
    <row r="692" spans="1:8">
      <c r="A692" s="170">
        <f>_xlfn.XLOOKUP(B692 &amp; "-" &amp; TEXT(C692,"00"),改定!N:N,改定!E:E)</f>
        <v>50879</v>
      </c>
      <c r="B692" s="119" t="s">
        <v>1019</v>
      </c>
      <c r="C692" s="124">
        <v>5</v>
      </c>
      <c r="D692" s="237" t="s">
        <v>1003</v>
      </c>
      <c r="E692" s="249">
        <v>24</v>
      </c>
      <c r="F692" s="249">
        <v>24</v>
      </c>
      <c r="G692" s="128"/>
    </row>
    <row r="693" spans="1:8">
      <c r="A693" s="170">
        <f>_xlfn.XLOOKUP(B693 &amp; "-" &amp; TEXT(C693,"00"),改定!N:N,改定!E:E)</f>
        <v>50879</v>
      </c>
      <c r="B693" s="119" t="s">
        <v>1019</v>
      </c>
      <c r="C693" s="124">
        <v>5</v>
      </c>
      <c r="D693" s="237" t="s">
        <v>1004</v>
      </c>
      <c r="E693" s="249">
        <v>4</v>
      </c>
      <c r="F693" s="249">
        <v>4</v>
      </c>
      <c r="G693" s="128"/>
    </row>
    <row r="694" spans="1:8">
      <c r="A694" s="170">
        <f>_xlfn.XLOOKUP(B694 &amp; "-" &amp; TEXT(C694,"00"),改定!N:N,改定!E:E)</f>
        <v>50879</v>
      </c>
      <c r="B694" s="119" t="s">
        <v>184</v>
      </c>
      <c r="C694" s="124">
        <v>2</v>
      </c>
      <c r="D694" s="234" t="s">
        <v>988</v>
      </c>
      <c r="E694" s="249">
        <v>7</v>
      </c>
      <c r="F694" s="249">
        <v>7</v>
      </c>
      <c r="G694" s="128"/>
    </row>
    <row r="695" spans="1:8">
      <c r="A695" s="170">
        <f>_xlfn.XLOOKUP(B695 &amp; "-" &amp; TEXT(C695,"00"),改定!N:N,改定!E:E)</f>
        <v>50883</v>
      </c>
      <c r="B695" s="119" t="s">
        <v>163</v>
      </c>
      <c r="C695" s="124">
        <v>2</v>
      </c>
      <c r="D695" s="234" t="s">
        <v>1021</v>
      </c>
    </row>
    <row r="696" spans="1:8">
      <c r="A696" s="170">
        <f>_xlfn.XLOOKUP(B696 &amp; "-" &amp; TEXT(C696,"00"),改定!N:N,改定!E:E)</f>
        <v>50883</v>
      </c>
      <c r="B696" s="119" t="s">
        <v>163</v>
      </c>
      <c r="C696" s="124">
        <v>2</v>
      </c>
      <c r="D696" s="234" t="s">
        <v>1017</v>
      </c>
    </row>
    <row r="697" spans="1:8">
      <c r="A697" s="170">
        <f>_xlfn.XLOOKUP(B697 &amp; "-" &amp; TEXT(C697,"00"),改定!N:N,改定!E:E)</f>
        <v>50883</v>
      </c>
      <c r="B697" s="119" t="s">
        <v>169</v>
      </c>
      <c r="C697" s="124">
        <v>1</v>
      </c>
      <c r="D697" s="234" t="s">
        <v>1017</v>
      </c>
    </row>
    <row r="698" spans="1:8">
      <c r="A698" s="170">
        <f>_xlfn.XLOOKUP(B698 &amp; "-" &amp; TEXT(C698,"00"),改定!N:N,改定!E:E)</f>
        <v>50888</v>
      </c>
      <c r="B698" s="119" t="s">
        <v>37</v>
      </c>
      <c r="C698" s="124">
        <v>3</v>
      </c>
      <c r="D698" s="234" t="s">
        <v>1009</v>
      </c>
      <c r="E698" s="249">
        <v>7</v>
      </c>
      <c r="F698" s="249">
        <v>7</v>
      </c>
      <c r="G698" s="128"/>
    </row>
    <row r="699" spans="1:8">
      <c r="A699" s="170">
        <f>_xlfn.XLOOKUP(B699 &amp; "-" &amp; TEXT(C699,"00"),改定!N:N,改定!E:E)</f>
        <v>50895</v>
      </c>
      <c r="B699" s="119" t="s">
        <v>221</v>
      </c>
      <c r="C699" s="124">
        <v>1</v>
      </c>
      <c r="D699" s="234" t="s">
        <v>1002</v>
      </c>
      <c r="E699" s="249">
        <v>76</v>
      </c>
      <c r="F699" s="249">
        <v>76</v>
      </c>
      <c r="G699" s="128"/>
    </row>
    <row r="700" spans="1:8">
      <c r="A700" s="170">
        <f>_xlfn.XLOOKUP(B700 &amp; "-" &amp; TEXT(C700,"00"),改定!N:N,改定!E:E)</f>
        <v>50895</v>
      </c>
      <c r="B700" s="119" t="s">
        <v>221</v>
      </c>
      <c r="C700" s="124">
        <v>1</v>
      </c>
      <c r="D700" s="234" t="s">
        <v>993</v>
      </c>
      <c r="E700" s="249">
        <v>4129</v>
      </c>
      <c r="F700" s="249">
        <v>4129</v>
      </c>
      <c r="G700" s="128"/>
    </row>
    <row r="701" spans="1:8">
      <c r="A701" s="170">
        <f>_xlfn.XLOOKUP(B701 &amp; "-" &amp; TEXT(C701,"00"),改定!N:N,改定!E:E)</f>
        <v>50895</v>
      </c>
      <c r="B701" s="119" t="s">
        <v>221</v>
      </c>
      <c r="C701" s="124">
        <v>1</v>
      </c>
      <c r="D701" s="234" t="s">
        <v>991</v>
      </c>
      <c r="E701" s="249">
        <v>2856</v>
      </c>
      <c r="F701" s="249">
        <v>2859</v>
      </c>
      <c r="G701" s="128"/>
    </row>
    <row r="702" spans="1:8">
      <c r="A702" s="170">
        <f>_xlfn.XLOOKUP(B702 &amp; "-" &amp; TEXT(C702,"00"),改定!N:N,改定!E:E)</f>
        <v>50895</v>
      </c>
      <c r="B702" s="119" t="s">
        <v>221</v>
      </c>
      <c r="C702" s="124">
        <v>1</v>
      </c>
      <c r="D702" s="234" t="s">
        <v>1004</v>
      </c>
      <c r="E702" s="249">
        <v>1</v>
      </c>
      <c r="F702" s="249">
        <v>1</v>
      </c>
      <c r="G702" s="128"/>
    </row>
    <row r="703" spans="1:8">
      <c r="A703" s="170">
        <f>_xlfn.XLOOKUP(B703 &amp; "-" &amp; TEXT(C703,"00"),改定!N:N,改定!E:E)</f>
        <v>50895</v>
      </c>
      <c r="B703" s="119" t="s">
        <v>221</v>
      </c>
      <c r="C703" s="124">
        <v>1</v>
      </c>
      <c r="D703" s="234" t="s">
        <v>1022</v>
      </c>
      <c r="E703" s="249">
        <v>3219</v>
      </c>
      <c r="F703" s="249">
        <v>3219</v>
      </c>
      <c r="G703" s="128"/>
    </row>
    <row r="704" spans="1:8">
      <c r="A704" s="170">
        <f>_xlfn.XLOOKUP(B704 &amp; "-" &amp; TEXT(C704,"00"),改定!N:N,改定!E:E)</f>
        <v>50895</v>
      </c>
      <c r="B704" s="119" t="s">
        <v>221</v>
      </c>
      <c r="C704" s="124">
        <v>1</v>
      </c>
      <c r="D704" s="234" t="s">
        <v>1003</v>
      </c>
      <c r="E704" s="249">
        <v>1</v>
      </c>
      <c r="F704" s="249">
        <v>1</v>
      </c>
      <c r="G704" s="128"/>
    </row>
    <row r="705" spans="1:8">
      <c r="A705" s="170">
        <f>_xlfn.XLOOKUP(B705 &amp; "-" &amp; TEXT(C705,"00"),改定!N:N,改定!E:E)</f>
        <v>50924</v>
      </c>
      <c r="B705" s="119" t="s">
        <v>19</v>
      </c>
      <c r="C705" s="124">
        <v>3</v>
      </c>
      <c r="D705" s="237" t="s">
        <v>975</v>
      </c>
    </row>
    <row r="706" spans="1:8">
      <c r="A706" s="170">
        <f>_xlfn.XLOOKUP(B706 &amp; "-" &amp; TEXT(C706,"00"),改定!N:N,改定!E:E)</f>
        <v>50924</v>
      </c>
      <c r="B706" s="119" t="s">
        <v>19</v>
      </c>
      <c r="C706" s="124">
        <v>3</v>
      </c>
      <c r="D706" s="237" t="s">
        <v>984</v>
      </c>
      <c r="E706" s="249"/>
      <c r="F706" s="249"/>
      <c r="G706" s="128"/>
      <c r="H706" s="150"/>
    </row>
    <row r="707" spans="1:8">
      <c r="A707" s="170">
        <f>_xlfn.XLOOKUP(B707 &amp; "-" &amp; TEXT(C707,"00"),改定!N:N,改定!E:E)</f>
        <v>50924</v>
      </c>
      <c r="B707" s="119" t="s">
        <v>1018</v>
      </c>
      <c r="C707" s="124">
        <v>3</v>
      </c>
      <c r="D707" s="237" t="s">
        <v>968</v>
      </c>
    </row>
    <row r="708" spans="1:8">
      <c r="A708" s="170">
        <f>_xlfn.XLOOKUP(B708 &amp; "-" &amp; TEXT(C708,"00"),改定!N:N,改定!E:E)</f>
        <v>50924</v>
      </c>
      <c r="B708" s="119" t="s">
        <v>1018</v>
      </c>
      <c r="C708" s="124">
        <v>3</v>
      </c>
      <c r="D708" s="237" t="s">
        <v>985</v>
      </c>
    </row>
    <row r="709" spans="1:8">
      <c r="A709" s="170">
        <f>_xlfn.XLOOKUP(B709 &amp; "-" &amp; TEXT(C709,"00"),改定!N:N,改定!E:E)</f>
        <v>50924</v>
      </c>
      <c r="B709" s="119" t="s">
        <v>1018</v>
      </c>
      <c r="C709" s="124">
        <v>3</v>
      </c>
      <c r="D709" s="237" t="s">
        <v>986</v>
      </c>
    </row>
    <row r="710" spans="1:8">
      <c r="A710" s="170">
        <f>_xlfn.XLOOKUP(B710 &amp; "-" &amp; TEXT(C710,"00"),改定!N:N,改定!E:E)</f>
        <v>50924</v>
      </c>
      <c r="B710" s="119" t="s">
        <v>1018</v>
      </c>
      <c r="C710" s="124">
        <v>3</v>
      </c>
      <c r="D710" s="237" t="s">
        <v>967</v>
      </c>
    </row>
    <row r="711" spans="1:8">
      <c r="A711" s="170">
        <f>_xlfn.XLOOKUP(B711 &amp; "-" &amp; TEXT(C711,"00"),改定!N:N,改定!E:E)</f>
        <v>50924</v>
      </c>
      <c r="B711" s="119" t="s">
        <v>1018</v>
      </c>
      <c r="C711" s="124">
        <v>3</v>
      </c>
      <c r="D711" s="237" t="s">
        <v>987</v>
      </c>
      <c r="E711" s="249"/>
      <c r="F711" s="249"/>
      <c r="G711" s="128"/>
    </row>
    <row r="712" spans="1:8">
      <c r="A712" s="170">
        <f>_xlfn.XLOOKUP(B712 &amp; "-" &amp; TEXT(C712,"00"),改定!N:N,改定!E:E)</f>
        <v>50924</v>
      </c>
      <c r="B712" s="119" t="s">
        <v>1018</v>
      </c>
      <c r="C712" s="124">
        <v>3</v>
      </c>
      <c r="D712" s="237" t="s">
        <v>988</v>
      </c>
      <c r="E712" s="249"/>
      <c r="F712" s="249"/>
      <c r="G712" s="128"/>
    </row>
    <row r="713" spans="1:8">
      <c r="A713" s="170">
        <f>_xlfn.XLOOKUP(B713 &amp; "-" &amp; TEXT(C713,"00"),改定!N:N,改定!E:E)</f>
        <v>50924</v>
      </c>
      <c r="B713" s="119" t="s">
        <v>1018</v>
      </c>
      <c r="C713" s="124">
        <v>3</v>
      </c>
      <c r="D713" s="237" t="s">
        <v>965</v>
      </c>
      <c r="E713" s="249"/>
      <c r="F713" s="249"/>
      <c r="G713" s="128"/>
      <c r="H713" s="150"/>
    </row>
    <row r="714" spans="1:8">
      <c r="A714" s="170">
        <f>_xlfn.XLOOKUP(B714 &amp; "-" &amp; TEXT(C714,"00"),改定!N:N,改定!E:E)</f>
        <v>50924</v>
      </c>
      <c r="B714" s="119" t="s">
        <v>1018</v>
      </c>
      <c r="C714" s="124">
        <v>3</v>
      </c>
      <c r="D714" s="237" t="s">
        <v>966</v>
      </c>
      <c r="E714" s="249"/>
      <c r="F714" s="249"/>
      <c r="G714" s="128"/>
      <c r="H714" s="150"/>
    </row>
    <row r="715" spans="1:8">
      <c r="A715" s="170">
        <f>_xlfn.XLOOKUP(B715 &amp; "-" &amp; TEXT(C715,"00"),改定!N:N,改定!E:E)</f>
        <v>50924</v>
      </c>
      <c r="B715" s="119" t="s">
        <v>1018</v>
      </c>
      <c r="C715" s="124">
        <v>3</v>
      </c>
      <c r="D715" s="237" t="s">
        <v>989</v>
      </c>
      <c r="E715" s="249"/>
      <c r="F715" s="249"/>
      <c r="G715" s="128"/>
    </row>
    <row r="716" spans="1:8">
      <c r="A716" s="170">
        <f>_xlfn.XLOOKUP(B716 &amp; "-" &amp; TEXT(C716,"00"),改定!N:N,改定!E:E)</f>
        <v>50924</v>
      </c>
      <c r="B716" s="119" t="s">
        <v>1018</v>
      </c>
      <c r="C716" s="124">
        <v>3</v>
      </c>
      <c r="D716" s="237" t="s">
        <v>990</v>
      </c>
    </row>
    <row r="717" spans="1:8">
      <c r="A717" s="170">
        <f>_xlfn.XLOOKUP(B717 &amp; "-" &amp; TEXT(C717,"00"),改定!N:N,改定!E:E)</f>
        <v>50924</v>
      </c>
      <c r="B717" s="119" t="s">
        <v>1018</v>
      </c>
      <c r="C717" s="124">
        <v>3</v>
      </c>
      <c r="D717" s="237" t="s">
        <v>991</v>
      </c>
      <c r="E717" s="249"/>
      <c r="F717" s="249"/>
      <c r="G717" s="128"/>
      <c r="H717" s="150"/>
    </row>
    <row r="718" spans="1:8">
      <c r="A718" s="170">
        <f>_xlfn.XLOOKUP(B718 &amp; "-" &amp; TEXT(C718,"00"),改定!N:N,改定!E:E)</f>
        <v>50924</v>
      </c>
      <c r="B718" s="119" t="s">
        <v>1018</v>
      </c>
      <c r="C718" s="124">
        <v>3</v>
      </c>
      <c r="D718" s="237" t="s">
        <v>992</v>
      </c>
      <c r="E718" s="249"/>
      <c r="F718" s="249"/>
      <c r="G718" s="128"/>
      <c r="H718" s="150"/>
    </row>
    <row r="719" spans="1:8">
      <c r="A719" s="170">
        <f>_xlfn.XLOOKUP(B719 &amp; "-" &amp; TEXT(C719,"00"),改定!N:N,改定!E:E)</f>
        <v>50924</v>
      </c>
      <c r="B719" s="119" t="s">
        <v>1018</v>
      </c>
      <c r="C719" s="124">
        <v>3</v>
      </c>
      <c r="D719" s="237" t="s">
        <v>993</v>
      </c>
      <c r="E719" s="249"/>
      <c r="F719" s="249"/>
      <c r="G719" s="128"/>
    </row>
    <row r="720" spans="1:8">
      <c r="A720" s="170">
        <f>_xlfn.XLOOKUP(B720 &amp; "-" &amp; TEXT(C720,"00"),改定!N:N,改定!E:E)</f>
        <v>50924</v>
      </c>
      <c r="B720" s="119" t="s">
        <v>21</v>
      </c>
      <c r="C720" s="124">
        <v>3</v>
      </c>
      <c r="D720" s="245" t="s">
        <v>510</v>
      </c>
    </row>
    <row r="721" spans="1:8">
      <c r="A721" s="170">
        <f>_xlfn.XLOOKUP(B721 &amp; "-" &amp; TEXT(C721,"00"),改定!N:N,改定!E:E)</f>
        <v>50924</v>
      </c>
      <c r="B721" s="119" t="s">
        <v>21</v>
      </c>
      <c r="C721" s="124">
        <v>3</v>
      </c>
      <c r="D721" s="237" t="s">
        <v>994</v>
      </c>
    </row>
    <row r="722" spans="1:8">
      <c r="A722" s="170">
        <f>_xlfn.XLOOKUP(B722 &amp; "-" &amp; TEXT(C722,"00"),改定!N:N,改定!E:E)</f>
        <v>50924</v>
      </c>
      <c r="B722" s="119" t="s">
        <v>1019</v>
      </c>
      <c r="C722" s="124">
        <v>3</v>
      </c>
      <c r="D722" s="237" t="s">
        <v>995</v>
      </c>
    </row>
    <row r="723" spans="1:8">
      <c r="A723" s="170">
        <f>_xlfn.XLOOKUP(B723 &amp; "-" &amp; TEXT(C723,"00"),改定!N:N,改定!E:E)</f>
        <v>50924</v>
      </c>
      <c r="B723" s="119" t="s">
        <v>1019</v>
      </c>
      <c r="C723" s="124">
        <v>3</v>
      </c>
      <c r="D723" s="237" t="s">
        <v>996</v>
      </c>
      <c r="E723" s="249"/>
      <c r="F723" s="249"/>
      <c r="G723" s="128"/>
    </row>
    <row r="724" spans="1:8">
      <c r="A724" s="170">
        <f>_xlfn.XLOOKUP(B724 &amp; "-" &amp; TEXT(C724,"00"),改定!N:N,改定!E:E)</f>
        <v>50924</v>
      </c>
      <c r="B724" s="119" t="s">
        <v>1019</v>
      </c>
      <c r="C724" s="124">
        <v>3</v>
      </c>
      <c r="D724" s="237" t="s">
        <v>997</v>
      </c>
      <c r="E724" s="249"/>
      <c r="F724" s="249"/>
      <c r="G724" s="128"/>
    </row>
    <row r="725" spans="1:8">
      <c r="A725" s="170">
        <f>_xlfn.XLOOKUP(B725 &amp; "-" &amp; TEXT(C725,"00"),改定!N:N,改定!E:E)</f>
        <v>50924</v>
      </c>
      <c r="B725" s="119" t="s">
        <v>1019</v>
      </c>
      <c r="C725" s="124">
        <v>3</v>
      </c>
      <c r="D725" s="237" t="s">
        <v>966</v>
      </c>
      <c r="E725" s="249"/>
      <c r="F725" s="249"/>
      <c r="G725" s="128"/>
      <c r="H725" s="150"/>
    </row>
    <row r="726" spans="1:8">
      <c r="A726" s="170">
        <f>_xlfn.XLOOKUP(B726 &amp; "-" &amp; TEXT(C726,"00"),改定!N:N,改定!E:E)</f>
        <v>50924</v>
      </c>
      <c r="B726" s="119" t="s">
        <v>1019</v>
      </c>
      <c r="C726" s="124">
        <v>3</v>
      </c>
      <c r="D726" s="237" t="s">
        <v>998</v>
      </c>
      <c r="E726" s="249"/>
      <c r="F726" s="249"/>
      <c r="G726" s="128"/>
      <c r="H726" s="150"/>
    </row>
    <row r="727" spans="1:8">
      <c r="A727" s="170">
        <f>_xlfn.XLOOKUP(B727 &amp; "-" &amp; TEXT(C727,"00"),改定!N:N,改定!E:E)</f>
        <v>50924</v>
      </c>
      <c r="B727" s="119" t="s">
        <v>1019</v>
      </c>
      <c r="C727" s="124">
        <v>3</v>
      </c>
      <c r="D727" s="237" t="s">
        <v>990</v>
      </c>
    </row>
    <row r="728" spans="1:8">
      <c r="A728" s="170">
        <f>_xlfn.XLOOKUP(B728 &amp; "-" &amp; TEXT(C728,"00"),改定!N:N,改定!E:E)</f>
        <v>50924</v>
      </c>
      <c r="B728" s="119" t="s">
        <v>1019</v>
      </c>
      <c r="C728" s="124">
        <v>3</v>
      </c>
      <c r="D728" s="237" t="s">
        <v>999</v>
      </c>
      <c r="E728" s="249">
        <v>6</v>
      </c>
      <c r="F728" s="249">
        <v>6</v>
      </c>
      <c r="G728" s="128"/>
    </row>
    <row r="729" spans="1:8">
      <c r="A729" s="170">
        <f>_xlfn.XLOOKUP(B729 &amp; "-" &amp; TEXT(C729,"00"),改定!N:N,改定!E:E)</f>
        <v>50924</v>
      </c>
      <c r="B729" s="119" t="s">
        <v>1019</v>
      </c>
      <c r="C729" s="124">
        <v>3</v>
      </c>
      <c r="D729" s="237" t="s">
        <v>1000</v>
      </c>
      <c r="E729" s="249"/>
      <c r="F729" s="249"/>
      <c r="G729" s="128"/>
      <c r="H729" s="150"/>
    </row>
    <row r="730" spans="1:8">
      <c r="A730" s="170">
        <f>_xlfn.XLOOKUP(B730 &amp; "-" &amp; TEXT(C730,"00"),改定!N:N,改定!E:E)</f>
        <v>50924</v>
      </c>
      <c r="B730" s="119" t="s">
        <v>1019</v>
      </c>
      <c r="C730" s="124">
        <v>3</v>
      </c>
      <c r="D730" s="237" t="s">
        <v>1001</v>
      </c>
      <c r="E730" s="249"/>
      <c r="F730" s="249"/>
      <c r="G730" s="128"/>
      <c r="H730" s="150"/>
    </row>
    <row r="731" spans="1:8">
      <c r="A731" s="170">
        <f>_xlfn.XLOOKUP(B731 &amp; "-" &amp; TEXT(C731,"00"),改定!N:N,改定!E:E)</f>
        <v>50924</v>
      </c>
      <c r="B731" s="119" t="s">
        <v>1019</v>
      </c>
      <c r="C731" s="124">
        <v>3</v>
      </c>
      <c r="D731" s="237" t="s">
        <v>1002</v>
      </c>
      <c r="E731" s="249"/>
      <c r="F731" s="249"/>
      <c r="G731" s="128"/>
    </row>
    <row r="732" spans="1:8">
      <c r="A732" s="170">
        <f>_xlfn.XLOOKUP(B732 &amp; "-" &amp; TEXT(C732,"00"),改定!N:N,改定!E:E)</f>
        <v>50924</v>
      </c>
      <c r="B732" s="119" t="s">
        <v>1019</v>
      </c>
      <c r="C732" s="124">
        <v>3</v>
      </c>
      <c r="D732" s="237" t="s">
        <v>225</v>
      </c>
      <c r="E732" s="249"/>
      <c r="F732" s="249"/>
      <c r="G732" s="128"/>
    </row>
    <row r="733" spans="1:8">
      <c r="A733" s="170">
        <f>_xlfn.XLOOKUP(B733 &amp; "-" &amp; TEXT(C733,"00"),改定!N:N,改定!E:E)</f>
        <v>50924</v>
      </c>
      <c r="B733" s="119" t="s">
        <v>1019</v>
      </c>
      <c r="C733" s="124">
        <v>3</v>
      </c>
      <c r="D733" s="237" t="s">
        <v>1003</v>
      </c>
      <c r="E733" s="249"/>
      <c r="F733" s="249"/>
      <c r="G733" s="128"/>
    </row>
    <row r="734" spans="1:8">
      <c r="A734" s="170">
        <f>_xlfn.XLOOKUP(B734 &amp; "-" &amp; TEXT(C734,"00"),改定!N:N,改定!E:E)</f>
        <v>50924</v>
      </c>
      <c r="B734" s="119" t="s">
        <v>1019</v>
      </c>
      <c r="C734" s="124">
        <v>3</v>
      </c>
      <c r="D734" s="237" t="s">
        <v>1004</v>
      </c>
      <c r="E734" s="249"/>
      <c r="F734" s="249"/>
      <c r="G734" s="128"/>
    </row>
    <row r="735" spans="1:8">
      <c r="A735" s="170">
        <f>_xlfn.XLOOKUP(B735 &amp; "-" &amp; TEXT(C735,"00"),改定!N:N,改定!E:E)</f>
        <v>51075</v>
      </c>
      <c r="B735" s="119" t="s">
        <v>75</v>
      </c>
      <c r="C735" s="124">
        <v>0</v>
      </c>
      <c r="D735" s="234" t="s">
        <v>1012</v>
      </c>
      <c r="E735" s="249">
        <v>618</v>
      </c>
      <c r="F735" s="249">
        <v>618</v>
      </c>
      <c r="G735" s="128"/>
    </row>
    <row r="736" spans="1:8">
      <c r="A736" s="170">
        <f>_xlfn.XLOOKUP(B736 &amp; "-" &amp; TEXT(C736,"00"),改定!N:N,改定!E:E)</f>
        <v>51075</v>
      </c>
      <c r="B736" s="119" t="s">
        <v>75</v>
      </c>
      <c r="C736" s="124">
        <v>0</v>
      </c>
      <c r="D736" s="234" t="s">
        <v>1023</v>
      </c>
      <c r="E736" s="249">
        <v>1187</v>
      </c>
      <c r="F736" s="249">
        <v>1187</v>
      </c>
      <c r="G736" s="128"/>
    </row>
    <row r="737" spans="1:8">
      <c r="A737" s="170">
        <f>_xlfn.XLOOKUP(B737 &amp; "-" &amp; TEXT(C737,"00"),改定!N:N,改定!E:E)</f>
        <v>51075</v>
      </c>
      <c r="B737" s="119" t="s">
        <v>128</v>
      </c>
      <c r="C737" s="124">
        <v>0</v>
      </c>
      <c r="D737" s="234" t="s">
        <v>980</v>
      </c>
      <c r="E737" s="249">
        <v>816</v>
      </c>
      <c r="F737" s="249">
        <v>816</v>
      </c>
      <c r="G737" s="128"/>
    </row>
    <row r="738" spans="1:8">
      <c r="A738" s="170">
        <f>_xlfn.XLOOKUP(B738 &amp; "-" &amp; TEXT(C738,"00"),改定!N:N,改定!E:E)</f>
        <v>51075</v>
      </c>
      <c r="B738" s="119" t="s">
        <v>128</v>
      </c>
      <c r="C738" s="124">
        <v>0</v>
      </c>
      <c r="D738" s="234" t="s">
        <v>1024</v>
      </c>
      <c r="E738" s="249">
        <v>393</v>
      </c>
      <c r="F738" s="249">
        <v>393</v>
      </c>
      <c r="G738" s="128"/>
    </row>
    <row r="739" spans="1:8">
      <c r="A739" s="170">
        <f>_xlfn.XLOOKUP(B739 &amp; "-" &amp; TEXT(C739,"00"),改定!N:N,改定!E:E)</f>
        <v>51075</v>
      </c>
      <c r="B739" s="119" t="s">
        <v>808</v>
      </c>
      <c r="C739" s="124">
        <v>0</v>
      </c>
      <c r="D739" s="234" t="s">
        <v>1025</v>
      </c>
      <c r="E739" s="249">
        <v>668</v>
      </c>
      <c r="F739" s="249">
        <v>667</v>
      </c>
      <c r="G739" s="128"/>
    </row>
    <row r="740" spans="1:8">
      <c r="A740" s="170">
        <f>_xlfn.XLOOKUP(B740 &amp; "-" &amp; TEXT(C740,"00"),改定!N:N,改定!E:E)</f>
        <v>51075</v>
      </c>
      <c r="B740" s="119" t="s">
        <v>808</v>
      </c>
      <c r="C740" s="124">
        <v>0</v>
      </c>
      <c r="D740" s="234" t="s">
        <v>1026</v>
      </c>
      <c r="E740" s="249">
        <v>459</v>
      </c>
      <c r="F740" s="249">
        <v>459</v>
      </c>
      <c r="G740" s="128"/>
    </row>
    <row r="741" spans="1:8">
      <c r="A741" s="170">
        <f>_xlfn.XLOOKUP(B741 &amp; "-" &amp; TEXT(C741,"00"),改定!N:N,改定!E:E)</f>
        <v>51091</v>
      </c>
      <c r="B741" s="119" t="s">
        <v>133</v>
      </c>
      <c r="C741" s="124">
        <v>3</v>
      </c>
      <c r="D741" s="234" t="s">
        <v>1027</v>
      </c>
      <c r="E741" s="249">
        <v>1</v>
      </c>
      <c r="F741" s="249">
        <v>5</v>
      </c>
      <c r="G741" s="128"/>
    </row>
    <row r="742" spans="1:8">
      <c r="A742" s="170">
        <f>_xlfn.XLOOKUP(B742 &amp; "-" &amp; TEXT(C742,"00"),改定!N:N,改定!E:E)</f>
        <v>51091</v>
      </c>
      <c r="B742" s="119" t="s">
        <v>133</v>
      </c>
      <c r="C742" s="124">
        <v>3</v>
      </c>
      <c r="D742" s="234" t="s">
        <v>1028</v>
      </c>
      <c r="E742" s="249">
        <v>6</v>
      </c>
      <c r="F742" s="249">
        <v>6</v>
      </c>
      <c r="G742" s="128"/>
    </row>
    <row r="743" spans="1:8">
      <c r="A743" s="170">
        <f>_xlfn.XLOOKUP(B743 &amp; "-" &amp; TEXT(C743,"00"),改定!N:N,改定!E:E)</f>
        <v>51091</v>
      </c>
      <c r="B743" s="119" t="s">
        <v>133</v>
      </c>
      <c r="C743" s="124">
        <v>3</v>
      </c>
      <c r="D743" s="234" t="s">
        <v>1029</v>
      </c>
      <c r="E743" s="249">
        <v>3559</v>
      </c>
      <c r="F743" s="249">
        <v>3564</v>
      </c>
      <c r="G743" s="128"/>
    </row>
    <row r="744" spans="1:8">
      <c r="A744" s="170">
        <f>_xlfn.XLOOKUP(B744 &amp; "-" &amp; TEXT(C744,"00"),改定!N:N,改定!E:E)</f>
        <v>51119</v>
      </c>
      <c r="B744" s="119" t="s">
        <v>37</v>
      </c>
      <c r="C744" s="124">
        <v>4</v>
      </c>
      <c r="D744" s="234" t="s">
        <v>1030</v>
      </c>
      <c r="E744" s="249">
        <v>16</v>
      </c>
      <c r="F744" s="249">
        <v>16</v>
      </c>
      <c r="G744" s="128"/>
    </row>
    <row r="745" spans="1:8" ht="27">
      <c r="A745" s="170">
        <f>_xlfn.XLOOKUP(B745 &amp; "-" &amp; TEXT(C745,"00"),改定!N:N,改定!E:E)</f>
        <v>51129</v>
      </c>
      <c r="B745" s="119" t="s">
        <v>19</v>
      </c>
      <c r="C745" s="124">
        <v>4</v>
      </c>
      <c r="D745" s="237" t="s">
        <v>895</v>
      </c>
      <c r="E745" s="249">
        <v>7953</v>
      </c>
      <c r="F745" s="249">
        <v>7953</v>
      </c>
      <c r="G745" s="128"/>
      <c r="H745" s="150" t="s">
        <v>1031</v>
      </c>
    </row>
    <row r="746" spans="1:8" ht="27">
      <c r="A746" s="170">
        <f>_xlfn.XLOOKUP(B746 &amp; "-" &amp; TEXT(C746,"00"),改定!N:N,改定!E:E)</f>
        <v>51129</v>
      </c>
      <c r="B746" s="119" t="s">
        <v>19</v>
      </c>
      <c r="C746" s="124">
        <v>4</v>
      </c>
      <c r="D746" s="237" t="s">
        <v>870</v>
      </c>
      <c r="E746" s="249">
        <v>2241</v>
      </c>
      <c r="F746" s="249">
        <v>2241</v>
      </c>
      <c r="G746" s="128"/>
      <c r="H746" s="150" t="s">
        <v>1031</v>
      </c>
    </row>
    <row r="747" spans="1:8">
      <c r="A747" s="170">
        <f>_xlfn.XLOOKUP(B747 &amp; "-" &amp; TEXT(C747,"00"),改定!N:N,改定!E:E)</f>
        <v>51129</v>
      </c>
      <c r="B747" s="119" t="s">
        <v>1018</v>
      </c>
      <c r="C747" s="124">
        <v>4</v>
      </c>
      <c r="D747" s="237" t="s">
        <v>831</v>
      </c>
      <c r="E747" s="249">
        <v>6821</v>
      </c>
      <c r="F747" s="249">
        <v>6821</v>
      </c>
      <c r="G747" s="128"/>
    </row>
    <row r="748" spans="1:8">
      <c r="A748" s="170">
        <f>_xlfn.XLOOKUP(B748 &amp; "-" &amp; TEXT(C748,"00"),改定!N:N,改定!E:E)</f>
        <v>51129</v>
      </c>
      <c r="B748" s="119" t="s">
        <v>1018</v>
      </c>
      <c r="C748" s="124">
        <v>4</v>
      </c>
      <c r="D748" s="237" t="s">
        <v>887</v>
      </c>
      <c r="E748" s="249">
        <v>1943</v>
      </c>
      <c r="F748" s="249">
        <v>1943</v>
      </c>
      <c r="G748" s="128"/>
    </row>
    <row r="749" spans="1:8">
      <c r="A749" s="170">
        <f>_xlfn.XLOOKUP(B749 &amp; "-" &amp; TEXT(C749,"00"),改定!N:N,改定!E:E)</f>
        <v>51129</v>
      </c>
      <c r="B749" s="119" t="s">
        <v>1018</v>
      </c>
      <c r="C749" s="124">
        <v>4</v>
      </c>
      <c r="D749" s="237" t="s">
        <v>832</v>
      </c>
      <c r="E749" s="249">
        <v>5454</v>
      </c>
      <c r="F749" s="249">
        <v>5454</v>
      </c>
      <c r="G749" s="128"/>
    </row>
    <row r="750" spans="1:8">
      <c r="A750" s="170">
        <f>_xlfn.XLOOKUP(B750 &amp; "-" &amp; TEXT(C750,"00"),改定!N:N,改定!E:E)</f>
        <v>51129</v>
      </c>
      <c r="B750" s="119" t="s">
        <v>1018</v>
      </c>
      <c r="C750" s="124">
        <v>4</v>
      </c>
      <c r="D750" s="237" t="s">
        <v>810</v>
      </c>
      <c r="E750" s="249">
        <v>1832</v>
      </c>
      <c r="F750" s="249">
        <v>1832</v>
      </c>
      <c r="G750" s="128"/>
    </row>
    <row r="751" spans="1:8">
      <c r="A751" s="170">
        <f>_xlfn.XLOOKUP(B751 &amp; "-" &amp; TEXT(C751,"00"),改定!N:N,改定!E:E)</f>
        <v>51129</v>
      </c>
      <c r="B751" s="119" t="s">
        <v>1018</v>
      </c>
      <c r="C751" s="124">
        <v>4</v>
      </c>
      <c r="D751" s="237" t="s">
        <v>860</v>
      </c>
      <c r="E751" s="249">
        <v>1373</v>
      </c>
      <c r="F751" s="249">
        <v>1373</v>
      </c>
      <c r="G751" s="128"/>
    </row>
    <row r="752" spans="1:8">
      <c r="A752" s="170">
        <f>_xlfn.XLOOKUP(B752 &amp; "-" &amp; TEXT(C752,"00"),改定!N:N,改定!E:E)</f>
        <v>51129</v>
      </c>
      <c r="B752" s="119" t="s">
        <v>1018</v>
      </c>
      <c r="C752" s="124">
        <v>4</v>
      </c>
      <c r="D752" s="237" t="s">
        <v>861</v>
      </c>
      <c r="E752" s="249">
        <v>1</v>
      </c>
      <c r="F752" s="249">
        <v>1</v>
      </c>
      <c r="G752" s="128"/>
    </row>
    <row r="753" spans="1:8" ht="27">
      <c r="A753" s="170">
        <f>_xlfn.XLOOKUP(B753 &amp; "-" &amp; TEXT(C753,"00"),改定!N:N,改定!E:E)</f>
        <v>51129</v>
      </c>
      <c r="B753" s="119" t="s">
        <v>1018</v>
      </c>
      <c r="C753" s="124">
        <v>4</v>
      </c>
      <c r="D753" s="237" t="s">
        <v>27</v>
      </c>
      <c r="E753" s="249">
        <v>3787</v>
      </c>
      <c r="F753" s="249">
        <v>3787</v>
      </c>
      <c r="G753" s="128"/>
      <c r="H753" s="150" t="s">
        <v>1031</v>
      </c>
    </row>
    <row r="754" spans="1:8" ht="27">
      <c r="A754" s="170">
        <f>_xlfn.XLOOKUP(B754 &amp; "-" &amp; TEXT(C754,"00"),改定!N:N,改定!E:E)</f>
        <v>51129</v>
      </c>
      <c r="B754" s="119" t="s">
        <v>1018</v>
      </c>
      <c r="C754" s="124">
        <v>4</v>
      </c>
      <c r="D754" s="237" t="s">
        <v>835</v>
      </c>
      <c r="E754" s="249">
        <v>5398</v>
      </c>
      <c r="F754" s="249">
        <v>5398</v>
      </c>
      <c r="G754" s="128"/>
      <c r="H754" s="150" t="s">
        <v>1031</v>
      </c>
    </row>
    <row r="755" spans="1:8">
      <c r="A755" s="170">
        <f>_xlfn.XLOOKUP(B755 &amp; "-" &amp; TEXT(C755,"00"),改定!N:N,改定!E:E)</f>
        <v>51129</v>
      </c>
      <c r="B755" s="119" t="s">
        <v>1018</v>
      </c>
      <c r="C755" s="124">
        <v>4</v>
      </c>
      <c r="D755" s="237" t="s">
        <v>856</v>
      </c>
      <c r="E755" s="249">
        <v>1774</v>
      </c>
      <c r="F755" s="249">
        <v>1774</v>
      </c>
      <c r="G755" s="128"/>
    </row>
    <row r="756" spans="1:8">
      <c r="A756" s="170">
        <f>_xlfn.XLOOKUP(B756 &amp; "-" &amp; TEXT(C756,"00"),改定!N:N,改定!E:E)</f>
        <v>51129</v>
      </c>
      <c r="B756" s="119" t="s">
        <v>1018</v>
      </c>
      <c r="C756" s="124">
        <v>4</v>
      </c>
      <c r="D756" s="237" t="s">
        <v>892</v>
      </c>
    </row>
    <row r="757" spans="1:8" ht="27">
      <c r="A757" s="170">
        <f>_xlfn.XLOOKUP(B757 &amp; "-" &amp; TEXT(C757,"00"),改定!N:N,改定!E:E)</f>
        <v>51129</v>
      </c>
      <c r="B757" s="119" t="s">
        <v>1018</v>
      </c>
      <c r="C757" s="124">
        <v>4</v>
      </c>
      <c r="D757" s="237" t="s">
        <v>542</v>
      </c>
      <c r="E757" s="249">
        <v>2544</v>
      </c>
      <c r="F757" s="249">
        <v>2544</v>
      </c>
      <c r="G757" s="128"/>
      <c r="H757" s="150" t="s">
        <v>1031</v>
      </c>
    </row>
    <row r="758" spans="1:8" ht="27">
      <c r="A758" s="170">
        <f>_xlfn.XLOOKUP(B758 &amp; "-" &amp; TEXT(C758,"00"),改定!N:N,改定!E:E)</f>
        <v>51129</v>
      </c>
      <c r="B758" s="119" t="s">
        <v>1018</v>
      </c>
      <c r="C758" s="124">
        <v>4</v>
      </c>
      <c r="D758" s="237" t="s">
        <v>992</v>
      </c>
      <c r="E758" s="249">
        <v>2895</v>
      </c>
      <c r="F758" s="249">
        <v>2895</v>
      </c>
      <c r="G758" s="128"/>
      <c r="H758" s="150" t="s">
        <v>1031</v>
      </c>
    </row>
    <row r="759" spans="1:8" ht="27">
      <c r="A759" s="170">
        <f>_xlfn.XLOOKUP(B759 &amp; "-" &amp; TEXT(C759,"00"),改定!N:N,改定!E:E)</f>
        <v>51129</v>
      </c>
      <c r="B759" s="119" t="s">
        <v>1018</v>
      </c>
      <c r="C759" s="124">
        <v>4</v>
      </c>
      <c r="D759" s="237" t="s">
        <v>225</v>
      </c>
      <c r="E759" s="249">
        <v>3763</v>
      </c>
      <c r="F759" s="249">
        <v>3763</v>
      </c>
      <c r="G759" s="128"/>
      <c r="H759" s="150" t="s">
        <v>1031</v>
      </c>
    </row>
    <row r="760" spans="1:8" ht="27">
      <c r="A760" s="170">
        <f>_xlfn.XLOOKUP(B760 &amp; "-" &amp; TEXT(C760,"00"),改定!N:N,改定!E:E)</f>
        <v>51129</v>
      </c>
      <c r="B760" s="119" t="s">
        <v>21</v>
      </c>
      <c r="C760" s="124">
        <v>4</v>
      </c>
      <c r="D760" s="245" t="s">
        <v>510</v>
      </c>
      <c r="E760" s="249">
        <v>7953</v>
      </c>
      <c r="F760" s="249">
        <v>7953</v>
      </c>
      <c r="G760" s="128"/>
      <c r="H760" s="150" t="s">
        <v>1031</v>
      </c>
    </row>
    <row r="761" spans="1:8">
      <c r="A761" s="170">
        <f>_xlfn.XLOOKUP(B761 &amp; "-" &amp; TEXT(C761,"00"),改定!N:N,改定!E:E)</f>
        <v>51129</v>
      </c>
      <c r="B761" s="119" t="s">
        <v>21</v>
      </c>
      <c r="C761" s="124">
        <v>4</v>
      </c>
      <c r="D761" s="237" t="s">
        <v>946</v>
      </c>
    </row>
    <row r="762" spans="1:8">
      <c r="A762" s="170">
        <f>_xlfn.XLOOKUP(B762 &amp; "-" &amp; TEXT(C762,"00"),改定!N:N,改定!E:E)</f>
        <v>51129</v>
      </c>
      <c r="B762" s="119" t="s">
        <v>1019</v>
      </c>
      <c r="C762" s="124">
        <v>4</v>
      </c>
      <c r="D762" s="237" t="s">
        <v>869</v>
      </c>
      <c r="E762" s="249">
        <v>1665</v>
      </c>
      <c r="F762" s="249">
        <v>1665</v>
      </c>
      <c r="G762" s="128"/>
    </row>
    <row r="763" spans="1:8" ht="27">
      <c r="A763" s="170">
        <f>_xlfn.XLOOKUP(B763 &amp; "-" &amp; TEXT(C763,"00"),改定!N:N,改定!E:E)</f>
        <v>51129</v>
      </c>
      <c r="B763" s="119" t="s">
        <v>1019</v>
      </c>
      <c r="C763" s="124">
        <v>4</v>
      </c>
      <c r="D763" s="237" t="s">
        <v>202</v>
      </c>
      <c r="E763" s="249">
        <v>2241</v>
      </c>
      <c r="F763" s="249">
        <v>2241</v>
      </c>
      <c r="G763" s="128"/>
      <c r="H763" s="150" t="s">
        <v>1031</v>
      </c>
    </row>
    <row r="764" spans="1:8">
      <c r="A764" s="170">
        <f>_xlfn.XLOOKUP(B764 &amp; "-" &amp; TEXT(C764,"00"),改定!N:N,改定!E:E)</f>
        <v>51129</v>
      </c>
      <c r="B764" s="119" t="s">
        <v>1019</v>
      </c>
      <c r="C764" s="124">
        <v>4</v>
      </c>
      <c r="D764" s="237" t="s">
        <v>947</v>
      </c>
      <c r="E764" s="249">
        <v>15</v>
      </c>
      <c r="F764" s="249">
        <v>15</v>
      </c>
      <c r="G764" s="128"/>
    </row>
    <row r="765" spans="1:8" ht="27">
      <c r="A765" s="170">
        <f>_xlfn.XLOOKUP(B765 &amp; "-" &amp; TEXT(C765,"00"),改定!N:N,改定!E:E)</f>
        <v>51129</v>
      </c>
      <c r="B765" s="119" t="s">
        <v>1019</v>
      </c>
      <c r="C765" s="124">
        <v>4</v>
      </c>
      <c r="D765" s="237" t="s">
        <v>835</v>
      </c>
      <c r="E765" s="249">
        <v>5398</v>
      </c>
      <c r="F765" s="249">
        <v>5398</v>
      </c>
      <c r="G765" s="128"/>
      <c r="H765" s="150" t="s">
        <v>1031</v>
      </c>
    </row>
    <row r="766" spans="1:8" ht="27">
      <c r="A766" s="170">
        <f>_xlfn.XLOOKUP(B766 &amp; "-" &amp; TEXT(C766,"00"),改定!N:N,改定!E:E)</f>
        <v>51129</v>
      </c>
      <c r="B766" s="119" t="s">
        <v>1019</v>
      </c>
      <c r="C766" s="124">
        <v>4</v>
      </c>
      <c r="D766" s="237" t="s">
        <v>998</v>
      </c>
      <c r="E766" s="249">
        <v>3787</v>
      </c>
      <c r="F766" s="249">
        <v>3787</v>
      </c>
      <c r="G766" s="128"/>
      <c r="H766" s="150" t="s">
        <v>1031</v>
      </c>
    </row>
    <row r="767" spans="1:8">
      <c r="A767" s="170">
        <f>_xlfn.XLOOKUP(B767 &amp; "-" &amp; TEXT(C767,"00"),改定!N:N,改定!E:E)</f>
        <v>51129</v>
      </c>
      <c r="B767" s="119" t="s">
        <v>1019</v>
      </c>
      <c r="C767" s="124">
        <v>4</v>
      </c>
      <c r="D767" s="237" t="s">
        <v>892</v>
      </c>
    </row>
    <row r="768" spans="1:8">
      <c r="A768" s="170">
        <f>_xlfn.XLOOKUP(B768 &amp; "-" &amp; TEXT(C768,"00"),改定!N:N,改定!E:E)</f>
        <v>51129</v>
      </c>
      <c r="B768" s="119" t="s">
        <v>1019</v>
      </c>
      <c r="C768" s="124">
        <v>4</v>
      </c>
      <c r="D768" s="237" t="s">
        <v>215</v>
      </c>
      <c r="E768" s="249">
        <v>9</v>
      </c>
      <c r="F768" s="249">
        <v>9</v>
      </c>
      <c r="G768" s="128"/>
    </row>
    <row r="769" spans="1:8" ht="27">
      <c r="A769" s="170">
        <f>_xlfn.XLOOKUP(B769 &amp; "-" &amp; TEXT(C769,"00"),改定!N:N,改定!E:E)</f>
        <v>51129</v>
      </c>
      <c r="B769" s="119" t="s">
        <v>1019</v>
      </c>
      <c r="C769" s="124">
        <v>4</v>
      </c>
      <c r="D769" s="237" t="s">
        <v>866</v>
      </c>
      <c r="E769" s="249">
        <v>2544</v>
      </c>
      <c r="F769" s="249">
        <v>2544</v>
      </c>
      <c r="G769" s="128"/>
      <c r="H769" s="150" t="s">
        <v>1031</v>
      </c>
    </row>
    <row r="770" spans="1:8" ht="27">
      <c r="A770" s="170">
        <f>_xlfn.XLOOKUP(B770 &amp; "-" &amp; TEXT(C770,"00"),改定!N:N,改定!E:E)</f>
        <v>51129</v>
      </c>
      <c r="B770" s="119" t="s">
        <v>1019</v>
      </c>
      <c r="C770" s="124">
        <v>4</v>
      </c>
      <c r="D770" s="237" t="s">
        <v>894</v>
      </c>
      <c r="E770" s="249">
        <v>2895</v>
      </c>
      <c r="F770" s="249">
        <v>2895</v>
      </c>
      <c r="G770" s="128"/>
      <c r="H770" s="150" t="s">
        <v>1031</v>
      </c>
    </row>
    <row r="771" spans="1:8">
      <c r="A771" s="170">
        <f>_xlfn.XLOOKUP(B771 &amp; "-" &amp; TEXT(C771,"00"),改定!N:N,改定!E:E)</f>
        <v>51129</v>
      </c>
      <c r="B771" s="119" t="s">
        <v>1019</v>
      </c>
      <c r="C771" s="124">
        <v>4</v>
      </c>
      <c r="D771" s="237" t="s">
        <v>873</v>
      </c>
      <c r="E771" s="249">
        <v>71</v>
      </c>
      <c r="F771" s="249">
        <v>71</v>
      </c>
      <c r="G771" s="128"/>
    </row>
    <row r="772" spans="1:8" ht="27">
      <c r="A772" s="170">
        <f>_xlfn.XLOOKUP(B772 &amp; "-" &amp; TEXT(C772,"00"),改定!N:N,改定!E:E)</f>
        <v>51129</v>
      </c>
      <c r="B772" s="119" t="s">
        <v>1019</v>
      </c>
      <c r="C772" s="124">
        <v>4</v>
      </c>
      <c r="D772" s="237" t="s">
        <v>1075</v>
      </c>
      <c r="E772" s="249">
        <v>3763</v>
      </c>
      <c r="F772" s="249">
        <v>3763</v>
      </c>
      <c r="G772" s="128"/>
      <c r="H772" s="150" t="s">
        <v>1031</v>
      </c>
    </row>
    <row r="773" spans="1:8">
      <c r="A773" s="170">
        <f>_xlfn.XLOOKUP(B773 &amp; "-" &amp; TEXT(C773,"00"),改定!N:N,改定!E:E)</f>
        <v>51129</v>
      </c>
      <c r="B773" s="119" t="s">
        <v>1019</v>
      </c>
      <c r="C773" s="124">
        <v>4</v>
      </c>
      <c r="D773" s="237" t="s">
        <v>901</v>
      </c>
      <c r="E773" s="249">
        <v>1</v>
      </c>
      <c r="F773" s="249">
        <v>1</v>
      </c>
      <c r="G773" s="128"/>
    </row>
    <row r="774" spans="1:8">
      <c r="A774" s="170">
        <f>_xlfn.XLOOKUP(B774 &amp; "-" &amp; TEXT(C774,"00"),改定!N:N,改定!E:E)</f>
        <v>51129</v>
      </c>
      <c r="B774" s="119" t="s">
        <v>1019</v>
      </c>
      <c r="C774" s="124">
        <v>4</v>
      </c>
      <c r="D774" s="237" t="s">
        <v>875</v>
      </c>
      <c r="E774" s="249">
        <v>1</v>
      </c>
      <c r="F774" s="249">
        <v>1</v>
      </c>
      <c r="G774" s="128"/>
    </row>
    <row r="775" spans="1:8">
      <c r="A775" s="170">
        <f>_xlfn.XLOOKUP(B775 &amp; "-" &amp; TEXT(C775,"00"),改定!N:N,改定!E:E)</f>
        <v>51161</v>
      </c>
      <c r="B775" s="119" t="s">
        <v>216</v>
      </c>
      <c r="C775" s="124">
        <v>1</v>
      </c>
      <c r="D775" s="234" t="s">
        <v>1032</v>
      </c>
    </row>
    <row r="776" spans="1:8">
      <c r="A776" s="170">
        <f>_xlfn.XLOOKUP(B776 &amp; "-" &amp; TEXT(C776,"00"),改定!N:N,改定!E:E)</f>
        <v>51175</v>
      </c>
      <c r="B776" s="119" t="s">
        <v>184</v>
      </c>
      <c r="C776" s="124">
        <v>1</v>
      </c>
      <c r="D776" s="234" t="s">
        <v>1033</v>
      </c>
      <c r="E776" s="249">
        <v>7</v>
      </c>
      <c r="F776" s="249"/>
      <c r="G776" s="128"/>
    </row>
    <row r="777" spans="1:8">
      <c r="A777" s="170">
        <f>_xlfn.XLOOKUP(B777 &amp; "-" &amp; TEXT(C777,"00"),改定!N:N,改定!E:E)</f>
        <v>51282</v>
      </c>
      <c r="B777" s="119" t="s">
        <v>102</v>
      </c>
      <c r="C777" s="124">
        <v>0</v>
      </c>
      <c r="D777" s="234" t="s">
        <v>1034</v>
      </c>
      <c r="E777" s="249">
        <v>2295</v>
      </c>
      <c r="F777" s="249">
        <v>2315</v>
      </c>
      <c r="G777" s="128"/>
    </row>
    <row r="778" spans="1:8">
      <c r="A778" s="170">
        <f>_xlfn.XLOOKUP(B778 &amp; "-" &amp; TEXT(C778,"00"),改定!N:N,改定!E:E)</f>
        <v>51386</v>
      </c>
      <c r="B778" s="119" t="s">
        <v>216</v>
      </c>
      <c r="C778" s="124">
        <v>2</v>
      </c>
      <c r="D778" s="234" t="s">
        <v>1032</v>
      </c>
      <c r="E778" s="249">
        <v>95</v>
      </c>
      <c r="F778" s="249">
        <v>95</v>
      </c>
      <c r="G778" s="128"/>
    </row>
    <row r="779" spans="1:8">
      <c r="A779" s="170">
        <f>_xlfn.XLOOKUP(B779 &amp; "-" &amp; TEXT(C779,"00"),改定!N:N,改定!E:E)</f>
        <v>51420</v>
      </c>
      <c r="B779" s="119" t="s">
        <v>140</v>
      </c>
      <c r="C779" s="124">
        <v>5</v>
      </c>
      <c r="D779" s="234" t="s">
        <v>1035</v>
      </c>
    </row>
    <row r="780" spans="1:8">
      <c r="A780" s="170">
        <f>_xlfn.XLOOKUP(B780 &amp; "-" &amp; TEXT(C780,"00"),改定!N:N,改定!E:E)</f>
        <v>51420</v>
      </c>
      <c r="B780" s="119" t="s">
        <v>140</v>
      </c>
      <c r="C780" s="124">
        <v>5</v>
      </c>
      <c r="D780" s="234" t="s">
        <v>1036</v>
      </c>
    </row>
    <row r="781" spans="1:8">
      <c r="A781" s="170">
        <f>_xlfn.XLOOKUP(B781 &amp; "-" &amp; TEXT(C781,"00"),改定!N:N,改定!E:E)</f>
        <v>51420</v>
      </c>
      <c r="B781" s="119" t="s">
        <v>140</v>
      </c>
      <c r="C781" s="124">
        <v>5</v>
      </c>
      <c r="D781" s="234" t="s">
        <v>1037</v>
      </c>
    </row>
    <row r="782" spans="1:8">
      <c r="A782" s="170">
        <f>_xlfn.XLOOKUP(B782 &amp; "-" &amp; TEXT(C782,"00"),改定!N:N,改定!E:E)</f>
        <v>51420</v>
      </c>
      <c r="B782" s="119" t="s">
        <v>140</v>
      </c>
      <c r="C782" s="124">
        <v>5</v>
      </c>
      <c r="D782" s="234" t="s">
        <v>1038</v>
      </c>
    </row>
    <row r="783" spans="1:8">
      <c r="A783" s="170">
        <f>_xlfn.XLOOKUP(B783 &amp; "-" &amp; TEXT(C783,"00"),改定!N:N,改定!E:E)</f>
        <v>51427</v>
      </c>
      <c r="B783" s="119" t="s">
        <v>37</v>
      </c>
      <c r="C783" s="124">
        <v>5</v>
      </c>
      <c r="D783" s="234" t="s">
        <v>1039</v>
      </c>
    </row>
    <row r="784" spans="1:8">
      <c r="A784" s="170">
        <f>_xlfn.XLOOKUP(B784 &amp; "-" &amp; TEXT(C784,"00"),改定!N:N,改定!E:E)</f>
        <v>51443</v>
      </c>
      <c r="B784" s="119" t="s">
        <v>177</v>
      </c>
      <c r="C784" s="124">
        <v>1</v>
      </c>
      <c r="D784" s="234" t="s">
        <v>1040</v>
      </c>
      <c r="G784" s="121" t="s">
        <v>1176</v>
      </c>
    </row>
    <row r="785" spans="1:7">
      <c r="A785" s="170">
        <f>_xlfn.XLOOKUP(B785 &amp; "-" &amp; TEXT(C785,"00"),改定!N:N,改定!E:E)</f>
        <v>51447</v>
      </c>
      <c r="B785" s="119" t="s">
        <v>133</v>
      </c>
      <c r="C785" s="124">
        <v>4</v>
      </c>
      <c r="D785" s="234" t="s">
        <v>1041</v>
      </c>
    </row>
    <row r="786" spans="1:7">
      <c r="A786" s="170">
        <f>_xlfn.XLOOKUP(B786 &amp; "-" &amp; TEXT(C786,"00"),改定!N:N,改定!E:E)</f>
        <v>51447</v>
      </c>
      <c r="B786" s="119" t="s">
        <v>133</v>
      </c>
      <c r="C786" s="124">
        <v>4</v>
      </c>
      <c r="D786" s="234" t="s">
        <v>1042</v>
      </c>
    </row>
    <row r="787" spans="1:7">
      <c r="A787" s="170">
        <f>_xlfn.XLOOKUP(B787 &amp; "-" &amp; TEXT(C787,"00"),改定!N:N,改定!E:E)</f>
        <v>51447</v>
      </c>
      <c r="B787" s="119" t="s">
        <v>133</v>
      </c>
      <c r="C787" s="124">
        <v>4</v>
      </c>
      <c r="D787" s="234" t="s">
        <v>1043</v>
      </c>
      <c r="E787" s="249">
        <v>4357</v>
      </c>
      <c r="F787" s="249">
        <v>4474</v>
      </c>
      <c r="G787" s="128"/>
    </row>
    <row r="788" spans="1:7">
      <c r="A788" s="170">
        <f>_xlfn.XLOOKUP(B788 &amp; "-" &amp; TEXT(C788,"00"),改定!N:N,改定!E:E)</f>
        <v>51458</v>
      </c>
      <c r="B788" s="119" t="s">
        <v>75</v>
      </c>
      <c r="C788" s="124">
        <v>1</v>
      </c>
      <c r="D788" s="234" t="s">
        <v>1044</v>
      </c>
    </row>
    <row r="789" spans="1:7">
      <c r="A789" s="170">
        <f>_xlfn.XLOOKUP(B789 &amp; "-" &amp; TEXT(C789,"00"),改定!N:N,改定!E:E)</f>
        <v>51458</v>
      </c>
      <c r="B789" s="119" t="s">
        <v>75</v>
      </c>
      <c r="C789" s="124">
        <v>1</v>
      </c>
      <c r="D789" s="234" t="s">
        <v>1045</v>
      </c>
    </row>
    <row r="790" spans="1:7">
      <c r="A790" s="170">
        <f>_xlfn.XLOOKUP(B790 &amp; "-" &amp; TEXT(C790,"00"),改定!N:N,改定!E:E)</f>
        <v>51486</v>
      </c>
      <c r="B790" s="119" t="s">
        <v>34</v>
      </c>
      <c r="C790" s="124">
        <v>2</v>
      </c>
      <c r="D790" s="234" t="s">
        <v>1046</v>
      </c>
    </row>
    <row r="791" spans="1:7">
      <c r="A791" s="170">
        <f>_xlfn.XLOOKUP(B791 &amp; "-" &amp; TEXT(C791,"00"),改定!N:N,改定!E:E)</f>
        <v>51486</v>
      </c>
      <c r="B791" s="119" t="s">
        <v>34</v>
      </c>
      <c r="C791" s="124">
        <v>2</v>
      </c>
      <c r="D791" s="234" t="s">
        <v>1047</v>
      </c>
    </row>
    <row r="792" spans="1:7">
      <c r="A792" s="170">
        <f>_xlfn.XLOOKUP(B792 &amp; "-" &amp; TEXT(C792,"00"),改定!N:N,改定!E:E)</f>
        <v>51498</v>
      </c>
      <c r="B792" s="119" t="s">
        <v>19</v>
      </c>
      <c r="C792" s="124">
        <v>6</v>
      </c>
      <c r="D792" s="237" t="s">
        <v>895</v>
      </c>
      <c r="E792" s="249"/>
      <c r="F792" s="249"/>
      <c r="G792" s="128"/>
    </row>
    <row r="793" spans="1:7">
      <c r="A793" s="170">
        <f>_xlfn.XLOOKUP(B793 &amp; "-" &amp; TEXT(C793,"00"),改定!N:N,改定!E:E)</f>
        <v>51498</v>
      </c>
      <c r="B793" s="119" t="s">
        <v>19</v>
      </c>
      <c r="C793" s="124">
        <v>6</v>
      </c>
      <c r="D793" s="237" t="s">
        <v>870</v>
      </c>
      <c r="E793" s="249">
        <v>2475</v>
      </c>
      <c r="F793" s="249">
        <v>2475</v>
      </c>
      <c r="G793" s="128"/>
    </row>
    <row r="794" spans="1:7">
      <c r="A794" s="170">
        <f>_xlfn.XLOOKUP(B794 &amp; "-" &amp; TEXT(C794,"00"),改定!N:N,改定!E:E)</f>
        <v>51498</v>
      </c>
      <c r="B794" s="119" t="s">
        <v>1018</v>
      </c>
      <c r="C794" s="124">
        <v>6</v>
      </c>
      <c r="D794" s="237" t="s">
        <v>831</v>
      </c>
      <c r="E794" s="249"/>
      <c r="F794" s="249"/>
      <c r="G794" s="128"/>
    </row>
    <row r="795" spans="1:7">
      <c r="A795" s="170">
        <f>_xlfn.XLOOKUP(B795 &amp; "-" &amp; TEXT(C795,"00"),改定!N:N,改定!E:E)</f>
        <v>51498</v>
      </c>
      <c r="B795" s="119" t="s">
        <v>1018</v>
      </c>
      <c r="C795" s="124">
        <v>6</v>
      </c>
      <c r="D795" s="237" t="s">
        <v>887</v>
      </c>
      <c r="E795" s="249"/>
      <c r="F795" s="249"/>
      <c r="G795" s="128"/>
    </row>
    <row r="796" spans="1:7">
      <c r="A796" s="170">
        <f>_xlfn.XLOOKUP(B796 &amp; "-" &amp; TEXT(C796,"00"),改定!N:N,改定!E:E)</f>
        <v>51498</v>
      </c>
      <c r="B796" s="119" t="s">
        <v>1018</v>
      </c>
      <c r="C796" s="124">
        <v>6</v>
      </c>
      <c r="D796" s="237" t="s">
        <v>832</v>
      </c>
      <c r="E796" s="249"/>
      <c r="F796" s="249"/>
      <c r="G796" s="128"/>
    </row>
    <row r="797" spans="1:7">
      <c r="A797" s="170">
        <f>_xlfn.XLOOKUP(B797 &amp; "-" &amp; TEXT(C797,"00"),改定!N:N,改定!E:E)</f>
        <v>51498</v>
      </c>
      <c r="B797" s="119" t="s">
        <v>1018</v>
      </c>
      <c r="C797" s="124">
        <v>6</v>
      </c>
      <c r="D797" s="237" t="s">
        <v>810</v>
      </c>
      <c r="E797" s="249"/>
      <c r="F797" s="249"/>
      <c r="G797" s="128"/>
    </row>
    <row r="798" spans="1:7">
      <c r="A798" s="170">
        <f>_xlfn.XLOOKUP(B798 &amp; "-" &amp; TEXT(C798,"00"),改定!N:N,改定!E:E)</f>
        <v>51498</v>
      </c>
      <c r="B798" s="119" t="s">
        <v>1018</v>
      </c>
      <c r="C798" s="124">
        <v>6</v>
      </c>
      <c r="D798" s="237" t="s">
        <v>860</v>
      </c>
      <c r="E798" s="249"/>
      <c r="F798" s="249"/>
      <c r="G798" s="128"/>
    </row>
    <row r="799" spans="1:7">
      <c r="A799" s="170">
        <f>_xlfn.XLOOKUP(B799 &amp; "-" &amp; TEXT(C799,"00"),改定!N:N,改定!E:E)</f>
        <v>51498</v>
      </c>
      <c r="B799" s="119" t="s">
        <v>1018</v>
      </c>
      <c r="C799" s="124">
        <v>6</v>
      </c>
      <c r="D799" s="237" t="s">
        <v>861</v>
      </c>
      <c r="E799" s="249"/>
      <c r="F799" s="249"/>
      <c r="G799" s="128"/>
    </row>
    <row r="800" spans="1:7">
      <c r="A800" s="170">
        <f>_xlfn.XLOOKUP(B800 &amp; "-" &amp; TEXT(C800,"00"),改定!N:N,改定!E:E)</f>
        <v>51498</v>
      </c>
      <c r="B800" s="119" t="s">
        <v>1018</v>
      </c>
      <c r="C800" s="124">
        <v>6</v>
      </c>
      <c r="D800" s="237" t="s">
        <v>27</v>
      </c>
      <c r="E800" s="249"/>
      <c r="F800" s="249"/>
      <c r="G800" s="128"/>
    </row>
    <row r="801" spans="1:7">
      <c r="A801" s="170">
        <f>_xlfn.XLOOKUP(B801 &amp; "-" &amp; TEXT(C801,"00"),改定!N:N,改定!E:E)</f>
        <v>51498</v>
      </c>
      <c r="B801" s="119" t="s">
        <v>1018</v>
      </c>
      <c r="C801" s="124">
        <v>6</v>
      </c>
      <c r="D801" s="237" t="s">
        <v>835</v>
      </c>
      <c r="E801" s="249"/>
      <c r="F801" s="249"/>
      <c r="G801" s="128"/>
    </row>
    <row r="802" spans="1:7">
      <c r="A802" s="170">
        <f>_xlfn.XLOOKUP(B802 &amp; "-" &amp; TEXT(C802,"00"),改定!N:N,改定!E:E)</f>
        <v>51498</v>
      </c>
      <c r="B802" s="119" t="s">
        <v>1018</v>
      </c>
      <c r="C802" s="124">
        <v>6</v>
      </c>
      <c r="D802" s="237" t="s">
        <v>856</v>
      </c>
      <c r="E802" s="249">
        <v>1895</v>
      </c>
      <c r="F802" s="249">
        <v>1895</v>
      </c>
      <c r="G802" s="128"/>
    </row>
    <row r="803" spans="1:7">
      <c r="A803" s="170">
        <f>_xlfn.XLOOKUP(B803 &amp; "-" &amp; TEXT(C803,"00"),改定!N:N,改定!E:E)</f>
        <v>51498</v>
      </c>
      <c r="B803" s="119" t="s">
        <v>1018</v>
      </c>
      <c r="C803" s="124">
        <v>6</v>
      </c>
      <c r="D803" s="237" t="s">
        <v>892</v>
      </c>
    </row>
    <row r="804" spans="1:7">
      <c r="A804" s="170">
        <f>_xlfn.XLOOKUP(B804 &amp; "-" &amp; TEXT(C804,"00"),改定!N:N,改定!E:E)</f>
        <v>51498</v>
      </c>
      <c r="B804" s="119" t="s">
        <v>1018</v>
      </c>
      <c r="C804" s="124">
        <v>6</v>
      </c>
      <c r="D804" s="237" t="s">
        <v>542</v>
      </c>
    </row>
    <row r="805" spans="1:7">
      <c r="A805" s="170">
        <f>_xlfn.XLOOKUP(B805 &amp; "-" &amp; TEXT(C805,"00"),改定!N:N,改定!E:E)</f>
        <v>51498</v>
      </c>
      <c r="B805" s="119" t="s">
        <v>1018</v>
      </c>
      <c r="C805" s="124">
        <v>6</v>
      </c>
      <c r="D805" s="237" t="s">
        <v>992</v>
      </c>
    </row>
    <row r="806" spans="1:7">
      <c r="A806" s="170">
        <f>_xlfn.XLOOKUP(B806 &amp; "-" &amp; TEXT(C806,"00"),改定!N:N,改定!E:E)</f>
        <v>51498</v>
      </c>
      <c r="B806" s="119" t="s">
        <v>1018</v>
      </c>
      <c r="C806" s="124">
        <v>6</v>
      </c>
      <c r="D806" s="237" t="s">
        <v>225</v>
      </c>
      <c r="E806" s="249"/>
      <c r="F806" s="249"/>
      <c r="G806" s="128"/>
    </row>
    <row r="807" spans="1:7">
      <c r="A807" s="170">
        <f>_xlfn.XLOOKUP(B807 &amp; "-" &amp; TEXT(C807,"00"),改定!N:N,改定!E:E)</f>
        <v>51498</v>
      </c>
      <c r="B807" s="119" t="s">
        <v>21</v>
      </c>
      <c r="C807" s="124">
        <v>6</v>
      </c>
      <c r="D807" s="245" t="s">
        <v>510</v>
      </c>
    </row>
    <row r="808" spans="1:7">
      <c r="A808" s="170">
        <f>_xlfn.XLOOKUP(B808 &amp; "-" &amp; TEXT(C808,"00"),改定!N:N,改定!E:E)</f>
        <v>51498</v>
      </c>
      <c r="B808" s="119" t="s">
        <v>21</v>
      </c>
      <c r="C808" s="124">
        <v>6</v>
      </c>
      <c r="D808" s="237" t="s">
        <v>946</v>
      </c>
    </row>
    <row r="809" spans="1:7">
      <c r="A809" s="170">
        <f>_xlfn.XLOOKUP(B809 &amp; "-" &amp; TEXT(C809,"00"),改定!N:N,改定!E:E)</f>
        <v>51498</v>
      </c>
      <c r="B809" s="119" t="s">
        <v>1019</v>
      </c>
      <c r="C809" s="124">
        <v>6</v>
      </c>
      <c r="D809" s="237" t="s">
        <v>869</v>
      </c>
    </row>
    <row r="810" spans="1:7">
      <c r="A810" s="170">
        <f>_xlfn.XLOOKUP(B810 &amp; "-" &amp; TEXT(C810,"00"),改定!N:N,改定!E:E)</f>
        <v>51498</v>
      </c>
      <c r="B810" s="119" t="s">
        <v>1019</v>
      </c>
      <c r="C810" s="124">
        <v>6</v>
      </c>
      <c r="D810" s="237" t="s">
        <v>202</v>
      </c>
    </row>
    <row r="811" spans="1:7">
      <c r="A811" s="170">
        <f>_xlfn.XLOOKUP(B811 &amp; "-" &amp; TEXT(C811,"00"),改定!N:N,改定!E:E)</f>
        <v>51498</v>
      </c>
      <c r="B811" s="119" t="s">
        <v>1019</v>
      </c>
      <c r="C811" s="124">
        <v>6</v>
      </c>
      <c r="D811" s="237" t="s">
        <v>947</v>
      </c>
    </row>
    <row r="812" spans="1:7">
      <c r="A812" s="170">
        <f>_xlfn.XLOOKUP(B812 &amp; "-" &amp; TEXT(C812,"00"),改定!N:N,改定!E:E)</f>
        <v>51498</v>
      </c>
      <c r="B812" s="119" t="s">
        <v>1019</v>
      </c>
      <c r="C812" s="124">
        <v>6</v>
      </c>
      <c r="D812" s="237" t="s">
        <v>835</v>
      </c>
    </row>
    <row r="813" spans="1:7">
      <c r="A813" s="170">
        <f>_xlfn.XLOOKUP(B813 &amp; "-" &amp; TEXT(C813,"00"),改定!N:N,改定!E:E)</f>
        <v>51498</v>
      </c>
      <c r="B813" s="119" t="s">
        <v>1019</v>
      </c>
      <c r="C813" s="124">
        <v>6</v>
      </c>
      <c r="D813" s="237" t="s">
        <v>998</v>
      </c>
    </row>
    <row r="814" spans="1:7">
      <c r="A814" s="170">
        <f>_xlfn.XLOOKUP(B814 &amp; "-" &amp; TEXT(C814,"00"),改定!N:N,改定!E:E)</f>
        <v>51498</v>
      </c>
      <c r="B814" s="119" t="s">
        <v>1019</v>
      </c>
      <c r="C814" s="124">
        <v>6</v>
      </c>
      <c r="D814" s="237" t="s">
        <v>892</v>
      </c>
    </row>
    <row r="815" spans="1:7">
      <c r="A815" s="170">
        <f>_xlfn.XLOOKUP(B815 &amp; "-" &amp; TEXT(C815,"00"),改定!N:N,改定!E:E)</f>
        <v>51498</v>
      </c>
      <c r="B815" s="119" t="s">
        <v>1019</v>
      </c>
      <c r="C815" s="124">
        <v>6</v>
      </c>
      <c r="D815" s="237" t="s">
        <v>215</v>
      </c>
    </row>
    <row r="816" spans="1:7">
      <c r="A816" s="170">
        <f>_xlfn.XLOOKUP(B816 &amp; "-" &amp; TEXT(C816,"00"),改定!N:N,改定!E:E)</f>
        <v>51498</v>
      </c>
      <c r="B816" s="119" t="s">
        <v>1019</v>
      </c>
      <c r="C816" s="124">
        <v>6</v>
      </c>
      <c r="D816" s="237" t="s">
        <v>866</v>
      </c>
    </row>
    <row r="817" spans="1:7">
      <c r="A817" s="170">
        <f>_xlfn.XLOOKUP(B817 &amp; "-" &amp; TEXT(C817,"00"),改定!N:N,改定!E:E)</f>
        <v>51498</v>
      </c>
      <c r="B817" s="119" t="s">
        <v>1019</v>
      </c>
      <c r="C817" s="124">
        <v>6</v>
      </c>
      <c r="D817" s="237" t="s">
        <v>894</v>
      </c>
    </row>
    <row r="818" spans="1:7">
      <c r="A818" s="170">
        <f>_xlfn.XLOOKUP(B818 &amp; "-" &amp; TEXT(C818,"00"),改定!N:N,改定!E:E)</f>
        <v>51498</v>
      </c>
      <c r="B818" s="119" t="s">
        <v>1019</v>
      </c>
      <c r="C818" s="124">
        <v>6</v>
      </c>
      <c r="D818" s="237" t="s">
        <v>873</v>
      </c>
    </row>
    <row r="819" spans="1:7">
      <c r="A819" s="170">
        <f>_xlfn.XLOOKUP(B819 &amp; "-" &amp; TEXT(C819,"00"),改定!N:N,改定!E:E)</f>
        <v>51498</v>
      </c>
      <c r="B819" s="119" t="s">
        <v>1019</v>
      </c>
      <c r="C819" s="124">
        <v>6</v>
      </c>
      <c r="D819" s="237" t="s">
        <v>1075</v>
      </c>
    </row>
    <row r="820" spans="1:7">
      <c r="A820" s="170">
        <f>_xlfn.XLOOKUP(B820 &amp; "-" &amp; TEXT(C820,"00"),改定!N:N,改定!E:E)</f>
        <v>51498</v>
      </c>
      <c r="B820" s="119" t="s">
        <v>1019</v>
      </c>
      <c r="C820" s="124">
        <v>6</v>
      </c>
      <c r="D820" s="237" t="s">
        <v>901</v>
      </c>
    </row>
    <row r="821" spans="1:7">
      <c r="A821" s="170">
        <f>_xlfn.XLOOKUP(B821 &amp; "-" &amp; TEXT(C821,"00"),改定!N:N,改定!E:E)</f>
        <v>51498</v>
      </c>
      <c r="B821" s="119" t="s">
        <v>1019</v>
      </c>
      <c r="C821" s="124">
        <v>6</v>
      </c>
      <c r="D821" s="237" t="s">
        <v>875</v>
      </c>
    </row>
    <row r="822" spans="1:7">
      <c r="A822" s="170">
        <f>_xlfn.XLOOKUP(B822 &amp; "-" &amp; TEXT(C822,"00"),改定!N:N,改定!E:E)</f>
        <v>51498</v>
      </c>
      <c r="B822" s="119" t="s">
        <v>192</v>
      </c>
      <c r="C822" s="124">
        <v>3</v>
      </c>
      <c r="D822" s="234" t="s">
        <v>1048</v>
      </c>
      <c r="E822" s="249">
        <v>1895</v>
      </c>
      <c r="F822" s="249">
        <v>1895</v>
      </c>
      <c r="G822" s="128"/>
    </row>
    <row r="823" spans="1:7">
      <c r="A823" s="170">
        <f>_xlfn.XLOOKUP(B823 &amp; "-" &amp; TEXT(C823,"00"),改定!N:N,改定!E:E)</f>
        <v>51617</v>
      </c>
      <c r="B823" s="119" t="s">
        <v>198</v>
      </c>
      <c r="C823" s="124">
        <v>1</v>
      </c>
      <c r="D823" s="234" t="s">
        <v>1049</v>
      </c>
      <c r="E823" s="249">
        <v>1</v>
      </c>
      <c r="F823" s="249"/>
      <c r="G823" s="128"/>
    </row>
    <row r="824" spans="1:7">
      <c r="A824" s="170">
        <f>_xlfn.XLOOKUP(B824 &amp; "-" &amp; TEXT(C824,"00"),改定!N:N,改定!E:E)</f>
        <v>51617</v>
      </c>
      <c r="B824" s="119" t="s">
        <v>198</v>
      </c>
      <c r="C824" s="124">
        <v>1</v>
      </c>
      <c r="D824" s="234" t="s">
        <v>1050</v>
      </c>
    </row>
    <row r="825" spans="1:7">
      <c r="A825" s="170">
        <f>_xlfn.XLOOKUP(B825 &amp; "-" &amp; TEXT(C825,"00"),改定!N:N,改定!E:E)</f>
        <v>51631</v>
      </c>
      <c r="B825" s="119" t="s">
        <v>155</v>
      </c>
      <c r="C825" s="124">
        <v>6</v>
      </c>
      <c r="D825" s="234" t="s">
        <v>1051</v>
      </c>
      <c r="E825" s="249">
        <v>1687</v>
      </c>
      <c r="F825" s="249">
        <v>1687</v>
      </c>
      <c r="G825" s="128"/>
    </row>
    <row r="826" spans="1:7">
      <c r="A826" s="170">
        <f>_xlfn.XLOOKUP(B826 &amp; "-" &amp; TEXT(C826,"00"),改定!N:N,改定!E:E)</f>
        <v>51631</v>
      </c>
      <c r="B826" s="119" t="s">
        <v>155</v>
      </c>
      <c r="C826" s="124">
        <v>6</v>
      </c>
      <c r="D826" s="234" t="s">
        <v>1052</v>
      </c>
      <c r="E826" s="249">
        <v>2264</v>
      </c>
      <c r="F826" s="249">
        <v>2264</v>
      </c>
      <c r="G826" s="128"/>
    </row>
    <row r="827" spans="1:7">
      <c r="A827" s="170">
        <f>_xlfn.XLOOKUP(B827 &amp; "-" &amp; TEXT(C827,"00"),改定!N:N,改定!E:E)</f>
        <v>51642</v>
      </c>
      <c r="B827" s="119" t="s">
        <v>37</v>
      </c>
      <c r="C827" s="124">
        <v>6</v>
      </c>
      <c r="D827" s="234" t="s">
        <v>1030</v>
      </c>
      <c r="E827" s="249">
        <v>475</v>
      </c>
      <c r="F827" s="249">
        <v>461</v>
      </c>
      <c r="G827" s="128"/>
    </row>
    <row r="828" spans="1:7">
      <c r="A828" s="170">
        <f>_xlfn.XLOOKUP(B828 &amp; "-" &amp; TEXT(C828,"00"),改定!N:N,改定!E:E)</f>
        <v>51668</v>
      </c>
      <c r="B828" s="119" t="s">
        <v>75</v>
      </c>
      <c r="C828" s="124">
        <v>2</v>
      </c>
      <c r="D828" s="234" t="s">
        <v>1053</v>
      </c>
      <c r="E828" s="249">
        <v>1043</v>
      </c>
      <c r="F828" s="249">
        <v>1043</v>
      </c>
      <c r="G828" s="128"/>
    </row>
    <row r="829" spans="1:7">
      <c r="A829" s="170">
        <f>_xlfn.XLOOKUP(B829 &amp; "-" &amp; TEXT(C829,"00"),改定!N:N,改定!E:E)</f>
        <v>51668</v>
      </c>
      <c r="B829" s="119" t="s">
        <v>75</v>
      </c>
      <c r="C829" s="124">
        <v>2</v>
      </c>
      <c r="D829" s="234" t="s">
        <v>1054</v>
      </c>
    </row>
    <row r="830" spans="1:7">
      <c r="A830" s="170">
        <f>_xlfn.XLOOKUP(B830 &amp; "-" &amp; TEXT(C830,"00"),改定!N:N,改定!E:E)</f>
        <v>51681</v>
      </c>
      <c r="B830" s="119" t="s">
        <v>177</v>
      </c>
      <c r="C830" s="124">
        <v>2</v>
      </c>
      <c r="D830" s="234" t="s">
        <v>1055</v>
      </c>
      <c r="E830" s="249">
        <v>10</v>
      </c>
      <c r="F830" s="249"/>
      <c r="G830" s="121" t="s">
        <v>1176</v>
      </c>
    </row>
    <row r="831" spans="1:7">
      <c r="A831" s="170">
        <f>_xlfn.XLOOKUP(B831 &amp; "-" &amp; TEXT(C831,"00"),改定!N:N,改定!E:E)</f>
        <v>51708</v>
      </c>
      <c r="B831" s="119" t="s">
        <v>128</v>
      </c>
      <c r="C831" s="124">
        <v>1</v>
      </c>
      <c r="D831" s="234" t="s">
        <v>1056</v>
      </c>
      <c r="E831" s="249">
        <v>886</v>
      </c>
      <c r="F831" s="249">
        <v>886</v>
      </c>
      <c r="G831" s="128"/>
    </row>
    <row r="832" spans="1:7">
      <c r="A832" s="170">
        <f>_xlfn.XLOOKUP(B832 &amp; "-" &amp; TEXT(C832,"00"),改定!N:N,改定!E:E)</f>
        <v>51708</v>
      </c>
      <c r="B832" s="119" t="s">
        <v>128</v>
      </c>
      <c r="C832" s="124">
        <v>1</v>
      </c>
      <c r="D832" s="234" t="s">
        <v>1057</v>
      </c>
      <c r="E832" s="249">
        <v>545</v>
      </c>
      <c r="F832" s="249">
        <v>545</v>
      </c>
      <c r="G832" s="128"/>
    </row>
    <row r="833" spans="1:8">
      <c r="A833" s="170">
        <f>_xlfn.XLOOKUP(B833 &amp; "-" &amp; TEXT(C833,"00"),改定!N:N,改定!E:E)</f>
        <v>51708</v>
      </c>
      <c r="B833" s="119" t="s">
        <v>128</v>
      </c>
      <c r="C833" s="124">
        <v>1</v>
      </c>
      <c r="D833" s="234" t="s">
        <v>1058</v>
      </c>
      <c r="E833" s="249">
        <v>504</v>
      </c>
      <c r="F833" s="249">
        <v>504</v>
      </c>
      <c r="G833" s="128"/>
    </row>
    <row r="834" spans="1:8">
      <c r="A834" s="170">
        <f>_xlfn.XLOOKUP(B834 &amp; "-" &amp; TEXT(C834,"00"),改定!N:N,改定!E:E)</f>
        <v>51708</v>
      </c>
      <c r="B834" s="119" t="s">
        <v>128</v>
      </c>
      <c r="C834" s="124">
        <v>1</v>
      </c>
      <c r="D834" s="234" t="s">
        <v>1059</v>
      </c>
    </row>
    <row r="835" spans="1:8">
      <c r="A835" s="170">
        <f>_xlfn.XLOOKUP(B835 &amp; "-" &amp; TEXT(C835,"00"),改定!N:N,改定!E:E)</f>
        <v>51751</v>
      </c>
      <c r="B835" s="119" t="s">
        <v>184</v>
      </c>
      <c r="C835" s="124">
        <v>3</v>
      </c>
      <c r="D835" s="234" t="s">
        <v>1060</v>
      </c>
      <c r="E835" s="249">
        <v>13</v>
      </c>
      <c r="F835" s="249">
        <v>13</v>
      </c>
      <c r="G835" s="128"/>
    </row>
    <row r="836" spans="1:8">
      <c r="A836" s="170">
        <f>_xlfn.XLOOKUP(B836 &amp; "-" &amp; TEXT(C836,"00"),改定!N:N,改定!E:E)</f>
        <v>51803</v>
      </c>
      <c r="B836" s="119" t="s">
        <v>77</v>
      </c>
      <c r="C836" s="124">
        <v>4</v>
      </c>
      <c r="D836" s="234" t="s">
        <v>1045</v>
      </c>
      <c r="E836" s="249">
        <v>1224</v>
      </c>
      <c r="F836" s="249">
        <v>1224</v>
      </c>
      <c r="G836" s="128"/>
    </row>
    <row r="837" spans="1:8">
      <c r="A837" s="170">
        <f>_xlfn.XLOOKUP(B837 &amp; "-" &amp; TEXT(C837,"00"),改定!N:N,改定!E:E)</f>
        <v>51803</v>
      </c>
      <c r="B837" s="119" t="s">
        <v>77</v>
      </c>
      <c r="C837" s="124">
        <v>4</v>
      </c>
      <c r="D837" s="234" t="s">
        <v>1053</v>
      </c>
      <c r="E837" s="249">
        <v>904</v>
      </c>
      <c r="F837" s="249">
        <v>904</v>
      </c>
      <c r="G837" s="128"/>
    </row>
    <row r="838" spans="1:8" ht="27">
      <c r="A838" s="170">
        <f>_xlfn.XLOOKUP(B838 &amp; "-" &amp; TEXT(C838,"00"),改定!N:N,改定!E:E)</f>
        <v>51842</v>
      </c>
      <c r="B838" s="119" t="s">
        <v>218</v>
      </c>
      <c r="C838" s="124">
        <v>11</v>
      </c>
      <c r="D838" s="234" t="s">
        <v>1061</v>
      </c>
      <c r="E838" s="249">
        <v>3618</v>
      </c>
      <c r="F838" s="249">
        <v>3618</v>
      </c>
      <c r="G838" s="128"/>
      <c r="H838" s="150" t="s">
        <v>1069</v>
      </c>
    </row>
    <row r="839" spans="1:8" ht="27">
      <c r="A839" s="170">
        <f>_xlfn.XLOOKUP(B839 &amp; "-" &amp; TEXT(C839,"00"),改定!N:N,改定!E:E)</f>
        <v>51842</v>
      </c>
      <c r="B839" s="119" t="s">
        <v>218</v>
      </c>
      <c r="C839" s="124">
        <v>11</v>
      </c>
      <c r="D839" s="234" t="s">
        <v>1062</v>
      </c>
      <c r="E839" s="249">
        <v>4375</v>
      </c>
      <c r="F839" s="249">
        <v>4375</v>
      </c>
      <c r="G839" s="128"/>
      <c r="H839" s="150" t="s">
        <v>1069</v>
      </c>
    </row>
    <row r="840" spans="1:8" ht="27">
      <c r="A840" s="170">
        <f>_xlfn.XLOOKUP(B840 &amp; "-" &amp; TEXT(C840,"00"),改定!N:N,改定!E:E)</f>
        <v>51842</v>
      </c>
      <c r="B840" s="119" t="s">
        <v>218</v>
      </c>
      <c r="C840" s="124">
        <v>11</v>
      </c>
      <c r="D840" s="234" t="s">
        <v>1063</v>
      </c>
      <c r="E840" s="249">
        <v>3276</v>
      </c>
      <c r="F840" s="249">
        <v>3276</v>
      </c>
      <c r="G840" s="128"/>
      <c r="H840" s="150" t="s">
        <v>1069</v>
      </c>
    </row>
    <row r="841" spans="1:8" ht="27">
      <c r="A841" s="170">
        <f>_xlfn.XLOOKUP(B841 &amp; "-" &amp; TEXT(C841,"00"),改定!N:N,改定!E:E)</f>
        <v>51842</v>
      </c>
      <c r="B841" s="119" t="s">
        <v>220</v>
      </c>
      <c r="C841" s="124">
        <v>8</v>
      </c>
      <c r="D841" s="234" t="s">
        <v>1063</v>
      </c>
      <c r="E841" s="249">
        <v>3276</v>
      </c>
      <c r="F841" s="249">
        <v>3276</v>
      </c>
      <c r="G841" s="128"/>
      <c r="H841" s="150" t="s">
        <v>1069</v>
      </c>
    </row>
    <row r="842" spans="1:8" ht="27">
      <c r="A842" s="170">
        <f>_xlfn.XLOOKUP(B842 &amp; "-" &amp; TEXT(C842,"00"),改定!N:N,改定!E:E)</f>
        <v>51842</v>
      </c>
      <c r="B842" s="119" t="s">
        <v>220</v>
      </c>
      <c r="C842" s="124">
        <v>8</v>
      </c>
      <c r="D842" s="234" t="s">
        <v>1061</v>
      </c>
      <c r="E842" s="249">
        <v>3618</v>
      </c>
      <c r="F842" s="249">
        <v>3618</v>
      </c>
      <c r="G842" s="128"/>
      <c r="H842" s="150" t="s">
        <v>1069</v>
      </c>
    </row>
    <row r="843" spans="1:8">
      <c r="A843" s="170">
        <f>_xlfn.XLOOKUP(B843 &amp; "-" &amp; TEXT(C843,"00"),改定!N:N,改定!E:E)</f>
        <v>51842</v>
      </c>
      <c r="B843" s="119" t="s">
        <v>221</v>
      </c>
      <c r="C843" s="124">
        <v>2</v>
      </c>
      <c r="D843" s="234" t="s">
        <v>1064</v>
      </c>
      <c r="E843" s="249">
        <v>101</v>
      </c>
      <c r="F843" s="249">
        <v>101</v>
      </c>
      <c r="G843" s="128"/>
    </row>
    <row r="844" spans="1:8" ht="27">
      <c r="A844" s="170">
        <f>_xlfn.XLOOKUP(B844 &amp; "-" &amp; TEXT(C844,"00"),改定!N:N,改定!E:E)</f>
        <v>51842</v>
      </c>
      <c r="B844" s="119" t="s">
        <v>221</v>
      </c>
      <c r="C844" s="124">
        <v>2</v>
      </c>
      <c r="D844" s="234" t="s">
        <v>1062</v>
      </c>
      <c r="E844" s="249">
        <v>4375</v>
      </c>
      <c r="F844" s="249">
        <v>4375</v>
      </c>
      <c r="G844" s="128"/>
      <c r="H844" s="150" t="s">
        <v>1069</v>
      </c>
    </row>
    <row r="845" spans="1:8" ht="27">
      <c r="A845" s="170">
        <f>_xlfn.XLOOKUP(B845 &amp; "-" &amp; TEXT(C845,"00"),改定!N:N,改定!E:E)</f>
        <v>51842</v>
      </c>
      <c r="B845" s="119" t="s">
        <v>221</v>
      </c>
      <c r="C845" s="124">
        <v>2</v>
      </c>
      <c r="D845" s="234" t="s">
        <v>1065</v>
      </c>
      <c r="E845" s="249">
        <v>3276</v>
      </c>
      <c r="F845" s="249">
        <v>3276</v>
      </c>
      <c r="G845" s="128"/>
      <c r="H845" s="150" t="s">
        <v>1069</v>
      </c>
    </row>
    <row r="846" spans="1:8">
      <c r="A846" s="170">
        <f>_xlfn.XLOOKUP(B846 &amp; "-" &amp; TEXT(C846,"00"),改定!N:N,改定!E:E)</f>
        <v>51842</v>
      </c>
      <c r="B846" s="119" t="s">
        <v>221</v>
      </c>
      <c r="C846" s="124">
        <v>2</v>
      </c>
      <c r="D846" s="234" t="s">
        <v>1066</v>
      </c>
      <c r="E846" s="249">
        <v>6</v>
      </c>
      <c r="F846" s="249">
        <v>6</v>
      </c>
      <c r="G846" s="128"/>
    </row>
    <row r="847" spans="1:8" ht="27">
      <c r="A847" s="170">
        <f>_xlfn.XLOOKUP(B847 &amp; "-" &amp; TEXT(C847,"00"),改定!N:N,改定!E:E)</f>
        <v>51842</v>
      </c>
      <c r="B847" s="119" t="s">
        <v>221</v>
      </c>
      <c r="C847" s="124">
        <v>2</v>
      </c>
      <c r="D847" s="234" t="s">
        <v>1067</v>
      </c>
      <c r="E847" s="249">
        <v>3618</v>
      </c>
      <c r="F847" s="249">
        <v>3618</v>
      </c>
      <c r="G847" s="128"/>
      <c r="H847" s="150" t="s">
        <v>1069</v>
      </c>
    </row>
    <row r="848" spans="1:8">
      <c r="A848" s="170">
        <f>_xlfn.XLOOKUP(B848 &amp; "-" &amp; TEXT(C848,"00"),改定!N:N,改定!E:E)</f>
        <v>51842</v>
      </c>
      <c r="B848" s="119" t="s">
        <v>221</v>
      </c>
      <c r="C848" s="124">
        <v>2</v>
      </c>
      <c r="D848" s="234" t="s">
        <v>1068</v>
      </c>
      <c r="E848" s="249">
        <v>49</v>
      </c>
      <c r="F848" s="249">
        <v>49</v>
      </c>
      <c r="G848" s="128"/>
    </row>
    <row r="849" spans="1:7">
      <c r="A849" s="170">
        <f>_xlfn.XLOOKUP(B849 &amp; "-" &amp; TEXT(C849,"00"),改定!N:N,改定!E:E)</f>
        <v>51873</v>
      </c>
      <c r="B849" s="119" t="s">
        <v>86</v>
      </c>
      <c r="C849" s="124">
        <v>3</v>
      </c>
      <c r="D849" s="234" t="s">
        <v>1070</v>
      </c>
      <c r="E849" s="249">
        <v>8277</v>
      </c>
      <c r="F849" s="249">
        <v>8277</v>
      </c>
      <c r="G849" s="128"/>
    </row>
    <row r="850" spans="1:7">
      <c r="A850" s="170">
        <f>_xlfn.XLOOKUP(B850 &amp; "-" &amp; TEXT(C850,"00"),改定!N:N,改定!E:E)</f>
        <v>51908</v>
      </c>
      <c r="B850" s="119" t="s">
        <v>163</v>
      </c>
      <c r="C850" s="124">
        <v>3</v>
      </c>
      <c r="D850" s="234" t="s">
        <v>1071</v>
      </c>
      <c r="E850" s="249">
        <v>137</v>
      </c>
      <c r="F850" s="249">
        <v>137</v>
      </c>
      <c r="G850" s="128"/>
    </row>
    <row r="851" spans="1:7">
      <c r="A851" s="170">
        <f>_xlfn.XLOOKUP(B851 &amp; "-" &amp; TEXT(C851,"00"),改定!N:N,改定!E:E)</f>
        <v>51908</v>
      </c>
      <c r="B851" s="119" t="s">
        <v>163</v>
      </c>
      <c r="C851" s="124">
        <v>3</v>
      </c>
      <c r="D851" s="234" t="s">
        <v>1072</v>
      </c>
    </row>
    <row r="852" spans="1:7">
      <c r="A852" s="170">
        <f>_xlfn.XLOOKUP(B852 &amp; "-" &amp; TEXT(C852,"00"),改定!N:N,改定!E:E)</f>
        <v>52057</v>
      </c>
      <c r="B852" s="119" t="s">
        <v>469</v>
      </c>
      <c r="C852" s="124">
        <v>0</v>
      </c>
      <c r="D852" s="234" t="s">
        <v>1075</v>
      </c>
      <c r="E852" s="249">
        <v>4777</v>
      </c>
      <c r="F852" s="249"/>
      <c r="G852" s="128"/>
    </row>
    <row r="853" spans="1:7">
      <c r="A853" s="170">
        <f>_xlfn.XLOOKUP(B853 &amp; "-" &amp; TEXT(C853,"00"),改定!N:N,改定!E:E)</f>
        <v>52170</v>
      </c>
      <c r="B853" s="119" t="s">
        <v>133</v>
      </c>
      <c r="C853" s="124">
        <v>5</v>
      </c>
      <c r="D853" s="234" t="s">
        <v>1076</v>
      </c>
    </row>
    <row r="854" spans="1:7">
      <c r="A854" s="170">
        <f>_xlfn.XLOOKUP(B854 &amp; "-" &amp; TEXT(C854,"00"),改定!N:N,改定!E:E)</f>
        <v>52170</v>
      </c>
      <c r="B854" s="119" t="s">
        <v>133</v>
      </c>
      <c r="C854" s="124">
        <v>5</v>
      </c>
      <c r="D854" s="234" t="s">
        <v>1077</v>
      </c>
    </row>
    <row r="855" spans="1:7">
      <c r="A855" s="170">
        <f>_xlfn.XLOOKUP(B855 &amp; "-" &amp; TEXT(C855,"00"),改定!N:N,改定!E:E)</f>
        <v>52170</v>
      </c>
      <c r="B855" s="119" t="s">
        <v>133</v>
      </c>
      <c r="C855" s="124">
        <v>5</v>
      </c>
      <c r="D855" s="234" t="s">
        <v>1078</v>
      </c>
    </row>
    <row r="856" spans="1:7">
      <c r="A856" s="170">
        <f>_xlfn.XLOOKUP(B856 &amp; "-" &amp; TEXT(C856,"00"),改定!N:N,改定!E:E)</f>
        <v>52310</v>
      </c>
      <c r="B856" s="119" t="s">
        <v>128</v>
      </c>
      <c r="C856" s="124">
        <v>2</v>
      </c>
      <c r="D856" s="234" t="s">
        <v>1079</v>
      </c>
      <c r="E856" s="249"/>
      <c r="F856" s="249">
        <v>901</v>
      </c>
      <c r="G856" s="128"/>
    </row>
    <row r="857" spans="1:7">
      <c r="A857" s="170">
        <f>_xlfn.XLOOKUP(B857 &amp; "-" &amp; TEXT(C857,"00"),改定!N:N,改定!E:E)</f>
        <v>52310</v>
      </c>
      <c r="B857" s="119" t="s">
        <v>128</v>
      </c>
      <c r="C857" s="124">
        <v>2</v>
      </c>
      <c r="D857" s="234" t="s">
        <v>1080</v>
      </c>
      <c r="E857" s="249"/>
      <c r="F857" s="249">
        <v>548</v>
      </c>
      <c r="G857" s="128"/>
    </row>
    <row r="858" spans="1:7">
      <c r="A858" s="170">
        <f>_xlfn.XLOOKUP(B858 &amp; "-" &amp; TEXT(C858,"00"),改定!N:N,改定!E:E)</f>
        <v>52310</v>
      </c>
      <c r="B858" s="119" t="s">
        <v>128</v>
      </c>
      <c r="C858" s="124">
        <v>2</v>
      </c>
      <c r="D858" s="234" t="s">
        <v>1081</v>
      </c>
      <c r="E858" s="249"/>
      <c r="F858" s="249">
        <v>668</v>
      </c>
      <c r="G858" s="128"/>
    </row>
    <row r="859" spans="1:7">
      <c r="A859" s="170">
        <f>_xlfn.XLOOKUP(B859 &amp; "-" &amp; TEXT(C859,"00"),改定!N:N,改定!E:E)</f>
        <v>52310</v>
      </c>
      <c r="B859" s="119" t="s">
        <v>128</v>
      </c>
      <c r="C859" s="124">
        <v>2</v>
      </c>
      <c r="D859" s="234" t="s">
        <v>1082</v>
      </c>
      <c r="E859" s="249"/>
      <c r="F859" s="249">
        <v>638</v>
      </c>
      <c r="G859" s="128"/>
    </row>
    <row r="860" spans="1:7">
      <c r="A860" s="170">
        <f>_xlfn.XLOOKUP(B860 &amp; "-" &amp; TEXT(C860,"00"),改定!N:N,改定!E:E)</f>
        <v>52411</v>
      </c>
      <c r="B860" s="119" t="s">
        <v>75</v>
      </c>
      <c r="C860" s="124">
        <v>3</v>
      </c>
      <c r="D860" s="234" t="s">
        <v>1083</v>
      </c>
      <c r="E860" s="249">
        <v>1524</v>
      </c>
      <c r="F860" s="249">
        <v>1524</v>
      </c>
      <c r="G860" s="128"/>
    </row>
    <row r="861" spans="1:7">
      <c r="A861" s="170">
        <f>_xlfn.XLOOKUP(B861 &amp; "-" &amp; TEXT(C861,"00"),改定!N:N,改定!E:E)</f>
        <v>52411</v>
      </c>
      <c r="B861" s="119" t="s">
        <v>75</v>
      </c>
      <c r="C861" s="124">
        <v>3</v>
      </c>
      <c r="D861" s="234" t="s">
        <v>1084</v>
      </c>
    </row>
    <row r="862" spans="1:7">
      <c r="A862" s="170">
        <f>_xlfn.XLOOKUP(B862 &amp; "-" &amp; TEXT(C862,"00"),改定!N:N,改定!E:E)</f>
        <v>52576</v>
      </c>
      <c r="B862" s="119" t="s">
        <v>81</v>
      </c>
      <c r="C862" s="124">
        <v>8</v>
      </c>
      <c r="D862" s="234" t="s">
        <v>1074</v>
      </c>
    </row>
    <row r="863" spans="1:7">
      <c r="A863" s="170">
        <f>_xlfn.XLOOKUP(B863 &amp; "-" &amp; TEXT(C863,"00"),改定!N:N,改定!E:E)</f>
        <v>52576</v>
      </c>
      <c r="B863" s="119" t="s">
        <v>84</v>
      </c>
      <c r="C863" s="124">
        <v>7</v>
      </c>
      <c r="D863" s="234" t="s">
        <v>1085</v>
      </c>
    </row>
    <row r="864" spans="1:7">
      <c r="A864" s="170">
        <f>_xlfn.XLOOKUP(B864 &amp; "-" &amp; TEXT(C864,"00"),改定!N:N,改定!E:E)</f>
        <v>52576</v>
      </c>
      <c r="B864" s="119" t="s">
        <v>86</v>
      </c>
      <c r="C864" s="124">
        <v>4</v>
      </c>
      <c r="D864" s="234" t="s">
        <v>1074</v>
      </c>
    </row>
    <row r="865" spans="1:8">
      <c r="A865" s="170">
        <f>_xlfn.XLOOKUP(B865 &amp; "-" &amp; TEXT(C865,"00"),改定!N:N,改定!E:E)</f>
        <v>52576</v>
      </c>
      <c r="B865" s="119" t="s">
        <v>95</v>
      </c>
      <c r="C865" s="124">
        <v>2</v>
      </c>
      <c r="D865" s="234" t="s">
        <v>1086</v>
      </c>
    </row>
    <row r="866" spans="1:8">
      <c r="A866" s="170">
        <f>_xlfn.XLOOKUP(B866 &amp; "-" &amp; TEXT(C866,"00"),改定!N:N,改定!E:E)</f>
        <v>52606</v>
      </c>
      <c r="B866" s="119" t="s">
        <v>128</v>
      </c>
      <c r="C866" s="124">
        <v>3</v>
      </c>
      <c r="D866" s="234" t="s">
        <v>1079</v>
      </c>
      <c r="E866" s="249"/>
      <c r="F866" s="249">
        <v>906</v>
      </c>
      <c r="G866" s="128"/>
    </row>
    <row r="867" spans="1:8">
      <c r="A867" s="170">
        <f>_xlfn.XLOOKUP(B867 &amp; "-" &amp; TEXT(C867,"00"),改定!N:N,改定!E:E)</f>
        <v>52606</v>
      </c>
      <c r="B867" s="119" t="s">
        <v>128</v>
      </c>
      <c r="C867" s="124">
        <v>3</v>
      </c>
      <c r="D867" s="234" t="s">
        <v>1080</v>
      </c>
      <c r="E867" s="249"/>
      <c r="F867" s="249">
        <v>550</v>
      </c>
      <c r="G867" s="128"/>
    </row>
    <row r="868" spans="1:8">
      <c r="A868" s="170">
        <f>_xlfn.XLOOKUP(B868 &amp; "-" &amp; TEXT(C868,"00"),改定!N:N,改定!E:E)</f>
        <v>52606</v>
      </c>
      <c r="B868" s="119" t="s">
        <v>128</v>
      </c>
      <c r="C868" s="124">
        <v>3</v>
      </c>
      <c r="D868" s="234" t="s">
        <v>1081</v>
      </c>
    </row>
    <row r="869" spans="1:8">
      <c r="A869" s="170">
        <f>_xlfn.XLOOKUP(B869 &amp; "-" &amp; TEXT(C869,"00"),改定!N:N,改定!E:E)</f>
        <v>52606</v>
      </c>
      <c r="B869" s="119" t="s">
        <v>128</v>
      </c>
      <c r="C869" s="124">
        <v>3</v>
      </c>
      <c r="D869" s="234" t="s">
        <v>1082</v>
      </c>
      <c r="E869" s="249"/>
      <c r="F869" s="249">
        <v>648</v>
      </c>
      <c r="G869" s="128"/>
    </row>
    <row r="870" spans="1:8">
      <c r="A870" s="170">
        <f>_xlfn.XLOOKUP(B870 &amp; "-" &amp; TEXT(C870,"00"),改定!N:N,改定!E:E)</f>
        <v>52910</v>
      </c>
      <c r="B870" s="119" t="s">
        <v>88</v>
      </c>
      <c r="C870" s="124">
        <v>1</v>
      </c>
      <c r="D870" s="234" t="s">
        <v>1074</v>
      </c>
    </row>
    <row r="871" spans="1:8">
      <c r="A871" s="170">
        <f>_xlfn.XLOOKUP(B871 &amp; "-" &amp; TEXT(C871,"00"),改定!N:N,改定!E:E)</f>
        <v>52931</v>
      </c>
      <c r="B871" s="119" t="s">
        <v>133</v>
      </c>
      <c r="C871" s="124">
        <v>6</v>
      </c>
      <c r="D871" s="234" t="s">
        <v>1088</v>
      </c>
      <c r="E871" s="249"/>
      <c r="F871" s="249">
        <v>5</v>
      </c>
      <c r="G871" s="128"/>
    </row>
    <row r="872" spans="1:8">
      <c r="A872" s="170">
        <f>_xlfn.XLOOKUP(B872 &amp; "-" &amp; TEXT(C872,"00"),改定!N:N,改定!E:E)</f>
        <v>52931</v>
      </c>
      <c r="B872" s="119" t="s">
        <v>133</v>
      </c>
      <c r="C872" s="124">
        <v>6</v>
      </c>
      <c r="D872" s="234" t="s">
        <v>1077</v>
      </c>
    </row>
    <row r="873" spans="1:8">
      <c r="A873" s="170">
        <f>_xlfn.XLOOKUP(B873 &amp; "-" &amp; TEXT(C873,"00"),改定!N:N,改定!E:E)</f>
        <v>52931</v>
      </c>
      <c r="B873" s="119" t="s">
        <v>133</v>
      </c>
      <c r="C873" s="124">
        <v>6</v>
      </c>
      <c r="D873" s="234" t="s">
        <v>1089</v>
      </c>
    </row>
    <row r="874" spans="1:8" ht="15" customHeight="1">
      <c r="A874" s="170">
        <f>_xlfn.XLOOKUP(B874 &amp; "-" &amp; TEXT(C874,"00"),改定!N:N,改定!E:E)</f>
        <v>52943</v>
      </c>
      <c r="B874" s="119" t="s">
        <v>235</v>
      </c>
      <c r="C874" s="124">
        <v>0</v>
      </c>
      <c r="D874" s="234" t="s">
        <v>1090</v>
      </c>
    </row>
    <row r="875" spans="1:8">
      <c r="A875" s="170">
        <f>_xlfn.XLOOKUP(B875 &amp; "-" &amp; TEXT(C875,"00"),改定!N:N,改定!E:E)</f>
        <v>52943</v>
      </c>
      <c r="B875" s="119" t="s">
        <v>235</v>
      </c>
      <c r="C875" s="124">
        <v>0</v>
      </c>
      <c r="D875" s="234" t="s">
        <v>1091</v>
      </c>
    </row>
    <row r="876" spans="1:8">
      <c r="A876" s="170">
        <f>_xlfn.XLOOKUP(B876 &amp; "-" &amp; TEXT(C876,"00"),改定!N:N,改定!E:E)</f>
        <v>52943</v>
      </c>
      <c r="B876" s="119" t="s">
        <v>242</v>
      </c>
      <c r="C876" s="124">
        <v>0</v>
      </c>
      <c r="D876" s="234" t="s">
        <v>1090</v>
      </c>
    </row>
    <row r="877" spans="1:8">
      <c r="A877" s="170">
        <f>_xlfn.XLOOKUP(B877 &amp; "-" &amp; TEXT(C877,"00"),改定!N:N,改定!E:E)</f>
        <v>52943</v>
      </c>
      <c r="B877" s="119" t="s">
        <v>242</v>
      </c>
      <c r="C877" s="124">
        <v>0</v>
      </c>
      <c r="D877" s="234" t="s">
        <v>1091</v>
      </c>
    </row>
    <row r="878" spans="1:8">
      <c r="A878" s="170">
        <f>_xlfn.XLOOKUP(B878 &amp; "-" &amp; TEXT(C878,"00"),改定!N:N,改定!E:E)</f>
        <v>52943</v>
      </c>
      <c r="B878" s="119" t="s">
        <v>243</v>
      </c>
      <c r="C878" s="124">
        <v>0</v>
      </c>
      <c r="D878" s="234" t="s">
        <v>1090</v>
      </c>
    </row>
    <row r="879" spans="1:8">
      <c r="A879" s="170">
        <f>_xlfn.XLOOKUP(B879 &amp; "-" &amp; TEXT(C879,"00"),改定!N:N,改定!E:E)</f>
        <v>52943</v>
      </c>
      <c r="B879" s="119" t="s">
        <v>243</v>
      </c>
      <c r="C879" s="124">
        <v>0</v>
      </c>
      <c r="D879" s="234" t="s">
        <v>1091</v>
      </c>
    </row>
    <row r="880" spans="1:8" ht="27">
      <c r="A880" s="170">
        <f>_xlfn.XLOOKUP(B880 &amp; "-" &amp; TEXT(C880,"00"),改定!N:N,改定!E:E)</f>
        <v>52999</v>
      </c>
      <c r="B880" s="119" t="s">
        <v>19</v>
      </c>
      <c r="C880" s="124">
        <v>8</v>
      </c>
      <c r="D880" s="237" t="s">
        <v>895</v>
      </c>
      <c r="E880" s="249">
        <v>8550</v>
      </c>
      <c r="F880" s="249">
        <v>8550</v>
      </c>
      <c r="G880" s="128"/>
      <c r="H880" s="150" t="s">
        <v>1096</v>
      </c>
    </row>
    <row r="881" spans="1:8">
      <c r="A881" s="170">
        <f>_xlfn.XLOOKUP(B881 &amp; "-" &amp; TEXT(C881,"00"),改定!N:N,改定!E:E)</f>
        <v>52999</v>
      </c>
      <c r="B881" s="119" t="s">
        <v>19</v>
      </c>
      <c r="C881" s="124">
        <v>8</v>
      </c>
      <c r="D881" s="237" t="s">
        <v>870</v>
      </c>
    </row>
    <row r="882" spans="1:8">
      <c r="A882" s="170">
        <f>_xlfn.XLOOKUP(B882 &amp; "-" &amp; TEXT(C882,"00"),改定!N:N,改定!E:E)</f>
        <v>52999</v>
      </c>
      <c r="B882" s="119" t="s">
        <v>1018</v>
      </c>
      <c r="C882" s="124">
        <v>8</v>
      </c>
      <c r="D882" s="237" t="s">
        <v>831</v>
      </c>
      <c r="E882" s="249">
        <v>7904</v>
      </c>
      <c r="F882" s="249">
        <v>7904</v>
      </c>
      <c r="G882" s="128"/>
    </row>
    <row r="883" spans="1:8">
      <c r="A883" s="170">
        <f>_xlfn.XLOOKUP(B883 &amp; "-" &amp; TEXT(C883,"00"),改定!N:N,改定!E:E)</f>
        <v>52999</v>
      </c>
      <c r="B883" s="119" t="s">
        <v>1018</v>
      </c>
      <c r="C883" s="124">
        <v>8</v>
      </c>
      <c r="D883" s="237" t="s">
        <v>887</v>
      </c>
      <c r="E883" s="249">
        <v>2927</v>
      </c>
      <c r="F883" s="249">
        <v>2927</v>
      </c>
      <c r="G883" s="128"/>
    </row>
    <row r="884" spans="1:8">
      <c r="A884" s="170">
        <f>_xlfn.XLOOKUP(B884 &amp; "-" &amp; TEXT(C884,"00"),改定!N:N,改定!E:E)</f>
        <v>52999</v>
      </c>
      <c r="B884" s="119" t="s">
        <v>1018</v>
      </c>
      <c r="C884" s="124">
        <v>8</v>
      </c>
      <c r="D884" s="237" t="s">
        <v>832</v>
      </c>
      <c r="E884" s="249">
        <v>6388</v>
      </c>
      <c r="F884" s="249">
        <v>6388</v>
      </c>
      <c r="G884" s="128"/>
    </row>
    <row r="885" spans="1:8">
      <c r="A885" s="170">
        <f>_xlfn.XLOOKUP(B885 &amp; "-" &amp; TEXT(C885,"00"),改定!N:N,改定!E:E)</f>
        <v>52999</v>
      </c>
      <c r="B885" s="119" t="s">
        <v>1018</v>
      </c>
      <c r="C885" s="124">
        <v>8</v>
      </c>
      <c r="D885" s="237" t="s">
        <v>810</v>
      </c>
      <c r="E885" s="249">
        <v>1861</v>
      </c>
      <c r="F885" s="249">
        <v>1861</v>
      </c>
      <c r="G885" s="128"/>
    </row>
    <row r="886" spans="1:8">
      <c r="A886" s="170">
        <f>_xlfn.XLOOKUP(B886 &amp; "-" &amp; TEXT(C886,"00"),改定!N:N,改定!E:E)</f>
        <v>52999</v>
      </c>
      <c r="B886" s="119" t="s">
        <v>1018</v>
      </c>
      <c r="C886" s="124">
        <v>8</v>
      </c>
      <c r="D886" s="237" t="s">
        <v>860</v>
      </c>
      <c r="E886" s="249">
        <v>2415</v>
      </c>
      <c r="F886" s="249">
        <v>2415</v>
      </c>
      <c r="G886" s="128"/>
    </row>
    <row r="887" spans="1:8">
      <c r="A887" s="170">
        <f>_xlfn.XLOOKUP(B887 &amp; "-" &amp; TEXT(C887,"00"),改定!N:N,改定!E:E)</f>
        <v>52999</v>
      </c>
      <c r="B887" s="119" t="s">
        <v>1018</v>
      </c>
      <c r="C887" s="124">
        <v>8</v>
      </c>
      <c r="D887" s="237" t="s">
        <v>861</v>
      </c>
      <c r="E887" s="249">
        <v>580</v>
      </c>
      <c r="F887" s="249">
        <v>580</v>
      </c>
      <c r="G887" s="128"/>
    </row>
    <row r="888" spans="1:8" ht="27">
      <c r="A888" s="170">
        <f>_xlfn.XLOOKUP(B888 &amp; "-" &amp; TEXT(C888,"00"),改定!N:N,改定!E:E)</f>
        <v>52999</v>
      </c>
      <c r="B888" s="119" t="s">
        <v>1018</v>
      </c>
      <c r="C888" s="124">
        <v>8</v>
      </c>
      <c r="D888" s="237" t="s">
        <v>27</v>
      </c>
      <c r="E888" s="249">
        <v>3832</v>
      </c>
      <c r="F888" s="249">
        <v>3832</v>
      </c>
      <c r="G888" s="128"/>
      <c r="H888" s="150" t="s">
        <v>1096</v>
      </c>
    </row>
    <row r="889" spans="1:8" ht="27">
      <c r="A889" s="170">
        <f>_xlfn.XLOOKUP(B889 &amp; "-" &amp; TEXT(C889,"00"),改定!N:N,改定!E:E)</f>
        <v>52999</v>
      </c>
      <c r="B889" s="119" t="s">
        <v>1018</v>
      </c>
      <c r="C889" s="124">
        <v>8</v>
      </c>
      <c r="D889" s="237" t="s">
        <v>835</v>
      </c>
      <c r="E889" s="249">
        <v>6504</v>
      </c>
      <c r="F889" s="249">
        <v>6504</v>
      </c>
      <c r="G889" s="128"/>
      <c r="H889" s="150" t="s">
        <v>1096</v>
      </c>
    </row>
    <row r="890" spans="1:8">
      <c r="A890" s="170">
        <f>_xlfn.XLOOKUP(B890 &amp; "-" &amp; TEXT(C890,"00"),改定!N:N,改定!E:E)</f>
        <v>52999</v>
      </c>
      <c r="B890" s="119" t="s">
        <v>1018</v>
      </c>
      <c r="C890" s="124">
        <v>8</v>
      </c>
      <c r="D890" s="237" t="s">
        <v>856</v>
      </c>
      <c r="E890" s="249">
        <v>2030</v>
      </c>
      <c r="F890" s="249">
        <v>2030</v>
      </c>
      <c r="G890" s="128"/>
    </row>
    <row r="891" spans="1:8">
      <c r="A891" s="170">
        <f>_xlfn.XLOOKUP(B891 &amp; "-" &amp; TEXT(C891,"00"),改定!N:N,改定!E:E)</f>
        <v>52999</v>
      </c>
      <c r="B891" s="119" t="s">
        <v>1018</v>
      </c>
      <c r="C891" s="124">
        <v>8</v>
      </c>
      <c r="D891" s="237" t="s">
        <v>892</v>
      </c>
    </row>
    <row r="892" spans="1:8">
      <c r="A892" s="170">
        <f>_xlfn.XLOOKUP(B892 &amp; "-" &amp; TEXT(C892,"00"),改定!N:N,改定!E:E)</f>
        <v>52999</v>
      </c>
      <c r="B892" s="119" t="s">
        <v>1018</v>
      </c>
      <c r="C892" s="124">
        <v>8</v>
      </c>
      <c r="D892" s="237" t="s">
        <v>542</v>
      </c>
    </row>
    <row r="893" spans="1:8">
      <c r="A893" s="170">
        <f>_xlfn.XLOOKUP(B893 &amp; "-" &amp; TEXT(C893,"00"),改定!N:N,改定!E:E)</f>
        <v>52999</v>
      </c>
      <c r="B893" s="119" t="s">
        <v>1018</v>
      </c>
      <c r="C893" s="124">
        <v>8</v>
      </c>
      <c r="D893" s="237" t="s">
        <v>992</v>
      </c>
    </row>
    <row r="894" spans="1:8" ht="27">
      <c r="A894" s="170">
        <f>_xlfn.XLOOKUP(B894 &amp; "-" &amp; TEXT(C894,"00"),改定!N:N,改定!E:E)</f>
        <v>52999</v>
      </c>
      <c r="B894" s="119" t="s">
        <v>1018</v>
      </c>
      <c r="C894" s="124">
        <v>8</v>
      </c>
      <c r="D894" s="237" t="s">
        <v>225</v>
      </c>
      <c r="E894" s="249">
        <v>5239</v>
      </c>
      <c r="F894" s="249">
        <v>5239</v>
      </c>
      <c r="G894" s="128"/>
      <c r="H894" s="150" t="s">
        <v>1096</v>
      </c>
    </row>
    <row r="895" spans="1:8" ht="27">
      <c r="A895" s="170">
        <f>_xlfn.XLOOKUP(B895 &amp; "-" &amp; TEXT(C895,"00"),改定!N:N,改定!E:E)</f>
        <v>52999</v>
      </c>
      <c r="B895" s="119" t="s">
        <v>21</v>
      </c>
      <c r="C895" s="124">
        <v>8</v>
      </c>
      <c r="D895" s="245" t="s">
        <v>510</v>
      </c>
      <c r="E895" s="249">
        <v>8550</v>
      </c>
      <c r="F895" s="249">
        <v>8550</v>
      </c>
      <c r="G895" s="128"/>
      <c r="H895" s="150" t="s">
        <v>1096</v>
      </c>
    </row>
    <row r="896" spans="1:8">
      <c r="A896" s="170">
        <f>_xlfn.XLOOKUP(B896 &amp; "-" &amp; TEXT(C896,"00"),改定!N:N,改定!E:E)</f>
        <v>52999</v>
      </c>
      <c r="B896" s="119" t="s">
        <v>21</v>
      </c>
      <c r="C896" s="124">
        <v>8</v>
      </c>
      <c r="D896" s="237" t="s">
        <v>946</v>
      </c>
    </row>
    <row r="897" spans="1:8">
      <c r="A897" s="170">
        <f>_xlfn.XLOOKUP(B897 &amp; "-" &amp; TEXT(C897,"00"),改定!N:N,改定!E:E)</f>
        <v>52999</v>
      </c>
      <c r="B897" s="119" t="s">
        <v>21</v>
      </c>
      <c r="C897" s="124">
        <v>8</v>
      </c>
      <c r="D897" s="237" t="s">
        <v>869</v>
      </c>
      <c r="E897" s="249">
        <v>3659</v>
      </c>
      <c r="F897" s="249">
        <v>3659</v>
      </c>
      <c r="G897" s="128"/>
    </row>
    <row r="898" spans="1:8">
      <c r="A898" s="170">
        <f>_xlfn.XLOOKUP(B898 &amp; "-" &amp; TEXT(C898,"00"),改定!N:N,改定!E:E)</f>
        <v>52999</v>
      </c>
      <c r="B898" s="119" t="s">
        <v>21</v>
      </c>
      <c r="C898" s="124">
        <v>8</v>
      </c>
      <c r="D898" s="237" t="s">
        <v>202</v>
      </c>
    </row>
    <row r="899" spans="1:8">
      <c r="A899" s="170">
        <f>_xlfn.XLOOKUP(B899 &amp; "-" &amp; TEXT(C899,"00"),改定!N:N,改定!E:E)</f>
        <v>52999</v>
      </c>
      <c r="B899" s="119" t="s">
        <v>21</v>
      </c>
      <c r="C899" s="124">
        <v>8</v>
      </c>
      <c r="D899" s="237" t="s">
        <v>947</v>
      </c>
    </row>
    <row r="900" spans="1:8" ht="27">
      <c r="A900" s="170">
        <f>_xlfn.XLOOKUP(B900 &amp; "-" &amp; TEXT(C900,"00"),改定!N:N,改定!E:E)</f>
        <v>52999</v>
      </c>
      <c r="B900" s="119" t="s">
        <v>21</v>
      </c>
      <c r="C900" s="124">
        <v>8</v>
      </c>
      <c r="D900" s="237" t="s">
        <v>835</v>
      </c>
      <c r="E900" s="249">
        <v>6504</v>
      </c>
      <c r="F900" s="249">
        <v>6504</v>
      </c>
      <c r="G900" s="128"/>
      <c r="H900" s="150" t="s">
        <v>1096</v>
      </c>
    </row>
    <row r="901" spans="1:8" ht="27">
      <c r="A901" s="170">
        <f>_xlfn.XLOOKUP(B901 &amp; "-" &amp; TEXT(C901,"00"),改定!N:N,改定!E:E)</f>
        <v>52999</v>
      </c>
      <c r="B901" s="119" t="s">
        <v>21</v>
      </c>
      <c r="C901" s="124">
        <v>8</v>
      </c>
      <c r="D901" s="237" t="s">
        <v>998</v>
      </c>
      <c r="E901" s="249">
        <v>3832</v>
      </c>
      <c r="F901" s="249">
        <v>3832</v>
      </c>
      <c r="G901" s="128"/>
      <c r="H901" s="150" t="s">
        <v>1096</v>
      </c>
    </row>
    <row r="902" spans="1:8">
      <c r="A902" s="170">
        <f>_xlfn.XLOOKUP(B902 &amp; "-" &amp; TEXT(C902,"00"),改定!N:N,改定!E:E)</f>
        <v>52999</v>
      </c>
      <c r="B902" s="119" t="s">
        <v>21</v>
      </c>
      <c r="C902" s="124">
        <v>8</v>
      </c>
      <c r="D902" s="237" t="s">
        <v>892</v>
      </c>
    </row>
    <row r="903" spans="1:8">
      <c r="A903" s="170">
        <f>_xlfn.XLOOKUP(B903 &amp; "-" &amp; TEXT(C903,"00"),改定!N:N,改定!E:E)</f>
        <v>52999</v>
      </c>
      <c r="B903" s="119" t="s">
        <v>21</v>
      </c>
      <c r="C903" s="124">
        <v>8</v>
      </c>
      <c r="D903" s="237" t="s">
        <v>215</v>
      </c>
    </row>
    <row r="904" spans="1:8">
      <c r="A904" s="170">
        <f>_xlfn.XLOOKUP(B904 &amp; "-" &amp; TEXT(C904,"00"),改定!N:N,改定!E:E)</f>
        <v>52999</v>
      </c>
      <c r="B904" s="119" t="s">
        <v>21</v>
      </c>
      <c r="C904" s="124">
        <v>8</v>
      </c>
      <c r="D904" s="237" t="s">
        <v>866</v>
      </c>
    </row>
    <row r="905" spans="1:8">
      <c r="A905" s="170">
        <f>_xlfn.XLOOKUP(B905 &amp; "-" &amp; TEXT(C905,"00"),改定!N:N,改定!E:E)</f>
        <v>52999</v>
      </c>
      <c r="B905" s="119" t="s">
        <v>21</v>
      </c>
      <c r="C905" s="124">
        <v>8</v>
      </c>
      <c r="D905" s="237" t="s">
        <v>894</v>
      </c>
    </row>
    <row r="906" spans="1:8" ht="27">
      <c r="A906" s="170">
        <f>_xlfn.XLOOKUP(B906 &amp; "-" &amp; TEXT(C906,"00"),改定!N:N,改定!E:E)</f>
        <v>52999</v>
      </c>
      <c r="B906" s="119" t="s">
        <v>21</v>
      </c>
      <c r="C906" s="124">
        <v>8</v>
      </c>
      <c r="D906" s="237" t="s">
        <v>1094</v>
      </c>
      <c r="E906" s="249">
        <v>5239</v>
      </c>
      <c r="F906" s="249">
        <v>5239</v>
      </c>
      <c r="G906" s="128"/>
      <c r="H906" s="150" t="s">
        <v>1096</v>
      </c>
    </row>
    <row r="907" spans="1:8">
      <c r="A907" s="170">
        <f>_xlfn.XLOOKUP(B907 &amp; "-" &amp; TEXT(C907,"00"),改定!N:N,改定!E:E)</f>
        <v>52999</v>
      </c>
      <c r="B907" s="119" t="s">
        <v>21</v>
      </c>
      <c r="C907" s="124">
        <v>8</v>
      </c>
      <c r="D907" s="237" t="s">
        <v>873</v>
      </c>
      <c r="E907" s="249">
        <v>197</v>
      </c>
      <c r="F907" s="249">
        <v>197</v>
      </c>
      <c r="G907" s="128"/>
    </row>
    <row r="908" spans="1:8">
      <c r="A908" s="170">
        <f>_xlfn.XLOOKUP(B908 &amp; "-" &amp; TEXT(C908,"00"),改定!N:N,改定!E:E)</f>
        <v>52999</v>
      </c>
      <c r="B908" s="119" t="s">
        <v>21</v>
      </c>
      <c r="C908" s="124">
        <v>8</v>
      </c>
      <c r="D908" s="237" t="s">
        <v>901</v>
      </c>
    </row>
    <row r="909" spans="1:8">
      <c r="A909" s="170">
        <f>_xlfn.XLOOKUP(B909 &amp; "-" &amp; TEXT(C909,"00"),改定!N:N,改定!E:E)</f>
        <v>52999</v>
      </c>
      <c r="B909" s="119" t="s">
        <v>21</v>
      </c>
      <c r="C909" s="124">
        <v>8</v>
      </c>
      <c r="D909" s="237" t="s">
        <v>875</v>
      </c>
    </row>
    <row r="910" spans="1:8" ht="27">
      <c r="A910" s="170">
        <f>_xlfn.XLOOKUP(B910 &amp; "-" &amp; TEXT(C910,"00"),改定!N:N,改定!E:E)</f>
        <v>52999</v>
      </c>
      <c r="B910" s="119" t="s">
        <v>466</v>
      </c>
      <c r="C910" s="124">
        <v>0</v>
      </c>
      <c r="D910" s="234" t="s">
        <v>1092</v>
      </c>
      <c r="E910" s="249">
        <v>197</v>
      </c>
      <c r="F910" s="249">
        <v>197</v>
      </c>
      <c r="G910" s="128"/>
      <c r="H910" s="150" t="s">
        <v>1093</v>
      </c>
    </row>
    <row r="911" spans="1:8" ht="27">
      <c r="A911" s="170">
        <f>_xlfn.XLOOKUP(B911 &amp; "-" &amp; TEXT(C911,"00"),改定!N:N,改定!E:E)</f>
        <v>52999</v>
      </c>
      <c r="B911" s="119" t="s">
        <v>466</v>
      </c>
      <c r="C911" s="124">
        <v>0</v>
      </c>
      <c r="D911" s="234" t="s">
        <v>1075</v>
      </c>
      <c r="E911" s="249">
        <v>5239</v>
      </c>
      <c r="F911" s="249">
        <v>5239</v>
      </c>
      <c r="G911" s="128"/>
      <c r="H911" s="150" t="s">
        <v>1093</v>
      </c>
    </row>
    <row r="912" spans="1:8" ht="27">
      <c r="A912" s="170">
        <f>_xlfn.XLOOKUP(B912 &amp; "-" &amp; TEXT(C912,"00"),改定!N:N,改定!E:E)</f>
        <v>52999</v>
      </c>
      <c r="B912" s="119" t="s">
        <v>228</v>
      </c>
      <c r="C912" s="124">
        <v>0</v>
      </c>
      <c r="D912" s="234" t="s">
        <v>1092</v>
      </c>
      <c r="E912" s="249">
        <v>197</v>
      </c>
      <c r="F912" s="249">
        <v>197</v>
      </c>
      <c r="G912" s="128"/>
      <c r="H912" s="150" t="s">
        <v>1093</v>
      </c>
    </row>
    <row r="913" spans="1:8" ht="27">
      <c r="A913" s="170">
        <f>_xlfn.XLOOKUP(B913 &amp; "-" &amp; TEXT(C913,"00"),改定!N:N,改定!E:E)</f>
        <v>52999</v>
      </c>
      <c r="B913" s="119" t="s">
        <v>228</v>
      </c>
      <c r="C913" s="124">
        <v>0</v>
      </c>
      <c r="D913" s="234" t="s">
        <v>1075</v>
      </c>
      <c r="E913" s="249">
        <v>5239</v>
      </c>
      <c r="F913" s="249">
        <v>5239</v>
      </c>
      <c r="G913" s="128"/>
      <c r="H913" s="150" t="s">
        <v>1093</v>
      </c>
    </row>
    <row r="914" spans="1:8">
      <c r="A914" s="170">
        <f>_xlfn.XLOOKUP(B914 &amp; "-" &amp; TEXT(C914,"00"),改定!N:N,改定!E:E)</f>
        <v>53099</v>
      </c>
      <c r="B914" s="119" t="s">
        <v>133</v>
      </c>
      <c r="C914" s="124">
        <v>7</v>
      </c>
      <c r="D914" s="234" t="s">
        <v>1088</v>
      </c>
      <c r="E914" s="249">
        <v>334</v>
      </c>
      <c r="F914" s="249">
        <v>334</v>
      </c>
      <c r="G914" s="128"/>
    </row>
    <row r="915" spans="1:8">
      <c r="A915" s="170">
        <f>_xlfn.XLOOKUP(B915 &amp; "-" &amp; TEXT(C915,"00"),改定!N:N,改定!E:E)</f>
        <v>53099</v>
      </c>
      <c r="B915" s="119" t="s">
        <v>133</v>
      </c>
      <c r="C915" s="124">
        <v>7</v>
      </c>
      <c r="D915" s="234" t="s">
        <v>1077</v>
      </c>
      <c r="E915" s="249">
        <v>166</v>
      </c>
      <c r="F915" s="249">
        <v>166</v>
      </c>
      <c r="G915" s="128"/>
    </row>
    <row r="916" spans="1:8">
      <c r="A916" s="170">
        <f>_xlfn.XLOOKUP(B916 &amp; "-" &amp; TEXT(C916,"00"),改定!N:N,改定!E:E)</f>
        <v>53099</v>
      </c>
      <c r="B916" s="119" t="s">
        <v>133</v>
      </c>
      <c r="C916" s="124">
        <v>7</v>
      </c>
      <c r="D916" s="234" t="s">
        <v>1089</v>
      </c>
      <c r="E916" s="249">
        <v>5836</v>
      </c>
      <c r="F916" s="249">
        <v>5836</v>
      </c>
      <c r="G916" s="128"/>
    </row>
    <row r="917" spans="1:8">
      <c r="A917" s="170">
        <f>_xlfn.XLOOKUP(B917 &amp; "-" &amp; TEXT(C917,"00"),改定!N:N,改定!E:E)</f>
        <v>53196</v>
      </c>
      <c r="B917" s="119" t="s">
        <v>169</v>
      </c>
      <c r="C917" s="124">
        <v>2</v>
      </c>
      <c r="D917" s="234" t="s">
        <v>1072</v>
      </c>
      <c r="E917" s="249">
        <v>202</v>
      </c>
      <c r="F917" s="249"/>
      <c r="G917" s="128"/>
    </row>
    <row r="918" spans="1:8">
      <c r="A918" s="170">
        <f>_xlfn.XLOOKUP(B918 &amp; "-" &amp; TEXT(C918,"00"),改定!N:N,改定!E:E)</f>
        <v>53227</v>
      </c>
      <c r="B918" s="119" t="s">
        <v>204</v>
      </c>
      <c r="C918" s="124">
        <v>3</v>
      </c>
      <c r="D918" s="234" t="s">
        <v>1097</v>
      </c>
      <c r="E918" s="249">
        <v>3023</v>
      </c>
      <c r="F918" s="249">
        <v>3023</v>
      </c>
      <c r="G918" s="128"/>
    </row>
    <row r="919" spans="1:8">
      <c r="A919" s="170">
        <f>_xlfn.XLOOKUP(B919 &amp; "-" &amp; TEXT(C919,"00"),改定!N:N,改定!E:E)</f>
        <v>53227</v>
      </c>
      <c r="B919" s="119" t="s">
        <v>204</v>
      </c>
      <c r="C919" s="124">
        <v>3</v>
      </c>
      <c r="D919" s="234" t="s">
        <v>1098</v>
      </c>
      <c r="E919" s="249">
        <v>68</v>
      </c>
      <c r="F919" s="249">
        <v>68</v>
      </c>
      <c r="G919" s="128"/>
    </row>
    <row r="920" spans="1:8">
      <c r="A920" s="170">
        <f>_xlfn.XLOOKUP(B920 &amp; "-" &amp; TEXT(C920,"00"),改定!N:N,改定!E:E)</f>
        <v>53227</v>
      </c>
      <c r="B920" s="119" t="s">
        <v>216</v>
      </c>
      <c r="C920" s="124">
        <v>3</v>
      </c>
      <c r="D920" s="234" t="s">
        <v>1099</v>
      </c>
      <c r="E920" s="249"/>
      <c r="F920" s="249">
        <v>2700</v>
      </c>
      <c r="G920" s="128"/>
    </row>
    <row r="921" spans="1:8" ht="27">
      <c r="A921" s="170">
        <f>_xlfn.XLOOKUP(B921 &amp; "-" &amp; TEXT(C921,"00"),改定!N:N,改定!E:E)</f>
        <v>53228</v>
      </c>
      <c r="B921" s="119" t="s">
        <v>221</v>
      </c>
      <c r="C921" s="124">
        <v>3</v>
      </c>
      <c r="D921" s="234" t="s">
        <v>1100</v>
      </c>
      <c r="E921" s="249">
        <v>248</v>
      </c>
      <c r="F921" s="249">
        <v>248</v>
      </c>
      <c r="G921" s="128"/>
      <c r="H921" s="150" t="s">
        <v>1105</v>
      </c>
    </row>
    <row r="922" spans="1:8" ht="27">
      <c r="A922" s="170">
        <f>_xlfn.XLOOKUP(B922 &amp; "-" &amp; TEXT(C922,"00"),改定!N:N,改定!E:E)</f>
        <v>53228</v>
      </c>
      <c r="B922" s="119" t="s">
        <v>221</v>
      </c>
      <c r="C922" s="124">
        <v>3</v>
      </c>
      <c r="D922" s="234" t="s">
        <v>1075</v>
      </c>
      <c r="E922" s="249">
        <v>5518</v>
      </c>
      <c r="F922" s="249">
        <v>5518</v>
      </c>
      <c r="G922" s="128"/>
      <c r="H922" s="150" t="s">
        <v>1105</v>
      </c>
    </row>
    <row r="923" spans="1:8">
      <c r="A923" s="170">
        <f>_xlfn.XLOOKUP(B923 &amp; "-" &amp; TEXT(C923,"00"),改定!N:N,改定!E:E)</f>
        <v>53228</v>
      </c>
      <c r="B923" s="119" t="s">
        <v>221</v>
      </c>
      <c r="C923" s="124">
        <v>3</v>
      </c>
      <c r="D923" s="234" t="s">
        <v>1101</v>
      </c>
      <c r="E923" s="249">
        <v>4532</v>
      </c>
      <c r="F923" s="249">
        <v>4532</v>
      </c>
      <c r="G923" s="128"/>
    </row>
    <row r="924" spans="1:8">
      <c r="A924" s="170">
        <f>_xlfn.XLOOKUP(B924 &amp; "-" &amp; TEXT(C924,"00"),改定!N:N,改定!E:E)</f>
        <v>53228</v>
      </c>
      <c r="B924" s="119" t="s">
        <v>221</v>
      </c>
      <c r="C924" s="124">
        <v>3</v>
      </c>
      <c r="D924" s="234" t="s">
        <v>1102</v>
      </c>
      <c r="E924" s="249">
        <v>54</v>
      </c>
      <c r="F924" s="249">
        <v>54</v>
      </c>
      <c r="G924" s="128"/>
    </row>
    <row r="925" spans="1:8">
      <c r="A925" s="170">
        <f>_xlfn.XLOOKUP(B925 &amp; "-" &amp; TEXT(C925,"00"),改定!N:N,改定!E:E)</f>
        <v>53228</v>
      </c>
      <c r="B925" s="119" t="s">
        <v>221</v>
      </c>
      <c r="C925" s="124">
        <v>3</v>
      </c>
      <c r="D925" s="234" t="s">
        <v>1103</v>
      </c>
      <c r="E925" s="249">
        <v>4930</v>
      </c>
      <c r="F925" s="249">
        <v>4930</v>
      </c>
      <c r="G925" s="128"/>
    </row>
    <row r="926" spans="1:8">
      <c r="A926" s="170">
        <f>_xlfn.XLOOKUP(B926 &amp; "-" &amp; TEXT(C926,"00"),改定!N:N,改定!E:E)</f>
        <v>53228</v>
      </c>
      <c r="B926" s="119" t="s">
        <v>221</v>
      </c>
      <c r="C926" s="124">
        <v>3</v>
      </c>
      <c r="D926" s="234" t="s">
        <v>1104</v>
      </c>
      <c r="E926" s="249">
        <v>180</v>
      </c>
      <c r="F926" s="249">
        <v>180</v>
      </c>
      <c r="G926" s="128"/>
    </row>
    <row r="927" spans="1:8" ht="27">
      <c r="A927" s="170">
        <f>_xlfn.XLOOKUP(B927 &amp; "-" &amp; TEXT(C927,"00"),改定!N:N,改定!E:E)</f>
        <v>53228</v>
      </c>
      <c r="B927" s="119" t="s">
        <v>226</v>
      </c>
      <c r="C927" s="124">
        <v>1</v>
      </c>
      <c r="D927" s="234" t="s">
        <v>1100</v>
      </c>
      <c r="E927" s="249">
        <v>248</v>
      </c>
      <c r="F927" s="249">
        <v>248</v>
      </c>
      <c r="G927" s="128"/>
      <c r="H927" s="150" t="s">
        <v>1105</v>
      </c>
    </row>
    <row r="928" spans="1:8" ht="27">
      <c r="A928" s="170">
        <f>_xlfn.XLOOKUP(B928 &amp; "-" &amp; TEXT(C928,"00"),改定!N:N,改定!E:E)</f>
        <v>53228</v>
      </c>
      <c r="B928" s="119" t="s">
        <v>226</v>
      </c>
      <c r="C928" s="124">
        <v>1</v>
      </c>
      <c r="D928" s="234" t="s">
        <v>1075</v>
      </c>
      <c r="E928" s="249">
        <v>5518</v>
      </c>
      <c r="F928" s="249">
        <v>5518</v>
      </c>
      <c r="G928" s="128"/>
      <c r="H928" s="150" t="s">
        <v>1105</v>
      </c>
    </row>
    <row r="929" spans="1:8">
      <c r="A929" s="170">
        <f>_xlfn.XLOOKUP(B929 &amp; "-" &amp; TEXT(C929,"00"),改定!N:N,改定!E:E)</f>
        <v>53229</v>
      </c>
      <c r="B929" s="119" t="s">
        <v>75</v>
      </c>
      <c r="C929" s="124">
        <v>4</v>
      </c>
      <c r="D929" s="234" t="s">
        <v>1083</v>
      </c>
      <c r="E929" s="249"/>
      <c r="F929" s="249">
        <v>1499</v>
      </c>
      <c r="G929" s="128"/>
    </row>
    <row r="930" spans="1:8">
      <c r="A930" s="170">
        <f>_xlfn.XLOOKUP(B930 &amp; "-" &amp; TEXT(C930,"00"),改定!N:N,改定!E:E)</f>
        <v>53229</v>
      </c>
      <c r="B930" s="119" t="s">
        <v>75</v>
      </c>
      <c r="C930" s="124">
        <v>4</v>
      </c>
      <c r="D930" s="234" t="s">
        <v>1106</v>
      </c>
    </row>
    <row r="931" spans="1:8">
      <c r="A931" s="170">
        <f>_xlfn.XLOOKUP(B931 &amp; "-" &amp; TEXT(C931,"00"),改定!N:N,改定!E:E)</f>
        <v>53229</v>
      </c>
      <c r="B931" s="119" t="s">
        <v>128</v>
      </c>
      <c r="C931" s="124">
        <v>4</v>
      </c>
      <c r="D931" s="234" t="s">
        <v>1079</v>
      </c>
      <c r="E931" s="249"/>
      <c r="F931" s="249">
        <v>974</v>
      </c>
      <c r="G931" s="128"/>
    </row>
    <row r="932" spans="1:8">
      <c r="A932" s="170">
        <f>_xlfn.XLOOKUP(B932 &amp; "-" &amp; TEXT(C932,"00"),改定!N:N,改定!E:E)</f>
        <v>53229</v>
      </c>
      <c r="B932" s="119" t="s">
        <v>128</v>
      </c>
      <c r="C932" s="124">
        <v>4</v>
      </c>
      <c r="D932" s="234" t="s">
        <v>1080</v>
      </c>
      <c r="E932" s="249"/>
      <c r="F932" s="249">
        <v>650</v>
      </c>
      <c r="G932" s="128"/>
    </row>
    <row r="933" spans="1:8">
      <c r="A933" s="170">
        <f>_xlfn.XLOOKUP(B933 &amp; "-" &amp; TEXT(C933,"00"),改定!N:N,改定!E:E)</f>
        <v>53229</v>
      </c>
      <c r="B933" s="119" t="s">
        <v>128</v>
      </c>
      <c r="C933" s="124">
        <v>4</v>
      </c>
      <c r="D933" s="234" t="s">
        <v>1081</v>
      </c>
      <c r="E933" s="249"/>
      <c r="F933" s="249">
        <v>668</v>
      </c>
      <c r="G933" s="128"/>
    </row>
    <row r="934" spans="1:8">
      <c r="A934" s="170">
        <f>_xlfn.XLOOKUP(B934 &amp; "-" &amp; TEXT(C934,"00"),改定!N:N,改定!E:E)</f>
        <v>53229</v>
      </c>
      <c r="B934" s="119" t="s">
        <v>128</v>
      </c>
      <c r="C934" s="124">
        <v>4</v>
      </c>
      <c r="D934" s="234" t="s">
        <v>1082</v>
      </c>
      <c r="E934" s="249"/>
      <c r="F934" s="249">
        <v>816</v>
      </c>
      <c r="G934" s="128"/>
    </row>
    <row r="935" spans="1:8">
      <c r="A935" s="170">
        <f>_xlfn.XLOOKUP(B935 &amp; "-" &amp; TEXT(C935,"00"),改定!N:N,改定!E:E)</f>
        <v>53256</v>
      </c>
      <c r="B935" s="119" t="s">
        <v>39</v>
      </c>
      <c r="C935" s="124">
        <v>1</v>
      </c>
      <c r="D935" s="234" t="s">
        <v>1107</v>
      </c>
      <c r="E935" s="249">
        <v>1121</v>
      </c>
      <c r="F935" s="249">
        <v>1121</v>
      </c>
      <c r="G935" s="128"/>
    </row>
    <row r="936" spans="1:8">
      <c r="A936" s="170">
        <f>_xlfn.XLOOKUP(B936 &amp; "-" &amp; TEXT(C936,"00"),改定!N:N,改定!E:E)</f>
        <v>53264</v>
      </c>
      <c r="B936" s="119" t="s">
        <v>155</v>
      </c>
      <c r="C936" s="124">
        <v>7</v>
      </c>
      <c r="D936" s="234" t="s">
        <v>1108</v>
      </c>
      <c r="E936" s="249"/>
      <c r="F936" s="249">
        <v>2443</v>
      </c>
      <c r="G936" s="128"/>
    </row>
    <row r="937" spans="1:8">
      <c r="A937" s="170">
        <f>_xlfn.XLOOKUP(B937 &amp; "-" &amp; TEXT(C937,"00"),改定!N:N,改定!E:E)</f>
        <v>53264</v>
      </c>
      <c r="B937" s="119" t="s">
        <v>155</v>
      </c>
      <c r="C937" s="124">
        <v>7</v>
      </c>
      <c r="D937" s="234" t="s">
        <v>1109</v>
      </c>
      <c r="E937" s="249"/>
      <c r="F937" s="249">
        <v>2915</v>
      </c>
      <c r="G937" s="128"/>
    </row>
    <row r="938" spans="1:8">
      <c r="A938" s="170">
        <f>_xlfn.XLOOKUP(B938 &amp; "-" &amp; TEXT(C938,"00"),改定!N:N,改定!E:E)</f>
        <v>53280</v>
      </c>
      <c r="B938" s="119" t="s">
        <v>184</v>
      </c>
      <c r="C938" s="124">
        <v>4</v>
      </c>
      <c r="D938" s="234" t="s">
        <v>1110</v>
      </c>
    </row>
    <row r="939" spans="1:8" ht="27">
      <c r="A939" s="170">
        <f>_xlfn.XLOOKUP(B939 &amp; "-" &amp; TEXT(C939,"00"),改定!N:N,改定!E:E)</f>
        <v>53292</v>
      </c>
      <c r="B939" s="119" t="s">
        <v>86</v>
      </c>
      <c r="C939" s="124">
        <v>5</v>
      </c>
      <c r="D939" s="234" t="s">
        <v>1086</v>
      </c>
      <c r="E939" s="249"/>
      <c r="F939" s="249">
        <v>8615</v>
      </c>
      <c r="G939" s="128"/>
      <c r="H939" s="150" t="s">
        <v>1111</v>
      </c>
    </row>
    <row r="940" spans="1:8" ht="27">
      <c r="A940" s="170">
        <f>_xlfn.XLOOKUP(B940 &amp; "-" &amp; TEXT(C940,"00"),改定!N:N,改定!E:E)</f>
        <v>53292</v>
      </c>
      <c r="B940" s="119" t="s">
        <v>88</v>
      </c>
      <c r="C940" s="124">
        <v>2</v>
      </c>
      <c r="D940" s="234" t="s">
        <v>1074</v>
      </c>
      <c r="E940" s="249"/>
      <c r="F940" s="249">
        <v>8615</v>
      </c>
      <c r="G940" s="128"/>
      <c r="H940" s="150" t="s">
        <v>1111</v>
      </c>
    </row>
    <row r="941" spans="1:8">
      <c r="A941" s="170">
        <f>_xlfn.XLOOKUP(B941 &amp; "-" &amp; TEXT(C941,"00"),改定!N:N,改定!E:E)</f>
        <v>53299</v>
      </c>
      <c r="B941" s="119" t="s">
        <v>192</v>
      </c>
      <c r="C941" s="124">
        <v>4</v>
      </c>
      <c r="D941" s="234" t="s">
        <v>1112</v>
      </c>
      <c r="E941" s="249"/>
      <c r="F941" s="249">
        <v>2094</v>
      </c>
      <c r="G941" s="128"/>
    </row>
    <row r="942" spans="1:8">
      <c r="A942" s="170">
        <f>_xlfn.XLOOKUP(B942 &amp; "-" &amp; TEXT(C942,"00"),改定!N:N,改定!E:E)</f>
        <v>53319</v>
      </c>
      <c r="B942" s="119" t="s">
        <v>102</v>
      </c>
      <c r="C942" s="124">
        <v>1</v>
      </c>
      <c r="D942" s="234" t="s">
        <v>1113</v>
      </c>
    </row>
    <row r="943" spans="1:8">
      <c r="A943" s="170">
        <f>_xlfn.XLOOKUP(B943 &amp; "-" &amp; TEXT(C943,"00"),改定!N:N,改定!E:E)</f>
        <v>53346</v>
      </c>
      <c r="B943" s="119" t="s">
        <v>39</v>
      </c>
      <c r="C943" s="124">
        <v>2</v>
      </c>
      <c r="D943" s="234" t="s">
        <v>1107</v>
      </c>
      <c r="E943" s="249"/>
      <c r="F943" s="249">
        <v>1121</v>
      </c>
      <c r="G943" s="128"/>
    </row>
    <row r="944" spans="1:8">
      <c r="A944" s="170">
        <f>_xlfn.XLOOKUP(B944 &amp; "-" &amp; TEXT(C944,"00"),改定!N:N,改定!E:E)</f>
        <v>53270</v>
      </c>
      <c r="B944" s="119" t="s">
        <v>140</v>
      </c>
      <c r="C944" s="124">
        <v>6</v>
      </c>
      <c r="D944" s="234" t="s">
        <v>1115</v>
      </c>
      <c r="E944" s="249"/>
      <c r="F944" s="249">
        <v>1861</v>
      </c>
      <c r="G944" s="128"/>
    </row>
    <row r="945" spans="1:8">
      <c r="A945" s="170">
        <f>_xlfn.XLOOKUP(B945 &amp; "-" &amp; TEXT(C945,"00"),改定!N:N,改定!E:E)</f>
        <v>53270</v>
      </c>
      <c r="B945" s="119" t="s">
        <v>140</v>
      </c>
      <c r="C945" s="124">
        <v>6</v>
      </c>
      <c r="D945" s="234" t="s">
        <v>1116</v>
      </c>
      <c r="E945" s="249"/>
      <c r="F945" s="249">
        <v>7890</v>
      </c>
      <c r="G945" s="128"/>
    </row>
    <row r="946" spans="1:8">
      <c r="A946" s="170">
        <f>_xlfn.XLOOKUP(B946 &amp; "-" &amp; TEXT(C946,"00"),改定!N:N,改定!E:E)</f>
        <v>53270</v>
      </c>
      <c r="B946" s="119" t="s">
        <v>140</v>
      </c>
      <c r="C946" s="124">
        <v>6</v>
      </c>
      <c r="D946" s="234" t="s">
        <v>1117</v>
      </c>
      <c r="E946" s="249"/>
      <c r="F946" s="249">
        <v>6373</v>
      </c>
      <c r="G946" s="128"/>
    </row>
    <row r="947" spans="1:8">
      <c r="A947" s="170">
        <f>_xlfn.XLOOKUP(B947 &amp; "-" &amp; TEXT(C947,"00"),改定!N:N,改定!E:E)</f>
        <v>53270</v>
      </c>
      <c r="B947" s="119" t="s">
        <v>140</v>
      </c>
      <c r="C947" s="124">
        <v>6</v>
      </c>
      <c r="D947" s="234" t="s">
        <v>1118</v>
      </c>
      <c r="E947" s="249"/>
      <c r="F947" s="249">
        <v>6474</v>
      </c>
      <c r="G947" s="128"/>
    </row>
    <row r="948" spans="1:8">
      <c r="A948" s="170">
        <f>_xlfn.XLOOKUP(B948 &amp; "-" &amp; TEXT(C948,"00"),改定!N:N,改定!E:E)</f>
        <v>53280</v>
      </c>
      <c r="B948" s="119" t="s">
        <v>184</v>
      </c>
      <c r="C948" s="124">
        <v>4</v>
      </c>
      <c r="D948" s="234" t="s">
        <v>1119</v>
      </c>
      <c r="E948" s="249">
        <v>712</v>
      </c>
      <c r="F948" s="249">
        <v>712</v>
      </c>
      <c r="G948" s="128"/>
    </row>
    <row r="949" spans="1:8" ht="27">
      <c r="A949" s="170">
        <f>_xlfn.XLOOKUP(B949 &amp; "-" &amp; TEXT(C949,"00"),改定!N:N,改定!E:E)</f>
        <v>53292</v>
      </c>
      <c r="B949" s="119" t="s">
        <v>86</v>
      </c>
      <c r="C949" s="124">
        <v>5</v>
      </c>
      <c r="D949" s="234" t="s">
        <v>1074</v>
      </c>
      <c r="E949" s="249"/>
      <c r="F949" s="249">
        <v>8615</v>
      </c>
      <c r="G949" s="128"/>
      <c r="H949" s="150" t="s">
        <v>1111</v>
      </c>
    </row>
    <row r="950" spans="1:8" ht="27">
      <c r="A950" s="170">
        <f>_xlfn.XLOOKUP(B950 &amp; "-" &amp; TEXT(C950,"00"),改定!N:N,改定!E:E)</f>
        <v>53292</v>
      </c>
      <c r="B950" s="119" t="s">
        <v>88</v>
      </c>
      <c r="C950" s="124">
        <v>2</v>
      </c>
      <c r="D950" s="234" t="s">
        <v>1074</v>
      </c>
      <c r="E950" s="249"/>
      <c r="F950" s="249">
        <v>8615</v>
      </c>
      <c r="G950" s="128"/>
      <c r="H950" s="150" t="s">
        <v>1111</v>
      </c>
    </row>
    <row r="951" spans="1:8">
      <c r="A951" s="170">
        <f>_xlfn.XLOOKUP(B951 &amp; "-" &amp; TEXT(C951,"00"),改定!N:N,改定!E:E)</f>
        <v>53299</v>
      </c>
      <c r="B951" s="119" t="s">
        <v>192</v>
      </c>
      <c r="C951" s="124">
        <v>4</v>
      </c>
      <c r="D951" s="234" t="s">
        <v>1120</v>
      </c>
      <c r="E951" s="249"/>
      <c r="F951" s="249">
        <v>2094</v>
      </c>
      <c r="G951" s="128"/>
    </row>
    <row r="952" spans="1:8">
      <c r="A952" s="170">
        <f>_xlfn.XLOOKUP(B952 &amp; "-" &amp; TEXT(C952,"00"),改定!N:N,改定!E:E)</f>
        <v>53319</v>
      </c>
      <c r="B952" s="119" t="s">
        <v>102</v>
      </c>
      <c r="C952" s="124">
        <v>1</v>
      </c>
      <c r="D952" s="234" t="s">
        <v>1113</v>
      </c>
      <c r="E952" s="249"/>
      <c r="F952" s="249">
        <v>3818</v>
      </c>
      <c r="G952" s="128"/>
    </row>
    <row r="953" spans="1:8">
      <c r="A953" s="170">
        <f>_xlfn.XLOOKUP(B953 &amp; "-" &amp; TEXT(C953,"00"),改定!N:N,改定!E:E)</f>
        <v>53346</v>
      </c>
      <c r="B953" s="119" t="s">
        <v>39</v>
      </c>
      <c r="C953" s="124">
        <v>2</v>
      </c>
      <c r="D953" s="234" t="s">
        <v>1087</v>
      </c>
      <c r="E953" s="249"/>
      <c r="F953" s="249">
        <v>1121</v>
      </c>
      <c r="G953" s="128"/>
    </row>
    <row r="954" spans="1:8">
      <c r="A954" s="170">
        <f>_xlfn.XLOOKUP(B954 &amp; "-" &amp; TEXT(C954,"00"),改定!N:N,改定!E:E)</f>
        <v>53559</v>
      </c>
      <c r="B954" s="119" t="s">
        <v>134</v>
      </c>
      <c r="C954" s="124">
        <v>0</v>
      </c>
      <c r="D954" s="234" t="s">
        <v>1088</v>
      </c>
      <c r="E954" s="249">
        <v>591</v>
      </c>
      <c r="F954" s="249">
        <v>591</v>
      </c>
      <c r="G954" s="128"/>
    </row>
    <row r="955" spans="1:8">
      <c r="A955" s="170">
        <f>_xlfn.XLOOKUP(B955 &amp; "-" &amp; TEXT(C955,"00"),改定!N:N,改定!E:E)</f>
        <v>53560</v>
      </c>
      <c r="B955" s="119" t="s">
        <v>177</v>
      </c>
      <c r="C955" s="124">
        <v>3</v>
      </c>
      <c r="D955" s="234" t="s">
        <v>1121</v>
      </c>
      <c r="E955" s="249">
        <v>36</v>
      </c>
      <c r="F955" s="249">
        <v>36</v>
      </c>
      <c r="G955" s="121" t="s">
        <v>1176</v>
      </c>
    </row>
    <row r="956" spans="1:8">
      <c r="A956" s="170">
        <f>_xlfn.XLOOKUP(B956 &amp; "-" &amp; TEXT(C956,"00"),改定!N:N,改定!E:E)</f>
        <v>53573</v>
      </c>
      <c r="B956" s="119" t="s">
        <v>184</v>
      </c>
      <c r="C956" s="124">
        <v>5</v>
      </c>
      <c r="D956" s="234" t="s">
        <v>1119</v>
      </c>
      <c r="E956" s="249">
        <v>712</v>
      </c>
      <c r="F956" s="249">
        <v>712</v>
      </c>
      <c r="G956" s="128"/>
    </row>
    <row r="957" spans="1:8">
      <c r="A957" s="170">
        <f>_xlfn.XLOOKUP(B957 &amp; "-" &amp; TEXT(C957,"00"),改定!N:N,改定!E:E)</f>
        <v>53587</v>
      </c>
      <c r="B957" s="119" t="s">
        <v>88</v>
      </c>
      <c r="C957" s="124">
        <v>3</v>
      </c>
      <c r="D957" s="234" t="s">
        <v>1086</v>
      </c>
      <c r="E957" s="249"/>
      <c r="F957" s="249">
        <v>8706</v>
      </c>
      <c r="G957" s="128"/>
    </row>
    <row r="958" spans="1:8">
      <c r="A958" s="170">
        <f>_xlfn.XLOOKUP(B958 &amp; "-" &amp; TEXT(C958,"00"),改定!N:N,改定!E:E)</f>
        <v>53624</v>
      </c>
      <c r="B958" s="119" t="s">
        <v>169</v>
      </c>
      <c r="C958" s="124">
        <v>3</v>
      </c>
      <c r="D958" s="234" t="s">
        <v>1122</v>
      </c>
    </row>
    <row r="959" spans="1:8">
      <c r="A959" s="170">
        <f>_xlfn.XLOOKUP(B959 &amp; "-" &amp; TEXT(C959,"00"),改定!N:N,改定!E:E)</f>
        <v>53624</v>
      </c>
      <c r="B959" s="119" t="s">
        <v>169</v>
      </c>
      <c r="C959" s="124">
        <v>3</v>
      </c>
      <c r="D959" s="234" t="s">
        <v>1072</v>
      </c>
      <c r="E959" s="249">
        <v>202</v>
      </c>
      <c r="F959" s="249">
        <v>202</v>
      </c>
      <c r="G959" s="128"/>
    </row>
    <row r="960" spans="1:8">
      <c r="A960" s="170">
        <f>_xlfn.XLOOKUP(B960 &amp; "-" &amp; TEXT(C960,"00"),改定!N:N,改定!E:E)</f>
        <v>53652</v>
      </c>
      <c r="B960" s="119" t="s">
        <v>88</v>
      </c>
      <c r="C960" s="124">
        <v>4</v>
      </c>
      <c r="D960" s="234" t="s">
        <v>1074</v>
      </c>
      <c r="E960" s="249"/>
      <c r="F960" s="249">
        <v>8682</v>
      </c>
      <c r="G960" s="128"/>
    </row>
    <row r="961" spans="1:7">
      <c r="A961" s="170">
        <f>_xlfn.XLOOKUP(B961 &amp; "-" &amp; TEXT(C961,"00"),改定!N:N,改定!E:E)</f>
        <v>53652</v>
      </c>
      <c r="B961" s="119" t="s">
        <v>102</v>
      </c>
      <c r="C961" s="124">
        <v>2</v>
      </c>
      <c r="D961" s="234" t="s">
        <v>1113</v>
      </c>
      <c r="E961" s="249"/>
      <c r="F961" s="249">
        <v>4079</v>
      </c>
      <c r="G961" s="128"/>
    </row>
    <row r="962" spans="1:7">
      <c r="A962" s="170">
        <f>_xlfn.XLOOKUP(B962 &amp; "-" &amp; TEXT(C962,"00"),改定!N:N,改定!E:E)</f>
        <v>53692</v>
      </c>
      <c r="B962" s="119" t="s">
        <v>226</v>
      </c>
      <c r="C962" s="124">
        <v>2</v>
      </c>
      <c r="D962" s="234" t="s">
        <v>1075</v>
      </c>
      <c r="E962" s="249"/>
      <c r="F962" s="249">
        <v>5521</v>
      </c>
      <c r="G962" s="128"/>
    </row>
    <row r="963" spans="1:7">
      <c r="A963" s="170">
        <f>_xlfn.XLOOKUP(B963 &amp; "-" &amp; TEXT(C963,"00"),改定!N:N,改定!E:E)</f>
        <v>53692</v>
      </c>
      <c r="B963" s="119" t="s">
        <v>226</v>
      </c>
      <c r="C963" s="124">
        <v>2</v>
      </c>
      <c r="D963" s="234" t="s">
        <v>1100</v>
      </c>
      <c r="E963" s="249"/>
      <c r="F963" s="249">
        <v>248</v>
      </c>
      <c r="G963" s="128"/>
    </row>
    <row r="964" spans="1:7">
      <c r="A964" s="170">
        <f>_xlfn.XLOOKUP(B964 &amp; "-" &amp; TEXT(C964,"00"),改定!N:N,改定!E:E)</f>
        <v>53722</v>
      </c>
      <c r="B964" s="119" t="s">
        <v>184</v>
      </c>
      <c r="C964" s="124">
        <v>6</v>
      </c>
      <c r="D964" s="234" t="s">
        <v>1110</v>
      </c>
      <c r="E964" s="249"/>
      <c r="F964" s="249">
        <v>812</v>
      </c>
      <c r="G964" s="128"/>
    </row>
    <row r="965" spans="1:7">
      <c r="A965" s="170">
        <f>_xlfn.XLOOKUP(B965 &amp; "-" &amp; TEXT(C965,"00"),改定!N:N,改定!E:E)</f>
        <v>53722</v>
      </c>
      <c r="B965" s="119" t="s">
        <v>192</v>
      </c>
      <c r="C965" s="124">
        <v>5</v>
      </c>
      <c r="D965" s="234" t="s">
        <v>1120</v>
      </c>
      <c r="E965" s="249"/>
      <c r="F965" s="249">
        <v>2111</v>
      </c>
      <c r="G965" s="128"/>
    </row>
    <row r="966" spans="1:7">
      <c r="A966" s="170">
        <f>_xlfn.XLOOKUP(B966 &amp; "-" &amp; TEXT(C966,"00"),改定!N:N,改定!E:E)</f>
        <v>53774</v>
      </c>
      <c r="B966" s="119" t="s">
        <v>134</v>
      </c>
      <c r="C966" s="124">
        <v>1</v>
      </c>
      <c r="D966" s="234" t="s">
        <v>1088</v>
      </c>
      <c r="E966" s="249">
        <v>591</v>
      </c>
      <c r="F966" s="249">
        <v>589</v>
      </c>
      <c r="G966" s="128"/>
    </row>
    <row r="967" spans="1:7">
      <c r="A967" s="170">
        <f>_xlfn.XLOOKUP(B967 &amp; "-" &amp; TEXT(C967,"00"),改定!N:N,改定!E:E)</f>
        <v>53787</v>
      </c>
      <c r="B967" s="119" t="s">
        <v>198</v>
      </c>
      <c r="C967" s="124">
        <v>2</v>
      </c>
      <c r="D967" s="234" t="s">
        <v>1123</v>
      </c>
    </row>
    <row r="968" spans="1:7">
      <c r="A968" s="170">
        <f>_xlfn.XLOOKUP(B968 &amp; "-" &amp; TEXT(C968,"00"),改定!N:N,改定!E:E)</f>
        <v>53787</v>
      </c>
      <c r="B968" s="119" t="s">
        <v>198</v>
      </c>
      <c r="C968" s="124">
        <v>2</v>
      </c>
      <c r="D968" s="234" t="s">
        <v>1124</v>
      </c>
    </row>
    <row r="969" spans="1:7">
      <c r="A969" s="170">
        <f>_xlfn.XLOOKUP(B969 &amp; "-" &amp; TEXT(C969,"00"),改定!N:N,改定!E:E)</f>
        <v>53811</v>
      </c>
      <c r="B969" s="119" t="s">
        <v>152</v>
      </c>
      <c r="C969" s="124">
        <v>0</v>
      </c>
      <c r="D969" s="234" t="s">
        <v>1118</v>
      </c>
      <c r="E969" s="249">
        <v>7154</v>
      </c>
      <c r="F969" s="249">
        <v>7154</v>
      </c>
      <c r="G969" s="128"/>
    </row>
    <row r="970" spans="1:7">
      <c r="A970" s="170">
        <f>_xlfn.XLOOKUP(B970 &amp; "-" &amp; TEXT(C970,"00"),改定!N:N,改定!E:E)</f>
        <v>53838</v>
      </c>
      <c r="B970" s="119" t="s">
        <v>39</v>
      </c>
      <c r="C970" s="124">
        <v>3</v>
      </c>
      <c r="D970" s="234" t="s">
        <v>1107</v>
      </c>
      <c r="E970" s="249">
        <v>1315</v>
      </c>
      <c r="F970" s="249">
        <v>1315</v>
      </c>
      <c r="G970" s="128"/>
    </row>
    <row r="971" spans="1:7">
      <c r="A971" s="170">
        <f>_xlfn.XLOOKUP(B971 &amp; "-" &amp; TEXT(C971,"00"),改定!N:N,改定!E:E)</f>
        <v>53853</v>
      </c>
      <c r="B971" s="119" t="s">
        <v>128</v>
      </c>
      <c r="C971" s="124">
        <v>5</v>
      </c>
      <c r="D971" s="234" t="s">
        <v>1125</v>
      </c>
    </row>
    <row r="972" spans="1:7">
      <c r="A972" s="170">
        <f>_xlfn.XLOOKUP(B972 &amp; "-" &amp; TEXT(C972,"00"),改定!N:N,改定!E:E)</f>
        <v>53853</v>
      </c>
      <c r="B972" s="119" t="s">
        <v>128</v>
      </c>
      <c r="C972" s="124">
        <v>5</v>
      </c>
      <c r="D972" s="234" t="s">
        <v>1126</v>
      </c>
    </row>
    <row r="973" spans="1:7">
      <c r="A973" s="170">
        <f>_xlfn.XLOOKUP(B973 &amp; "-" &amp; TEXT(C973,"00"),改定!N:N,改定!E:E)</f>
        <v>53853</v>
      </c>
      <c r="B973" s="119" t="s">
        <v>128</v>
      </c>
      <c r="C973" s="124">
        <v>5</v>
      </c>
      <c r="D973" s="234" t="s">
        <v>1127</v>
      </c>
    </row>
    <row r="974" spans="1:7">
      <c r="A974" s="170">
        <f>_xlfn.XLOOKUP(B974 &amp; "-" &amp; TEXT(C974,"00"),改定!N:N,改定!E:E)</f>
        <v>53853</v>
      </c>
      <c r="B974" s="119" t="s">
        <v>128</v>
      </c>
      <c r="C974" s="124">
        <v>5</v>
      </c>
      <c r="D974" s="234" t="s">
        <v>1128</v>
      </c>
    </row>
    <row r="975" spans="1:7">
      <c r="A975" s="170">
        <f>_xlfn.XLOOKUP(B975 &amp; "-" &amp; TEXT(C975,"00"),改定!N:N,改定!E:E)</f>
        <v>53855</v>
      </c>
      <c r="B975" s="119" t="s">
        <v>19</v>
      </c>
      <c r="C975" s="124">
        <v>9</v>
      </c>
      <c r="D975" s="237" t="s">
        <v>895</v>
      </c>
    </row>
    <row r="976" spans="1:7">
      <c r="A976" s="170">
        <f>_xlfn.XLOOKUP(B976 &amp; "-" &amp; TEXT(C976,"00"),改定!N:N,改定!E:E)</f>
        <v>53855</v>
      </c>
      <c r="B976" s="119" t="s">
        <v>19</v>
      </c>
      <c r="C976" s="124">
        <v>9</v>
      </c>
      <c r="D976" s="237" t="s">
        <v>870</v>
      </c>
      <c r="E976" s="249"/>
      <c r="F976" s="249"/>
      <c r="G976" s="128"/>
    </row>
    <row r="977" spans="1:7">
      <c r="A977" s="170">
        <f>_xlfn.XLOOKUP(B977 &amp; "-" &amp; TEXT(C977,"00"),改定!N:N,改定!E:E)</f>
        <v>53855</v>
      </c>
      <c r="B977" s="119" t="s">
        <v>19</v>
      </c>
      <c r="C977" s="124">
        <v>9</v>
      </c>
      <c r="D977" s="237" t="s">
        <v>831</v>
      </c>
      <c r="E977" s="249">
        <v>8522</v>
      </c>
      <c r="F977" s="249">
        <v>8522</v>
      </c>
      <c r="G977" s="128"/>
    </row>
    <row r="978" spans="1:7">
      <c r="A978" s="170">
        <f>_xlfn.XLOOKUP(B978 &amp; "-" &amp; TEXT(C978,"00"),改定!N:N,改定!E:E)</f>
        <v>53855</v>
      </c>
      <c r="B978" s="119" t="s">
        <v>19</v>
      </c>
      <c r="C978" s="124">
        <v>9</v>
      </c>
      <c r="D978" s="237" t="s">
        <v>887</v>
      </c>
      <c r="E978" s="249">
        <v>3404</v>
      </c>
      <c r="F978" s="249">
        <v>3404</v>
      </c>
      <c r="G978" s="128"/>
    </row>
    <row r="979" spans="1:7">
      <c r="A979" s="170">
        <f>_xlfn.XLOOKUP(B979 &amp; "-" &amp; TEXT(C979,"00"),改定!N:N,改定!E:E)</f>
        <v>53855</v>
      </c>
      <c r="B979" s="119" t="s">
        <v>19</v>
      </c>
      <c r="C979" s="124">
        <v>9</v>
      </c>
      <c r="D979" s="237" t="s">
        <v>832</v>
      </c>
      <c r="E979" s="249">
        <v>6805</v>
      </c>
      <c r="F979" s="249">
        <v>6805</v>
      </c>
      <c r="G979" s="128"/>
    </row>
    <row r="980" spans="1:7">
      <c r="A980" s="170">
        <f>_xlfn.XLOOKUP(B980 &amp; "-" &amp; TEXT(C980,"00"),改定!N:N,改定!E:E)</f>
        <v>53855</v>
      </c>
      <c r="B980" s="119" t="s">
        <v>19</v>
      </c>
      <c r="C980" s="124">
        <v>9</v>
      </c>
      <c r="D980" s="237" t="s">
        <v>810</v>
      </c>
      <c r="E980" s="249">
        <v>1883</v>
      </c>
      <c r="F980" s="249">
        <v>1883</v>
      </c>
      <c r="G980" s="128"/>
    </row>
    <row r="981" spans="1:7">
      <c r="A981" s="170">
        <f>_xlfn.XLOOKUP(B981 &amp; "-" &amp; TEXT(C981,"00"),改定!N:N,改定!E:E)</f>
        <v>53855</v>
      </c>
      <c r="B981" s="119" t="s">
        <v>19</v>
      </c>
      <c r="C981" s="124">
        <v>9</v>
      </c>
      <c r="D981" s="237" t="s">
        <v>860</v>
      </c>
      <c r="E981" s="249">
        <v>2847</v>
      </c>
      <c r="F981" s="249">
        <v>2847</v>
      </c>
      <c r="G981" s="128"/>
    </row>
    <row r="982" spans="1:7">
      <c r="A982" s="170">
        <f>_xlfn.XLOOKUP(B982 &amp; "-" &amp; TEXT(C982,"00"),改定!N:N,改定!E:E)</f>
        <v>53855</v>
      </c>
      <c r="B982" s="119" t="s">
        <v>19</v>
      </c>
      <c r="C982" s="124">
        <v>9</v>
      </c>
      <c r="D982" s="237" t="s">
        <v>861</v>
      </c>
      <c r="E982" s="249">
        <v>878</v>
      </c>
      <c r="F982" s="249">
        <v>878</v>
      </c>
      <c r="G982" s="128"/>
    </row>
    <row r="983" spans="1:7">
      <c r="A983" s="170">
        <f>_xlfn.XLOOKUP(B983 &amp; "-" &amp; TEXT(C983,"00"),改定!N:N,改定!E:E)</f>
        <v>53855</v>
      </c>
      <c r="B983" s="119" t="s">
        <v>19</v>
      </c>
      <c r="C983" s="124">
        <v>9</v>
      </c>
      <c r="D983" s="237" t="s">
        <v>27</v>
      </c>
      <c r="E983" s="249">
        <v>3854</v>
      </c>
      <c r="F983" s="249">
        <v>3854</v>
      </c>
      <c r="G983" s="128"/>
    </row>
    <row r="984" spans="1:7">
      <c r="A984" s="170">
        <f>_xlfn.XLOOKUP(B984 &amp; "-" &amp; TEXT(C984,"00"),改定!N:N,改定!E:E)</f>
        <v>53855</v>
      </c>
      <c r="B984" s="119" t="s">
        <v>19</v>
      </c>
      <c r="C984" s="124">
        <v>9</v>
      </c>
      <c r="D984" s="237" t="s">
        <v>835</v>
      </c>
      <c r="E984" s="249">
        <v>6982</v>
      </c>
      <c r="F984" s="249">
        <v>6983</v>
      </c>
      <c r="G984" s="128"/>
    </row>
    <row r="985" spans="1:7">
      <c r="A985" s="170">
        <f>_xlfn.XLOOKUP(B985 &amp; "-" &amp; TEXT(C985,"00"),改定!N:N,改定!E:E)</f>
        <v>53855</v>
      </c>
      <c r="B985" s="119" t="s">
        <v>19</v>
      </c>
      <c r="C985" s="124">
        <v>9</v>
      </c>
      <c r="D985" s="237" t="s">
        <v>856</v>
      </c>
      <c r="E985" s="249">
        <v>2149</v>
      </c>
      <c r="F985" s="249">
        <v>2149</v>
      </c>
      <c r="G985" s="128"/>
    </row>
    <row r="986" spans="1:7">
      <c r="A986" s="170">
        <f>_xlfn.XLOOKUP(B986 &amp; "-" &amp; TEXT(C986,"00"),改定!N:N,改定!E:E)</f>
        <v>53855</v>
      </c>
      <c r="B986" s="119" t="s">
        <v>19</v>
      </c>
      <c r="C986" s="124">
        <v>9</v>
      </c>
      <c r="D986" s="237" t="s">
        <v>892</v>
      </c>
    </row>
    <row r="987" spans="1:7">
      <c r="A987" s="170">
        <f>_xlfn.XLOOKUP(B987 &amp; "-" &amp; TEXT(C987,"00"),改定!N:N,改定!E:E)</f>
        <v>53855</v>
      </c>
      <c r="B987" s="119" t="s">
        <v>19</v>
      </c>
      <c r="C987" s="124">
        <v>9</v>
      </c>
      <c r="D987" s="237" t="s">
        <v>542</v>
      </c>
    </row>
    <row r="988" spans="1:7">
      <c r="A988" s="170">
        <f>_xlfn.XLOOKUP(B988 &amp; "-" &amp; TEXT(C988,"00"),改定!N:N,改定!E:E)</f>
        <v>53855</v>
      </c>
      <c r="B988" s="119" t="s">
        <v>19</v>
      </c>
      <c r="C988" s="124">
        <v>9</v>
      </c>
      <c r="D988" s="237" t="s">
        <v>992</v>
      </c>
    </row>
    <row r="989" spans="1:7">
      <c r="A989" s="170">
        <f>_xlfn.XLOOKUP(B989 &amp; "-" &amp; TEXT(C989,"00"),改定!N:N,改定!E:E)</f>
        <v>53855</v>
      </c>
      <c r="B989" s="119" t="s">
        <v>19</v>
      </c>
      <c r="C989" s="124">
        <v>9</v>
      </c>
      <c r="D989" s="237" t="s">
        <v>225</v>
      </c>
    </row>
    <row r="990" spans="1:7">
      <c r="A990" s="170">
        <f>_xlfn.XLOOKUP(B990 &amp; "-" &amp; TEXT(C990,"00"),改定!N:N,改定!E:E)</f>
        <v>53855</v>
      </c>
      <c r="B990" s="119" t="s">
        <v>21</v>
      </c>
      <c r="C990" s="124">
        <v>9</v>
      </c>
      <c r="D990" s="245" t="s">
        <v>510</v>
      </c>
      <c r="E990" s="249">
        <v>8902</v>
      </c>
      <c r="F990" s="249">
        <v>8902</v>
      </c>
      <c r="G990" s="128"/>
    </row>
    <row r="991" spans="1:7">
      <c r="A991" s="170">
        <f>_xlfn.XLOOKUP(B991 &amp; "-" &amp; TEXT(C991,"00"),改定!N:N,改定!E:E)</f>
        <v>53855</v>
      </c>
      <c r="B991" s="119" t="s">
        <v>21</v>
      </c>
      <c r="C991" s="124">
        <v>9</v>
      </c>
      <c r="D991" s="237" t="s">
        <v>946</v>
      </c>
    </row>
    <row r="992" spans="1:7">
      <c r="A992" s="170">
        <f>_xlfn.XLOOKUP(B992 &amp; "-" &amp; TEXT(C992,"00"),改定!N:N,改定!E:E)</f>
        <v>53855</v>
      </c>
      <c r="B992" s="119" t="s">
        <v>21</v>
      </c>
      <c r="C992" s="124">
        <v>9</v>
      </c>
      <c r="D992" s="237" t="s">
        <v>869</v>
      </c>
      <c r="E992" s="249">
        <v>4346</v>
      </c>
      <c r="F992" s="249">
        <v>4346</v>
      </c>
      <c r="G992" s="128"/>
    </row>
    <row r="993" spans="1:7">
      <c r="A993" s="170">
        <f>_xlfn.XLOOKUP(B993 &amp; "-" &amp; TEXT(C993,"00"),改定!N:N,改定!E:E)</f>
        <v>53855</v>
      </c>
      <c r="B993" s="119" t="s">
        <v>1019</v>
      </c>
      <c r="C993" s="124">
        <v>9</v>
      </c>
      <c r="D993" s="237" t="s">
        <v>202</v>
      </c>
      <c r="E993" s="249">
        <v>3322</v>
      </c>
      <c r="F993" s="249">
        <v>3322</v>
      </c>
      <c r="G993" s="128"/>
    </row>
    <row r="994" spans="1:7">
      <c r="A994" s="170">
        <f>_xlfn.XLOOKUP(B994 &amp; "-" &amp; TEXT(C994,"00"),改定!N:N,改定!E:E)</f>
        <v>53855</v>
      </c>
      <c r="B994" s="119" t="s">
        <v>1019</v>
      </c>
      <c r="C994" s="124">
        <v>9</v>
      </c>
      <c r="D994" s="237" t="s">
        <v>947</v>
      </c>
      <c r="E994" s="249">
        <v>79</v>
      </c>
      <c r="F994" s="249">
        <v>79</v>
      </c>
      <c r="G994" s="128"/>
    </row>
    <row r="995" spans="1:7">
      <c r="A995" s="170">
        <f>_xlfn.XLOOKUP(B995 &amp; "-" &amp; TEXT(C995,"00"),改定!N:N,改定!E:E)</f>
        <v>53855</v>
      </c>
      <c r="B995" s="119" t="s">
        <v>1019</v>
      </c>
      <c r="C995" s="124">
        <v>9</v>
      </c>
      <c r="D995" s="237" t="s">
        <v>835</v>
      </c>
    </row>
    <row r="996" spans="1:7">
      <c r="A996" s="170">
        <f>_xlfn.XLOOKUP(B996 &amp; "-" &amp; TEXT(C996,"00"),改定!N:N,改定!E:E)</f>
        <v>53855</v>
      </c>
      <c r="B996" s="119" t="s">
        <v>1019</v>
      </c>
      <c r="C996" s="124">
        <v>9</v>
      </c>
      <c r="D996" s="237" t="s">
        <v>998</v>
      </c>
    </row>
    <row r="997" spans="1:7">
      <c r="A997" s="170">
        <f>_xlfn.XLOOKUP(B997 &amp; "-" &amp; TEXT(C997,"00"),改定!N:N,改定!E:E)</f>
        <v>53855</v>
      </c>
      <c r="B997" s="119" t="s">
        <v>1019</v>
      </c>
      <c r="C997" s="124">
        <v>9</v>
      </c>
      <c r="D997" s="237" t="s">
        <v>892</v>
      </c>
    </row>
    <row r="998" spans="1:7">
      <c r="A998" s="170">
        <f>_xlfn.XLOOKUP(B998 &amp; "-" &amp; TEXT(C998,"00"),改定!N:N,改定!E:E)</f>
        <v>53855</v>
      </c>
      <c r="B998" s="119" t="s">
        <v>1019</v>
      </c>
      <c r="C998" s="124">
        <v>9</v>
      </c>
      <c r="D998" s="237" t="s">
        <v>215</v>
      </c>
      <c r="E998" s="249">
        <v>3142</v>
      </c>
      <c r="F998" s="249">
        <v>3142</v>
      </c>
      <c r="G998" s="128"/>
    </row>
    <row r="999" spans="1:7">
      <c r="A999" s="170">
        <f>_xlfn.XLOOKUP(B999 &amp; "-" &amp; TEXT(C999,"00"),改定!N:N,改定!E:E)</f>
        <v>53855</v>
      </c>
      <c r="B999" s="119" t="s">
        <v>1019</v>
      </c>
      <c r="C999" s="124">
        <v>9</v>
      </c>
      <c r="D999" s="237" t="s">
        <v>866</v>
      </c>
      <c r="E999" s="249">
        <v>4631</v>
      </c>
      <c r="F999" s="249">
        <v>4631</v>
      </c>
      <c r="G999" s="128"/>
    </row>
    <row r="1000" spans="1:7">
      <c r="A1000" s="170">
        <f>_xlfn.XLOOKUP(B1000 &amp; "-" &amp; TEXT(C1000,"00"),改定!N:N,改定!E:E)</f>
        <v>53855</v>
      </c>
      <c r="B1000" s="119" t="s">
        <v>1019</v>
      </c>
      <c r="C1000" s="124">
        <v>9</v>
      </c>
      <c r="D1000" s="237" t="s">
        <v>894</v>
      </c>
      <c r="E1000" s="249">
        <v>5029</v>
      </c>
      <c r="F1000" s="249">
        <v>5029</v>
      </c>
      <c r="G1000" s="128"/>
    </row>
    <row r="1001" spans="1:7">
      <c r="A1001" s="170">
        <f>_xlfn.XLOOKUP(B1001 &amp; "-" &amp; TEXT(C1001,"00"),改定!N:N,改定!E:E)</f>
        <v>53855</v>
      </c>
      <c r="B1001" s="119" t="s">
        <v>1019</v>
      </c>
      <c r="C1001" s="124">
        <v>9</v>
      </c>
      <c r="D1001" s="237" t="s">
        <v>1094</v>
      </c>
      <c r="E1001" s="249">
        <v>5623</v>
      </c>
      <c r="F1001" s="249">
        <v>5623</v>
      </c>
      <c r="G1001" s="128"/>
    </row>
    <row r="1002" spans="1:7">
      <c r="A1002" s="170">
        <f>_xlfn.XLOOKUP(B1002 &amp; "-" &amp; TEXT(C1002,"00"),改定!N:N,改定!E:E)</f>
        <v>53855</v>
      </c>
      <c r="B1002" s="119" t="s">
        <v>1019</v>
      </c>
      <c r="C1002" s="124">
        <v>9</v>
      </c>
      <c r="D1002" s="237" t="s">
        <v>873</v>
      </c>
      <c r="E1002" s="249">
        <v>255</v>
      </c>
      <c r="F1002" s="249">
        <v>255</v>
      </c>
      <c r="G1002" s="128"/>
    </row>
    <row r="1003" spans="1:7">
      <c r="A1003" s="170">
        <f>_xlfn.XLOOKUP(B1003 &amp; "-" &amp; TEXT(C1003,"00"),改定!N:N,改定!E:E)</f>
        <v>53855</v>
      </c>
      <c r="B1003" s="119" t="s">
        <v>1019</v>
      </c>
      <c r="C1003" s="124">
        <v>9</v>
      </c>
      <c r="D1003" s="237" t="s">
        <v>901</v>
      </c>
      <c r="E1003" s="249">
        <v>182</v>
      </c>
      <c r="F1003" s="249">
        <v>182</v>
      </c>
      <c r="G1003" s="128"/>
    </row>
    <row r="1004" spans="1:7">
      <c r="A1004" s="170">
        <f>_xlfn.XLOOKUP(B1004 &amp; "-" &amp; TEXT(C1004,"00"),改定!N:N,改定!E:E)</f>
        <v>53855</v>
      </c>
      <c r="B1004" s="119" t="s">
        <v>1019</v>
      </c>
      <c r="C1004" s="124">
        <v>9</v>
      </c>
      <c r="D1004" s="237" t="s">
        <v>875</v>
      </c>
      <c r="E1004" s="249">
        <v>52</v>
      </c>
      <c r="F1004" s="249">
        <v>52</v>
      </c>
      <c r="G1004" s="128"/>
    </row>
    <row r="1005" spans="1:7">
      <c r="A1005" s="170">
        <f>_xlfn.XLOOKUP(B1005 &amp; "-" &amp; TEXT(C1005,"00"),改定!N:N,改定!E:E)</f>
        <v>53907</v>
      </c>
      <c r="B1005" s="119" t="s">
        <v>216</v>
      </c>
      <c r="C1005" s="124">
        <v>4</v>
      </c>
      <c r="D1005" s="234" t="s">
        <v>1129</v>
      </c>
      <c r="E1005" s="249"/>
      <c r="F1005" s="249">
        <v>2869</v>
      </c>
      <c r="G1005" s="128"/>
    </row>
    <row r="1006" spans="1:7">
      <c r="A1006" s="170">
        <f>_xlfn.XLOOKUP(B1006 &amp; "-" &amp; TEXT(C1006,"00"),改定!N:N,改定!E:E)</f>
        <v>54017</v>
      </c>
      <c r="B1006" s="119" t="s">
        <v>75</v>
      </c>
      <c r="C1006" s="124">
        <v>5</v>
      </c>
      <c r="D1006" s="234" t="s">
        <v>1083</v>
      </c>
      <c r="E1006" s="249">
        <v>1754</v>
      </c>
      <c r="F1006" s="249">
        <v>1754</v>
      </c>
      <c r="G1006" s="128"/>
    </row>
    <row r="1007" spans="1:7">
      <c r="A1007" s="170">
        <f>_xlfn.XLOOKUP(B1007 &amp; "-" &amp; TEXT(C1007,"00"),改定!N:N,改定!E:E)</f>
        <v>54017</v>
      </c>
      <c r="B1007" s="119" t="s">
        <v>75</v>
      </c>
      <c r="C1007" s="124">
        <v>5</v>
      </c>
      <c r="D1007" s="234" t="s">
        <v>1130</v>
      </c>
    </row>
    <row r="1008" spans="1:7">
      <c r="A1008" s="170">
        <f>_xlfn.XLOOKUP(B1008 &amp; "-" &amp; TEXT(C1008,"00"),改定!N:N,改定!E:E)</f>
        <v>54017</v>
      </c>
      <c r="B1008" s="119" t="s">
        <v>102</v>
      </c>
      <c r="C1008" s="124">
        <v>3</v>
      </c>
      <c r="D1008" s="234" t="s">
        <v>1131</v>
      </c>
      <c r="E1008" s="249">
        <v>4622</v>
      </c>
      <c r="F1008" s="249">
        <v>4620</v>
      </c>
      <c r="G1008" s="128"/>
    </row>
    <row r="1009" spans="1:7">
      <c r="A1009" s="170">
        <f>_xlfn.XLOOKUP(B1009 &amp; "-" &amp; TEXT(C1009,"00"),改定!N:N,改定!E:E)</f>
        <v>54076</v>
      </c>
      <c r="B1009" s="119" t="s">
        <v>177</v>
      </c>
      <c r="C1009" s="124">
        <v>4</v>
      </c>
      <c r="D1009" s="234" t="s">
        <v>1121</v>
      </c>
      <c r="E1009" s="249">
        <v>40</v>
      </c>
      <c r="F1009" s="249">
        <v>34</v>
      </c>
      <c r="G1009" s="128"/>
    </row>
    <row r="1010" spans="1:7">
      <c r="A1010" s="170">
        <f>_xlfn.XLOOKUP(B1010 &amp; "-" &amp; TEXT(C1010,"00"),改定!N:N,改定!E:E)</f>
        <v>54603</v>
      </c>
      <c r="B1010" s="119" t="s">
        <v>177</v>
      </c>
      <c r="C1010" s="124">
        <v>6</v>
      </c>
      <c r="D1010" s="234" t="s">
        <v>1121</v>
      </c>
      <c r="E1010" s="249">
        <v>40</v>
      </c>
      <c r="F1010" s="249">
        <v>34</v>
      </c>
      <c r="G1010" s="128"/>
    </row>
    <row r="1011" spans="1:7">
      <c r="A1011" s="170">
        <f>_xlfn.XLOOKUP(B1011 &amp; "-" &amp; TEXT(C1011,"00"),改定!N:N,改定!E:E)</f>
        <v>54251</v>
      </c>
      <c r="B1011" s="119" t="s">
        <v>134</v>
      </c>
      <c r="C1011" s="124">
        <v>2</v>
      </c>
      <c r="D1011" s="234" t="s">
        <v>1088</v>
      </c>
      <c r="E1011" s="249">
        <v>760</v>
      </c>
      <c r="F1011" s="249">
        <v>760</v>
      </c>
      <c r="G1011" s="128"/>
    </row>
    <row r="1012" spans="1:7">
      <c r="A1012" s="170">
        <f>_xlfn.XLOOKUP(B1012 &amp; "-" &amp; TEXT(C1012,"00"),改定!N:N,改定!E:E)</f>
        <v>54269</v>
      </c>
      <c r="B1012" s="119" t="s">
        <v>198</v>
      </c>
      <c r="C1012" s="124">
        <v>3</v>
      </c>
      <c r="D1012" s="234" t="s">
        <v>1123</v>
      </c>
      <c r="E1012" s="249">
        <v>8</v>
      </c>
      <c r="F1012" s="249"/>
      <c r="G1012" s="128"/>
    </row>
    <row r="1013" spans="1:7">
      <c r="A1013" s="170">
        <f>_xlfn.XLOOKUP(B1013 &amp; "-" &amp; TEXT(C1013,"00"),改定!N:N,改定!E:E)</f>
        <v>54269</v>
      </c>
      <c r="B1013" s="119" t="s">
        <v>198</v>
      </c>
      <c r="C1013" s="124">
        <v>3</v>
      </c>
      <c r="D1013" s="234" t="s">
        <v>1124</v>
      </c>
      <c r="E1013" s="249">
        <v>7</v>
      </c>
      <c r="F1013" s="249"/>
      <c r="G1013" s="128"/>
    </row>
    <row r="1014" spans="1:7">
      <c r="A1014" s="170">
        <f>_xlfn.XLOOKUP(B1014 &amp; "-" &amp; TEXT(C1014,"00"),改定!N:N,改定!E:E)</f>
        <v>54287</v>
      </c>
      <c r="B1014" s="119" t="s">
        <v>226</v>
      </c>
      <c r="C1014" s="124">
        <v>3</v>
      </c>
      <c r="D1014" s="234" t="s">
        <v>1092</v>
      </c>
    </row>
    <row r="1015" spans="1:7">
      <c r="A1015" s="170">
        <f>_xlfn.XLOOKUP(B1015 &amp; "-" &amp; TEXT(C1015,"00"),改定!N:N,改定!E:E)</f>
        <v>54287</v>
      </c>
      <c r="B1015" s="119" t="s">
        <v>226</v>
      </c>
      <c r="C1015" s="124">
        <v>3</v>
      </c>
      <c r="D1015" s="234" t="s">
        <v>1075</v>
      </c>
    </row>
    <row r="1016" spans="1:7">
      <c r="A1016" s="170">
        <f>_xlfn.XLOOKUP(B1016 &amp; "-" &amp; TEXT(C1016,"00"),改定!N:N,改定!E:E)</f>
        <v>54324</v>
      </c>
      <c r="B1016" s="119" t="s">
        <v>198</v>
      </c>
      <c r="C1016" s="124">
        <v>4</v>
      </c>
      <c r="D1016" s="234" t="s">
        <v>1123</v>
      </c>
      <c r="E1016" s="249">
        <v>8</v>
      </c>
      <c r="F1016" s="249">
        <v>8</v>
      </c>
      <c r="G1016" s="128"/>
    </row>
    <row r="1017" spans="1:7">
      <c r="A1017" s="170">
        <f>_xlfn.XLOOKUP(B1017 &amp; "-" &amp; TEXT(C1017,"00"),改定!N:N,改定!E:E)</f>
        <v>54324</v>
      </c>
      <c r="B1017" s="119" t="s">
        <v>198</v>
      </c>
      <c r="C1017" s="124">
        <v>4</v>
      </c>
      <c r="D1017" s="234" t="s">
        <v>1124</v>
      </c>
      <c r="E1017" s="249">
        <v>7</v>
      </c>
      <c r="F1017" s="249">
        <v>7</v>
      </c>
      <c r="G1017" s="128"/>
    </row>
    <row r="1018" spans="1:7">
      <c r="A1018" s="170">
        <f>_xlfn.XLOOKUP(B1018 &amp; "-" &amp; TEXT(C1018,"00"),改定!N:N,改定!E:E)</f>
        <v>54332</v>
      </c>
      <c r="B1018" s="119" t="s">
        <v>233</v>
      </c>
      <c r="C1018" s="124">
        <v>0</v>
      </c>
      <c r="D1018" s="234" t="s">
        <v>1132</v>
      </c>
    </row>
    <row r="1019" spans="1:7">
      <c r="A1019" s="170">
        <f>_xlfn.XLOOKUP(B1019 &amp; "-" &amp; TEXT(C1019,"00"),改定!N:N,改定!E:E)</f>
        <v>54353</v>
      </c>
      <c r="B1019" s="119" t="s">
        <v>134</v>
      </c>
      <c r="C1019" s="124">
        <v>3</v>
      </c>
      <c r="D1019" s="234" t="s">
        <v>1088</v>
      </c>
      <c r="E1019" s="249">
        <v>760</v>
      </c>
      <c r="F1019" s="249">
        <v>760</v>
      </c>
      <c r="G1019" s="128"/>
    </row>
    <row r="1020" spans="1:7">
      <c r="A1020" s="170">
        <f>_xlfn.XLOOKUP(B1020 &amp; "-" &amp; TEXT(C1020,"00"),改定!N:N,改定!E:E)</f>
        <v>54378</v>
      </c>
      <c r="B1020" s="119" t="s">
        <v>163</v>
      </c>
      <c r="C1020" s="124">
        <v>4</v>
      </c>
      <c r="D1020" s="234" t="s">
        <v>1072</v>
      </c>
    </row>
    <row r="1021" spans="1:7">
      <c r="A1021" s="170">
        <f>_xlfn.XLOOKUP(B1021 &amp; "-" &amp; TEXT(C1021,"00"),改定!N:N,改定!E:E)</f>
        <v>54378</v>
      </c>
      <c r="B1021" s="119" t="s">
        <v>163</v>
      </c>
      <c r="C1021" s="124">
        <v>4</v>
      </c>
      <c r="D1021" s="234" t="s">
        <v>1133</v>
      </c>
      <c r="E1021" s="249">
        <v>690</v>
      </c>
      <c r="F1021" s="249">
        <v>690</v>
      </c>
      <c r="G1021" s="128"/>
    </row>
    <row r="1022" spans="1:7">
      <c r="A1022" s="170">
        <f>_xlfn.XLOOKUP(B1022 &amp; "-" &amp; TEXT(C1022,"00"),改定!N:N,改定!E:E)</f>
        <v>54464</v>
      </c>
      <c r="B1022" s="119" t="s">
        <v>34</v>
      </c>
      <c r="C1022" s="124">
        <v>3</v>
      </c>
      <c r="D1022" s="234" t="s">
        <v>1134</v>
      </c>
      <c r="E1022" s="249">
        <v>3908</v>
      </c>
      <c r="F1022" s="249">
        <v>3908</v>
      </c>
      <c r="G1022" s="128"/>
    </row>
    <row r="1023" spans="1:7">
      <c r="A1023" s="170">
        <f>_xlfn.XLOOKUP(B1023 &amp; "-" &amp; TEXT(C1023,"00"),改定!N:N,改定!E:E)</f>
        <v>54464</v>
      </c>
      <c r="B1023" s="119" t="s">
        <v>88</v>
      </c>
      <c r="C1023" s="124">
        <v>5</v>
      </c>
      <c r="D1023" s="234" t="s">
        <v>1074</v>
      </c>
      <c r="E1023" s="249">
        <v>9388</v>
      </c>
      <c r="F1023" s="249">
        <v>9388</v>
      </c>
      <c r="G1023" s="128"/>
    </row>
    <row r="1024" spans="1:7">
      <c r="A1024" s="170">
        <f>_xlfn.XLOOKUP(B1024 &amp; "-" &amp; TEXT(C1024,"00"),改定!N:N,改定!E:E)</f>
        <v>54464</v>
      </c>
      <c r="B1024" s="119" t="s">
        <v>102</v>
      </c>
      <c r="C1024" s="124">
        <v>4</v>
      </c>
      <c r="D1024" s="234" t="s">
        <v>1113</v>
      </c>
      <c r="E1024" s="249">
        <v>5254</v>
      </c>
      <c r="F1024" s="249">
        <v>5254</v>
      </c>
      <c r="G1024" s="128"/>
    </row>
    <row r="1025" spans="1:8">
      <c r="A1025" s="170">
        <f>_xlfn.XLOOKUP(B1025 &amp; "-" &amp; TEXT(C1025,"00"),改定!N:N,改定!E:E)</f>
        <v>54464</v>
      </c>
      <c r="B1025" s="119" t="s">
        <v>133</v>
      </c>
      <c r="C1025" s="124">
        <v>8</v>
      </c>
      <c r="D1025" s="234" t="s">
        <v>1077</v>
      </c>
      <c r="E1025" s="249">
        <v>316</v>
      </c>
      <c r="F1025" s="249">
        <v>316</v>
      </c>
      <c r="G1025" s="128"/>
    </row>
    <row r="1026" spans="1:8">
      <c r="A1026" s="170">
        <f>_xlfn.XLOOKUP(B1026 &amp; "-" &amp; TEXT(C1026,"00"),改定!N:N,改定!E:E)</f>
        <v>54464</v>
      </c>
      <c r="B1026" s="119" t="s">
        <v>134</v>
      </c>
      <c r="C1026" s="124">
        <v>4</v>
      </c>
      <c r="D1026" s="234" t="s">
        <v>1088</v>
      </c>
      <c r="E1026" s="249">
        <v>1129</v>
      </c>
      <c r="F1026" s="249">
        <v>1129</v>
      </c>
      <c r="G1026" s="128"/>
    </row>
    <row r="1027" spans="1:8">
      <c r="A1027" s="170">
        <f>_xlfn.XLOOKUP(B1027 &amp; "-" &amp; TEXT(C1027,"00"),改定!N:N,改定!E:E)</f>
        <v>54464</v>
      </c>
      <c r="B1027" s="119" t="s">
        <v>140</v>
      </c>
      <c r="C1027" s="124">
        <v>7</v>
      </c>
      <c r="D1027" s="234" t="s">
        <v>1115</v>
      </c>
      <c r="E1027" s="249">
        <v>1911</v>
      </c>
      <c r="F1027" s="249">
        <v>1911</v>
      </c>
      <c r="G1027" s="128"/>
    </row>
    <row r="1028" spans="1:8">
      <c r="A1028" s="170">
        <f>_xlfn.XLOOKUP(B1028 &amp; "-" &amp; TEXT(C1028,"00"),改定!N:N,改定!E:E)</f>
        <v>54464</v>
      </c>
      <c r="B1028" s="119" t="s">
        <v>140</v>
      </c>
      <c r="C1028" s="124">
        <v>7</v>
      </c>
      <c r="D1028" s="234" t="s">
        <v>1116</v>
      </c>
      <c r="E1028" s="249">
        <v>9383</v>
      </c>
      <c r="F1028" s="249">
        <v>9383</v>
      </c>
      <c r="G1028" s="128"/>
    </row>
    <row r="1029" spans="1:8">
      <c r="A1029" s="170">
        <f>_xlfn.XLOOKUP(B1029 &amp; "-" &amp; TEXT(C1029,"00"),改定!N:N,改定!E:E)</f>
        <v>54464</v>
      </c>
      <c r="B1029" s="119" t="s">
        <v>140</v>
      </c>
      <c r="C1029" s="124">
        <v>7</v>
      </c>
      <c r="D1029" s="234" t="s">
        <v>1135</v>
      </c>
      <c r="E1029" s="249">
        <v>7558</v>
      </c>
      <c r="F1029" s="249">
        <v>7558</v>
      </c>
      <c r="G1029" s="128"/>
    </row>
    <row r="1030" spans="1:8">
      <c r="A1030" s="170">
        <f>_xlfn.XLOOKUP(B1030 &amp; "-" &amp; TEXT(C1030,"00"),改定!N:N,改定!E:E)</f>
        <v>54464</v>
      </c>
      <c r="B1030" s="119" t="s">
        <v>152</v>
      </c>
      <c r="C1030" s="124">
        <v>1</v>
      </c>
      <c r="D1030" s="234" t="s">
        <v>1118</v>
      </c>
      <c r="E1030" s="249">
        <v>7620</v>
      </c>
      <c r="F1030" s="249">
        <v>7620</v>
      </c>
      <c r="G1030" s="128"/>
      <c r="H1030" s="150"/>
    </row>
    <row r="1031" spans="1:8">
      <c r="A1031" s="170">
        <f>_xlfn.XLOOKUP(B1031 &amp; "-" &amp; TEXT(C1031,"00"),改定!N:N,改定!E:E)</f>
        <v>54464</v>
      </c>
      <c r="B1031" s="119" t="s">
        <v>184</v>
      </c>
      <c r="C1031" s="124">
        <v>7</v>
      </c>
      <c r="D1031" s="234" t="s">
        <v>1110</v>
      </c>
      <c r="E1031" s="249">
        <v>1374</v>
      </c>
      <c r="F1031" s="249">
        <v>1374</v>
      </c>
      <c r="G1031" s="128"/>
    </row>
    <row r="1032" spans="1:8">
      <c r="A1032" s="170">
        <f>_xlfn.XLOOKUP(B1032 &amp; "-" &amp; TEXT(C1032,"00"),改定!N:N,改定!E:E)</f>
        <v>54536</v>
      </c>
      <c r="B1032" s="119" t="s">
        <v>39</v>
      </c>
      <c r="C1032" s="124">
        <v>4</v>
      </c>
      <c r="D1032" s="234" t="s">
        <v>1136</v>
      </c>
      <c r="E1032" s="249">
        <v>1581</v>
      </c>
      <c r="F1032" s="249">
        <v>1581</v>
      </c>
      <c r="G1032" s="128"/>
    </row>
    <row r="1033" spans="1:8">
      <c r="A1033" s="170">
        <f>_xlfn.XLOOKUP(B1033 &amp; "-" &amp; TEXT(C1033,"00"),改定!N:N,改定!E:E)</f>
        <v>54603</v>
      </c>
      <c r="B1033" s="119" t="s">
        <v>177</v>
      </c>
      <c r="C1033" s="124">
        <v>6</v>
      </c>
      <c r="D1033" s="234" t="s">
        <v>1137</v>
      </c>
      <c r="E1033" s="249">
        <v>81</v>
      </c>
      <c r="F1033" s="249">
        <v>81</v>
      </c>
      <c r="G1033" s="128"/>
    </row>
    <row r="1034" spans="1:8">
      <c r="A1034" s="170">
        <f>_xlfn.XLOOKUP(B1034 &amp; "-" &amp; TEXT(C1034,"00"),改定!N:N,改定!E:E)</f>
        <v>54648</v>
      </c>
      <c r="B1034" s="119" t="s">
        <v>198</v>
      </c>
      <c r="C1034" s="124">
        <v>6</v>
      </c>
      <c r="D1034" s="234" t="s">
        <v>1138</v>
      </c>
      <c r="E1034" s="249">
        <v>132</v>
      </c>
      <c r="F1034" s="249">
        <v>132</v>
      </c>
      <c r="G1034" s="128"/>
    </row>
    <row r="1035" spans="1:8">
      <c r="A1035" s="170">
        <f>_xlfn.XLOOKUP(B1035 &amp; "-" &amp; TEXT(C1035,"00"),改定!N:N,改定!E:E)</f>
        <v>54648</v>
      </c>
      <c r="B1035" s="119" t="s">
        <v>198</v>
      </c>
      <c r="C1035" s="124">
        <v>6</v>
      </c>
      <c r="D1035" s="234" t="s">
        <v>1139</v>
      </c>
      <c r="E1035" s="249">
        <v>8</v>
      </c>
      <c r="F1035" s="249">
        <v>8</v>
      </c>
      <c r="G1035" s="128"/>
    </row>
    <row r="1036" spans="1:8">
      <c r="A1036" s="170">
        <f>_xlfn.XLOOKUP(B1036 &amp; "-" &amp; TEXT(C1036,"00"),改定!N:N,改定!E:E)</f>
        <v>54721</v>
      </c>
      <c r="B1036" s="119" t="s">
        <v>198</v>
      </c>
      <c r="C1036" s="124">
        <v>8</v>
      </c>
      <c r="D1036" s="234" t="s">
        <v>1138</v>
      </c>
      <c r="E1036" s="249">
        <v>153</v>
      </c>
      <c r="F1036" s="249">
        <v>75</v>
      </c>
      <c r="G1036" s="128"/>
    </row>
    <row r="1037" spans="1:8">
      <c r="A1037" s="170">
        <f>_xlfn.XLOOKUP(B1037 &amp; "-" &amp; TEXT(C1037,"00"),改定!N:N,改定!E:E)</f>
        <v>54721</v>
      </c>
      <c r="B1037" s="119" t="s">
        <v>198</v>
      </c>
      <c r="C1037" s="124">
        <v>8</v>
      </c>
      <c r="D1037" s="234" t="s">
        <v>1139</v>
      </c>
      <c r="E1037" s="249">
        <v>8</v>
      </c>
      <c r="F1037" s="249"/>
      <c r="G1037" s="128"/>
    </row>
    <row r="1038" spans="1:8">
      <c r="A1038" s="170">
        <f>_xlfn.XLOOKUP(B1038 &amp; "-" &amp; TEXT(C1038,"00"),改定!N:N,改定!E:E)</f>
        <v>54790</v>
      </c>
      <c r="B1038" s="119" t="s">
        <v>39</v>
      </c>
      <c r="C1038" s="124">
        <v>5</v>
      </c>
      <c r="D1038" s="234" t="s">
        <v>1136</v>
      </c>
      <c r="E1038" s="249">
        <v>1890</v>
      </c>
      <c r="F1038" s="249">
        <v>1890</v>
      </c>
      <c r="G1038" s="128"/>
    </row>
    <row r="1039" spans="1:8">
      <c r="A1039" s="170">
        <f>_xlfn.XLOOKUP(B1039 &amp; "-" &amp; TEXT(C1039,"00"),改定!N:N,改定!E:E)</f>
        <v>54790</v>
      </c>
      <c r="B1039" s="119" t="s">
        <v>155</v>
      </c>
      <c r="C1039" s="124">
        <v>8</v>
      </c>
      <c r="D1039" s="234" t="s">
        <v>1140</v>
      </c>
      <c r="E1039" s="249">
        <v>3571</v>
      </c>
      <c r="F1039" s="249">
        <v>3571</v>
      </c>
      <c r="G1039" s="128"/>
    </row>
    <row r="1040" spans="1:8">
      <c r="A1040" s="170">
        <f>_xlfn.XLOOKUP(B1040 &amp; "-" &amp; TEXT(C1040,"00"),改定!N:N,改定!E:E)</f>
        <v>54790</v>
      </c>
      <c r="B1040" s="119" t="s">
        <v>155</v>
      </c>
      <c r="C1040" s="124">
        <v>8</v>
      </c>
      <c r="D1040" s="234" t="s">
        <v>1141</v>
      </c>
      <c r="E1040" s="249">
        <v>4297</v>
      </c>
      <c r="F1040" s="249">
        <v>4297</v>
      </c>
      <c r="G1040" s="128"/>
    </row>
    <row r="1041" spans="1:7">
      <c r="A1041" s="170">
        <f>_xlfn.XLOOKUP(B1041 &amp; "-" &amp; TEXT(C1041,"00"),改定!N:N,改定!E:E)</f>
        <v>54790</v>
      </c>
      <c r="B1041" s="119" t="s">
        <v>192</v>
      </c>
      <c r="C1041" s="124">
        <v>6</v>
      </c>
      <c r="D1041" s="234" t="s">
        <v>1142</v>
      </c>
      <c r="E1041" s="249">
        <v>2423</v>
      </c>
      <c r="F1041" s="249">
        <v>2423</v>
      </c>
      <c r="G1041" s="128"/>
    </row>
    <row r="1042" spans="1:7">
      <c r="A1042" s="170">
        <f>_xlfn.XLOOKUP(B1042 &amp; "-" &amp; TEXT(C1042,"00"),改定!N:N,改定!E:E)</f>
        <v>54790</v>
      </c>
      <c r="B1042" s="119" t="s">
        <v>204</v>
      </c>
      <c r="C1042" s="124">
        <v>4</v>
      </c>
      <c r="D1042" s="234" t="s">
        <v>1143</v>
      </c>
    </row>
    <row r="1043" spans="1:7">
      <c r="A1043" s="170">
        <f>_xlfn.XLOOKUP(B1043 &amp; "-" &amp; TEXT(C1043,"00"),改定!N:N,改定!E:E)</f>
        <v>54790</v>
      </c>
      <c r="B1043" s="119" t="s">
        <v>204</v>
      </c>
      <c r="C1043" s="124">
        <v>4</v>
      </c>
      <c r="D1043" s="234" t="s">
        <v>1144</v>
      </c>
    </row>
    <row r="1044" spans="1:7">
      <c r="A1044" s="170">
        <f>_xlfn.XLOOKUP(B1044 &amp; "-" &amp; TEXT(C1044,"00"),改定!N:N,改定!E:E)</f>
        <v>54790</v>
      </c>
      <c r="B1044" s="119" t="s">
        <v>216</v>
      </c>
      <c r="C1044" s="124">
        <v>5</v>
      </c>
      <c r="D1044" s="234" t="s">
        <v>1145</v>
      </c>
    </row>
    <row r="1045" spans="1:7">
      <c r="A1045" s="170">
        <f>_xlfn.XLOOKUP(B1045 &amp; "-" &amp; TEXT(C1045,"00"),改定!N:N,改定!E:E)</f>
        <v>54790</v>
      </c>
      <c r="B1045" s="119" t="s">
        <v>221</v>
      </c>
      <c r="C1045" s="124">
        <v>4</v>
      </c>
      <c r="D1045" s="234" t="s">
        <v>1146</v>
      </c>
    </row>
    <row r="1046" spans="1:7">
      <c r="A1046" s="170">
        <f>_xlfn.XLOOKUP(B1046 &amp; "-" &amp; TEXT(C1046,"00"),改定!N:N,改定!E:E)</f>
        <v>54790</v>
      </c>
      <c r="B1046" s="119" t="s">
        <v>221</v>
      </c>
      <c r="C1046" s="124">
        <v>4</v>
      </c>
      <c r="D1046" s="234" t="s">
        <v>1147</v>
      </c>
    </row>
    <row r="1047" spans="1:7">
      <c r="A1047" s="170">
        <f>_xlfn.XLOOKUP(B1047 &amp; "-" &amp; TEXT(C1047,"00"),改定!N:N,改定!E:E)</f>
        <v>54790</v>
      </c>
      <c r="B1047" s="119" t="s">
        <v>221</v>
      </c>
      <c r="C1047" s="124">
        <v>4</v>
      </c>
      <c r="D1047" s="234" t="s">
        <v>1148</v>
      </c>
    </row>
    <row r="1048" spans="1:7">
      <c r="A1048" s="170">
        <f>_xlfn.XLOOKUP(B1048 &amp; "-" &amp; TEXT(C1048,"00"),改定!N:N,改定!E:E)</f>
        <v>54790</v>
      </c>
      <c r="B1048" s="119" t="s">
        <v>221</v>
      </c>
      <c r="C1048" s="124">
        <v>4</v>
      </c>
      <c r="D1048" s="234" t="s">
        <v>1149</v>
      </c>
    </row>
    <row r="1049" spans="1:7">
      <c r="A1049" s="170">
        <f>_xlfn.XLOOKUP(B1049 &amp; "-" &amp; TEXT(C1049,"00"),改定!N:N,改定!E:E)</f>
        <v>54790</v>
      </c>
      <c r="B1049" s="119" t="s">
        <v>226</v>
      </c>
      <c r="C1049" s="124">
        <v>4</v>
      </c>
      <c r="D1049" s="234" t="s">
        <v>1150</v>
      </c>
    </row>
    <row r="1050" spans="1:7">
      <c r="A1050" s="170">
        <f>_xlfn.XLOOKUP(B1050 &amp; "-" &amp; TEXT(C1050,"00"),改定!N:N,改定!E:E)</f>
        <v>54790</v>
      </c>
      <c r="B1050" s="119" t="s">
        <v>226</v>
      </c>
      <c r="C1050" s="124">
        <v>4</v>
      </c>
      <c r="D1050" s="234" t="s">
        <v>1151</v>
      </c>
    </row>
    <row r="1051" spans="1:7">
      <c r="A1051" s="170">
        <f>_xlfn.XLOOKUP(B1051 &amp; "-" &amp; TEXT(C1051,"00"),改定!N:N,改定!E:E)</f>
        <v>54905</v>
      </c>
      <c r="B1051" s="119" t="s">
        <v>198</v>
      </c>
      <c r="C1051" s="124">
        <v>5</v>
      </c>
      <c r="D1051" s="234" t="s">
        <v>1139</v>
      </c>
      <c r="E1051" s="249"/>
      <c r="F1051" s="249"/>
      <c r="G1051" s="128"/>
    </row>
    <row r="1052" spans="1:7">
      <c r="A1052" s="170">
        <f>_xlfn.XLOOKUP(B1052 &amp; "-" &amp; TEXT(C1052,"00"),改定!N:N,改定!E:E)</f>
        <v>54905</v>
      </c>
      <c r="B1052" s="119" t="s">
        <v>198</v>
      </c>
      <c r="C1052" s="124">
        <v>5</v>
      </c>
      <c r="D1052" s="234" t="s">
        <v>1138</v>
      </c>
      <c r="E1052" s="249">
        <v>8</v>
      </c>
      <c r="F1052" s="249"/>
      <c r="G1052" s="128"/>
    </row>
    <row r="1053" spans="1:7">
      <c r="A1053" s="170">
        <f>_xlfn.XLOOKUP(B1053 &amp; "-" &amp; TEXT(C1053,"00"),改定!N:N,改定!E:E)</f>
        <v>54923</v>
      </c>
      <c r="B1053" s="119" t="s">
        <v>19</v>
      </c>
      <c r="C1053" s="124">
        <v>10</v>
      </c>
      <c r="D1053" s="237" t="s">
        <v>895</v>
      </c>
    </row>
    <row r="1054" spans="1:7">
      <c r="A1054" s="170">
        <f>_xlfn.XLOOKUP(B1054 &amp; "-" &amp; TEXT(C1054,"00"),改定!N:N,改定!E:E)</f>
        <v>54923</v>
      </c>
      <c r="B1054" s="119" t="s">
        <v>19</v>
      </c>
      <c r="C1054" s="124">
        <v>10</v>
      </c>
      <c r="D1054" s="237" t="s">
        <v>870</v>
      </c>
    </row>
    <row r="1055" spans="1:7">
      <c r="A1055" s="170">
        <f>_xlfn.XLOOKUP(B1055 &amp; "-" &amp; TEXT(C1055,"00"),改定!N:N,改定!E:E)</f>
        <v>54923</v>
      </c>
      <c r="B1055" s="119" t="s">
        <v>1018</v>
      </c>
      <c r="C1055" s="124">
        <v>10</v>
      </c>
      <c r="D1055" s="237" t="s">
        <v>831</v>
      </c>
    </row>
    <row r="1056" spans="1:7">
      <c r="A1056" s="170">
        <f>_xlfn.XLOOKUP(B1056 &amp; "-" &amp; TEXT(C1056,"00"),改定!N:N,改定!E:E)</f>
        <v>54923</v>
      </c>
      <c r="B1056" s="119" t="s">
        <v>1018</v>
      </c>
      <c r="C1056" s="124">
        <v>10</v>
      </c>
      <c r="D1056" s="237" t="s">
        <v>887</v>
      </c>
    </row>
    <row r="1057" spans="1:4">
      <c r="A1057" s="170">
        <f>_xlfn.XLOOKUP(B1057 &amp; "-" &amp; TEXT(C1057,"00"),改定!N:N,改定!E:E)</f>
        <v>54923</v>
      </c>
      <c r="B1057" s="119" t="s">
        <v>1018</v>
      </c>
      <c r="C1057" s="124">
        <v>10</v>
      </c>
      <c r="D1057" s="237" t="s">
        <v>832</v>
      </c>
    </row>
    <row r="1058" spans="1:4">
      <c r="A1058" s="170">
        <f>_xlfn.XLOOKUP(B1058 &amp; "-" &amp; TEXT(C1058,"00"),改定!N:N,改定!E:E)</f>
        <v>54923</v>
      </c>
      <c r="B1058" s="119" t="s">
        <v>1018</v>
      </c>
      <c r="C1058" s="124">
        <v>10</v>
      </c>
      <c r="D1058" s="237" t="s">
        <v>810</v>
      </c>
    </row>
    <row r="1059" spans="1:4">
      <c r="A1059" s="170">
        <f>_xlfn.XLOOKUP(B1059 &amp; "-" &amp; TEXT(C1059,"00"),改定!N:N,改定!E:E)</f>
        <v>54923</v>
      </c>
      <c r="B1059" s="119" t="s">
        <v>1018</v>
      </c>
      <c r="C1059" s="124">
        <v>10</v>
      </c>
      <c r="D1059" s="237" t="s">
        <v>860</v>
      </c>
    </row>
    <row r="1060" spans="1:4">
      <c r="A1060" s="170">
        <f>_xlfn.XLOOKUP(B1060 &amp; "-" &amp; TEXT(C1060,"00"),改定!N:N,改定!E:E)</f>
        <v>54923</v>
      </c>
      <c r="B1060" s="119" t="s">
        <v>1018</v>
      </c>
      <c r="C1060" s="124">
        <v>10</v>
      </c>
      <c r="D1060" s="237" t="s">
        <v>861</v>
      </c>
    </row>
    <row r="1061" spans="1:4">
      <c r="A1061" s="170">
        <f>_xlfn.XLOOKUP(B1061 &amp; "-" &amp; TEXT(C1061,"00"),改定!N:N,改定!E:E)</f>
        <v>54923</v>
      </c>
      <c r="B1061" s="119" t="s">
        <v>1018</v>
      </c>
      <c r="C1061" s="124">
        <v>10</v>
      </c>
      <c r="D1061" s="237" t="s">
        <v>27</v>
      </c>
    </row>
    <row r="1062" spans="1:4">
      <c r="A1062" s="170">
        <f>_xlfn.XLOOKUP(B1062 &amp; "-" &amp; TEXT(C1062,"00"),改定!N:N,改定!E:E)</f>
        <v>54923</v>
      </c>
      <c r="B1062" s="119" t="s">
        <v>1018</v>
      </c>
      <c r="C1062" s="124">
        <v>10</v>
      </c>
      <c r="D1062" s="237" t="s">
        <v>835</v>
      </c>
    </row>
    <row r="1063" spans="1:4">
      <c r="A1063" s="170">
        <f>_xlfn.XLOOKUP(B1063 &amp; "-" &amp; TEXT(C1063,"00"),改定!N:N,改定!E:E)</f>
        <v>54923</v>
      </c>
      <c r="B1063" s="119" t="s">
        <v>1018</v>
      </c>
      <c r="C1063" s="124">
        <v>10</v>
      </c>
      <c r="D1063" s="237" t="s">
        <v>856</v>
      </c>
    </row>
    <row r="1064" spans="1:4">
      <c r="A1064" s="170">
        <f>_xlfn.XLOOKUP(B1064 &amp; "-" &amp; TEXT(C1064,"00"),改定!N:N,改定!E:E)</f>
        <v>54923</v>
      </c>
      <c r="B1064" s="119" t="s">
        <v>1018</v>
      </c>
      <c r="C1064" s="124">
        <v>10</v>
      </c>
      <c r="D1064" s="237" t="s">
        <v>892</v>
      </c>
    </row>
    <row r="1065" spans="1:4">
      <c r="A1065" s="170">
        <f>_xlfn.XLOOKUP(B1065 &amp; "-" &amp; TEXT(C1065,"00"),改定!N:N,改定!E:E)</f>
        <v>54923</v>
      </c>
      <c r="B1065" s="119" t="s">
        <v>1018</v>
      </c>
      <c r="C1065" s="124">
        <v>10</v>
      </c>
      <c r="D1065" s="237" t="s">
        <v>542</v>
      </c>
    </row>
    <row r="1066" spans="1:4">
      <c r="A1066" s="170">
        <f>_xlfn.XLOOKUP(B1066 &amp; "-" &amp; TEXT(C1066,"00"),改定!N:N,改定!E:E)</f>
        <v>54923</v>
      </c>
      <c r="B1066" s="119" t="s">
        <v>1018</v>
      </c>
      <c r="C1066" s="124">
        <v>10</v>
      </c>
      <c r="D1066" s="237" t="s">
        <v>992</v>
      </c>
    </row>
    <row r="1067" spans="1:4">
      <c r="A1067" s="170">
        <f>_xlfn.XLOOKUP(B1067 &amp; "-" &amp; TEXT(C1067,"00"),改定!N:N,改定!E:E)</f>
        <v>54923</v>
      </c>
      <c r="B1067" s="119" t="s">
        <v>1018</v>
      </c>
      <c r="C1067" s="124">
        <v>10</v>
      </c>
      <c r="D1067" s="237" t="s">
        <v>225</v>
      </c>
    </row>
    <row r="1068" spans="1:4">
      <c r="A1068" s="170">
        <f>_xlfn.XLOOKUP(B1068 &amp; "-" &amp; TEXT(C1068,"00"),改定!N:N,改定!E:E)</f>
        <v>54923</v>
      </c>
      <c r="B1068" s="119" t="s">
        <v>21</v>
      </c>
      <c r="C1068" s="124">
        <v>10</v>
      </c>
      <c r="D1068" s="245" t="s">
        <v>510</v>
      </c>
    </row>
    <row r="1069" spans="1:4">
      <c r="A1069" s="170">
        <f>_xlfn.XLOOKUP(B1069 &amp; "-" &amp; TEXT(C1069,"00"),改定!N:N,改定!E:E)</f>
        <v>54923</v>
      </c>
      <c r="B1069" s="119" t="s">
        <v>21</v>
      </c>
      <c r="C1069" s="124">
        <v>10</v>
      </c>
      <c r="D1069" s="237" t="s">
        <v>946</v>
      </c>
    </row>
    <row r="1070" spans="1:4">
      <c r="A1070" s="170">
        <f>_xlfn.XLOOKUP(B1070 &amp; "-" &amp; TEXT(C1070,"00"),改定!N:N,改定!E:E)</f>
        <v>54923</v>
      </c>
      <c r="B1070" s="119" t="s">
        <v>1019</v>
      </c>
      <c r="C1070" s="124">
        <v>10</v>
      </c>
      <c r="D1070" s="237" t="s">
        <v>869</v>
      </c>
    </row>
    <row r="1071" spans="1:4">
      <c r="A1071" s="170">
        <f>_xlfn.XLOOKUP(B1071 &amp; "-" &amp; TEXT(C1071,"00"),改定!N:N,改定!E:E)</f>
        <v>54923</v>
      </c>
      <c r="B1071" s="119" t="s">
        <v>1019</v>
      </c>
      <c r="C1071" s="124">
        <v>10</v>
      </c>
      <c r="D1071" s="237" t="s">
        <v>202</v>
      </c>
    </row>
    <row r="1072" spans="1:4">
      <c r="A1072" s="170">
        <f>_xlfn.XLOOKUP(B1072 &amp; "-" &amp; TEXT(C1072,"00"),改定!N:N,改定!E:E)</f>
        <v>54923</v>
      </c>
      <c r="B1072" s="119" t="s">
        <v>1019</v>
      </c>
      <c r="C1072" s="124">
        <v>10</v>
      </c>
      <c r="D1072" s="237" t="s">
        <v>947</v>
      </c>
    </row>
    <row r="1073" spans="1:7">
      <c r="A1073" s="170">
        <f>_xlfn.XLOOKUP(B1073 &amp; "-" &amp; TEXT(C1073,"00"),改定!N:N,改定!E:E)</f>
        <v>54923</v>
      </c>
      <c r="B1073" s="119" t="s">
        <v>1019</v>
      </c>
      <c r="C1073" s="124">
        <v>10</v>
      </c>
      <c r="D1073" s="237" t="s">
        <v>835</v>
      </c>
    </row>
    <row r="1074" spans="1:7">
      <c r="A1074" s="170">
        <f>_xlfn.XLOOKUP(B1074 &amp; "-" &amp; TEXT(C1074,"00"),改定!N:N,改定!E:E)</f>
        <v>54923</v>
      </c>
      <c r="B1074" s="119" t="s">
        <v>1019</v>
      </c>
      <c r="C1074" s="124">
        <v>10</v>
      </c>
      <c r="D1074" s="237" t="s">
        <v>998</v>
      </c>
    </row>
    <row r="1075" spans="1:7">
      <c r="A1075" s="170">
        <f>_xlfn.XLOOKUP(B1075 &amp; "-" &amp; TEXT(C1075,"00"),改定!N:N,改定!E:E)</f>
        <v>54923</v>
      </c>
      <c r="B1075" s="119" t="s">
        <v>1019</v>
      </c>
      <c r="C1075" s="124">
        <v>10</v>
      </c>
      <c r="D1075" s="237" t="s">
        <v>892</v>
      </c>
    </row>
    <row r="1076" spans="1:7">
      <c r="A1076" s="170">
        <f>_xlfn.XLOOKUP(B1076 &amp; "-" &amp; TEXT(C1076,"00"),改定!N:N,改定!E:E)</f>
        <v>54923</v>
      </c>
      <c r="B1076" s="119" t="s">
        <v>1019</v>
      </c>
      <c r="C1076" s="124">
        <v>10</v>
      </c>
      <c r="D1076" s="237" t="s">
        <v>215</v>
      </c>
    </row>
    <row r="1077" spans="1:7">
      <c r="A1077" s="170">
        <f>_xlfn.XLOOKUP(B1077 &amp; "-" &amp; TEXT(C1077,"00"),改定!N:N,改定!E:E)</f>
        <v>54923</v>
      </c>
      <c r="B1077" s="119" t="s">
        <v>1019</v>
      </c>
      <c r="C1077" s="124">
        <v>10</v>
      </c>
      <c r="D1077" s="237" t="s">
        <v>866</v>
      </c>
    </row>
    <row r="1078" spans="1:7">
      <c r="A1078" s="170">
        <f>_xlfn.XLOOKUP(B1078 &amp; "-" &amp; TEXT(C1078,"00"),改定!N:N,改定!E:E)</f>
        <v>54923</v>
      </c>
      <c r="B1078" s="119" t="s">
        <v>1019</v>
      </c>
      <c r="C1078" s="124">
        <v>10</v>
      </c>
      <c r="D1078" s="237" t="s">
        <v>894</v>
      </c>
    </row>
    <row r="1079" spans="1:7">
      <c r="A1079" s="170">
        <f>_xlfn.XLOOKUP(B1079 &amp; "-" &amp; TEXT(C1079,"00"),改定!N:N,改定!E:E)</f>
        <v>54923</v>
      </c>
      <c r="B1079" s="119" t="s">
        <v>1019</v>
      </c>
      <c r="C1079" s="124">
        <v>10</v>
      </c>
      <c r="D1079" s="237" t="s">
        <v>225</v>
      </c>
    </row>
    <row r="1080" spans="1:7">
      <c r="A1080" s="170">
        <f>_xlfn.XLOOKUP(B1080 &amp; "-" &amp; TEXT(C1080,"00"),改定!N:N,改定!E:E)</f>
        <v>54923</v>
      </c>
      <c r="B1080" s="119" t="s">
        <v>1019</v>
      </c>
      <c r="C1080" s="124">
        <v>10</v>
      </c>
      <c r="D1080" s="237" t="s">
        <v>873</v>
      </c>
    </row>
    <row r="1081" spans="1:7">
      <c r="A1081" s="170">
        <f>_xlfn.XLOOKUP(B1081 &amp; "-" &amp; TEXT(C1081,"00"),改定!N:N,改定!E:E)</f>
        <v>54923</v>
      </c>
      <c r="B1081" s="119" t="s">
        <v>1019</v>
      </c>
      <c r="C1081" s="124">
        <v>10</v>
      </c>
      <c r="D1081" s="237" t="s">
        <v>901</v>
      </c>
    </row>
    <row r="1082" spans="1:7">
      <c r="A1082" s="170">
        <f>_xlfn.XLOOKUP(B1082 &amp; "-" &amp; TEXT(C1082,"00"),改定!N:N,改定!E:E)</f>
        <v>54923</v>
      </c>
      <c r="B1082" s="119" t="s">
        <v>1019</v>
      </c>
      <c r="C1082" s="124">
        <v>10</v>
      </c>
      <c r="D1082" s="237" t="s">
        <v>875</v>
      </c>
    </row>
    <row r="1083" spans="1:7">
      <c r="A1083" s="170">
        <f>_xlfn.XLOOKUP(B1083 &amp; "-" &amp; TEXT(C1083,"00"),改定!N:N,改定!E:E)</f>
        <v>55134</v>
      </c>
      <c r="B1083" s="119" t="s">
        <v>184</v>
      </c>
      <c r="C1083" s="124">
        <v>8</v>
      </c>
      <c r="D1083" s="234" t="s">
        <v>1152</v>
      </c>
    </row>
    <row r="1084" spans="1:7">
      <c r="A1084" s="170">
        <f>_xlfn.XLOOKUP(B1084 &amp; "-" &amp; TEXT(C1084,"00"),改定!N:N,改定!E:E)</f>
        <v>55139</v>
      </c>
      <c r="B1084" s="119" t="s">
        <v>198</v>
      </c>
      <c r="C1084" s="124">
        <v>7</v>
      </c>
      <c r="D1084" s="234" t="s">
        <v>1153</v>
      </c>
    </row>
    <row r="1085" spans="1:7">
      <c r="A1085" s="170">
        <f>_xlfn.XLOOKUP(B1085 &amp; "-" &amp; TEXT(C1085,"00"),改定!N:N,改定!E:E)</f>
        <v>55139</v>
      </c>
      <c r="B1085" s="119" t="s">
        <v>198</v>
      </c>
      <c r="C1085" s="124">
        <v>7</v>
      </c>
      <c r="D1085" s="234" t="s">
        <v>1139</v>
      </c>
    </row>
    <row r="1086" spans="1:7">
      <c r="A1086" s="170">
        <f>_xlfn.XLOOKUP(B1086 &amp; "-" &amp; TEXT(C1086,"00"),改定!N:N,改定!E:E)</f>
        <v>55201</v>
      </c>
      <c r="B1086" s="119" t="s">
        <v>75</v>
      </c>
      <c r="C1086" s="124">
        <v>6</v>
      </c>
      <c r="D1086" s="234" t="s">
        <v>1154</v>
      </c>
      <c r="E1086" s="249">
        <v>2040</v>
      </c>
      <c r="F1086" s="249">
        <v>2040</v>
      </c>
      <c r="G1086" s="128"/>
    </row>
    <row r="1087" spans="1:7">
      <c r="A1087" s="170">
        <f>_xlfn.XLOOKUP(B1087 &amp; "-" &amp; TEXT(C1087,"00"),改定!N:N,改定!E:E)</f>
        <v>55201</v>
      </c>
      <c r="B1087" s="119" t="s">
        <v>75</v>
      </c>
      <c r="C1087" s="124">
        <v>6</v>
      </c>
      <c r="D1087" s="234" t="s">
        <v>1155</v>
      </c>
    </row>
    <row r="1088" spans="1:7">
      <c r="A1088" s="170">
        <f>_xlfn.XLOOKUP(B1088 &amp; "-" &amp; TEXT(C1088,"00"),改定!N:N,改定!E:E)</f>
        <v>55201</v>
      </c>
      <c r="B1088" s="120" t="s">
        <v>128</v>
      </c>
      <c r="C1088" s="124">
        <v>6</v>
      </c>
      <c r="D1088" s="234" t="s">
        <v>1156</v>
      </c>
      <c r="E1088" s="249">
        <v>1189</v>
      </c>
      <c r="F1088" s="249">
        <v>1189</v>
      </c>
      <c r="G1088" s="128"/>
    </row>
    <row r="1089" spans="1:8">
      <c r="A1089" s="170">
        <f>_xlfn.XLOOKUP(B1089 &amp; "-" &amp; TEXT(C1089,"00"),改定!N:N,改定!E:E)</f>
        <v>55201</v>
      </c>
      <c r="B1089" s="120" t="s">
        <v>128</v>
      </c>
      <c r="C1089" s="124">
        <v>6</v>
      </c>
      <c r="D1089" s="234" t="s">
        <v>1157</v>
      </c>
      <c r="E1089" s="249">
        <v>935</v>
      </c>
      <c r="F1089" s="249">
        <v>936</v>
      </c>
      <c r="G1089" s="128"/>
    </row>
    <row r="1090" spans="1:8">
      <c r="A1090" s="170">
        <f>_xlfn.XLOOKUP(B1090 &amp; "-" &amp; TEXT(C1090,"00"),改定!N:N,改定!E:E)</f>
        <v>55201</v>
      </c>
      <c r="B1090" s="120" t="s">
        <v>128</v>
      </c>
      <c r="C1090" s="124">
        <v>6</v>
      </c>
      <c r="D1090" s="234" t="s">
        <v>1158</v>
      </c>
      <c r="E1090" s="249">
        <v>711</v>
      </c>
      <c r="F1090" s="249">
        <v>711</v>
      </c>
      <c r="G1090" s="128"/>
    </row>
    <row r="1091" spans="1:8">
      <c r="A1091" s="170">
        <f>_xlfn.XLOOKUP(B1091 &amp; "-" &amp; TEXT(C1091,"00"),改定!N:N,改定!E:E)</f>
        <v>55201</v>
      </c>
      <c r="B1091" s="120" t="s">
        <v>128</v>
      </c>
      <c r="C1091" s="124">
        <v>6</v>
      </c>
      <c r="D1091" s="234" t="s">
        <v>1159</v>
      </c>
      <c r="E1091" s="249">
        <v>1211</v>
      </c>
      <c r="F1091" s="249">
        <v>1211</v>
      </c>
      <c r="G1091" s="128"/>
    </row>
    <row r="1092" spans="1:8">
      <c r="A1092" s="170">
        <f>_xlfn.XLOOKUP(B1092 &amp; "-" &amp; TEXT(C1092,"00"),改定!N:N,改定!E:E)</f>
        <v>55338</v>
      </c>
      <c r="B1092" s="119" t="s">
        <v>235</v>
      </c>
      <c r="C1092" s="124">
        <v>1</v>
      </c>
      <c r="D1092" s="234" t="s">
        <v>1160</v>
      </c>
      <c r="E1092" s="249">
        <v>6</v>
      </c>
      <c r="F1092" s="249"/>
      <c r="G1092" s="128" t="s">
        <v>1176</v>
      </c>
      <c r="H1092" s="191" t="s">
        <v>1162</v>
      </c>
    </row>
    <row r="1093" spans="1:8">
      <c r="A1093" s="170">
        <f>_xlfn.XLOOKUP(B1093 &amp; "-" &amp; TEXT(C1093,"00"),改定!N:N,改定!E:E)</f>
        <v>55338</v>
      </c>
      <c r="B1093" s="119" t="s">
        <v>235</v>
      </c>
      <c r="C1093" s="124">
        <v>1</v>
      </c>
      <c r="D1093" s="234" t="s">
        <v>1161</v>
      </c>
      <c r="E1093" s="249">
        <v>5</v>
      </c>
      <c r="F1093" s="249"/>
      <c r="G1093" s="128"/>
      <c r="H1093" s="191"/>
    </row>
    <row r="1094" spans="1:8">
      <c r="A1094" s="170">
        <f>_xlfn.XLOOKUP(B1094 &amp; "-" &amp; TEXT(C1094,"00"),改定!N:N,改定!E:E)</f>
        <v>55338</v>
      </c>
      <c r="B1094" s="119" t="s">
        <v>242</v>
      </c>
      <c r="C1094" s="124">
        <v>1</v>
      </c>
      <c r="D1094" s="234" t="s">
        <v>1160</v>
      </c>
      <c r="E1094" s="249">
        <v>6</v>
      </c>
      <c r="F1094" s="249"/>
      <c r="G1094" s="128" t="s">
        <v>1176</v>
      </c>
      <c r="H1094" s="191"/>
    </row>
    <row r="1095" spans="1:8">
      <c r="A1095" s="170">
        <f>_xlfn.XLOOKUP(B1095 &amp; "-" &amp; TEXT(C1095,"00"),改定!N:N,改定!E:E)</f>
        <v>55338</v>
      </c>
      <c r="B1095" s="119" t="s">
        <v>242</v>
      </c>
      <c r="C1095" s="124">
        <v>1</v>
      </c>
      <c r="D1095" s="234" t="s">
        <v>1161</v>
      </c>
      <c r="E1095" s="249">
        <v>5</v>
      </c>
      <c r="F1095" s="249"/>
      <c r="G1095" s="128"/>
      <c r="H1095" s="191"/>
    </row>
    <row r="1096" spans="1:8">
      <c r="A1096" s="170">
        <f>_xlfn.XLOOKUP(B1096 &amp; "-" &amp; TEXT(C1096,"00"),改定!N:N,改定!E:E)</f>
        <v>55338</v>
      </c>
      <c r="B1096" s="119" t="s">
        <v>243</v>
      </c>
      <c r="C1096" s="124">
        <v>1</v>
      </c>
      <c r="D1096" s="234" t="s">
        <v>1160</v>
      </c>
      <c r="E1096" s="249">
        <v>6</v>
      </c>
      <c r="F1096" s="249"/>
      <c r="G1096" s="128" t="s">
        <v>1176</v>
      </c>
      <c r="H1096" s="191"/>
    </row>
    <row r="1097" spans="1:8">
      <c r="A1097" s="170">
        <f>_xlfn.XLOOKUP(B1097 &amp; "-" &amp; TEXT(C1097,"00"),改定!N:N,改定!E:E)</f>
        <v>55338</v>
      </c>
      <c r="B1097" s="119" t="s">
        <v>243</v>
      </c>
      <c r="C1097" s="124">
        <v>1</v>
      </c>
      <c r="D1097" s="234" t="s">
        <v>1161</v>
      </c>
      <c r="E1097" s="249">
        <v>5</v>
      </c>
      <c r="F1097" s="249"/>
      <c r="G1097" s="128"/>
      <c r="H1097" s="191"/>
    </row>
    <row r="1098" spans="1:8">
      <c r="A1098" s="170">
        <f>_xlfn.XLOOKUP(B1098 &amp; "-" &amp; TEXT(C1098,"00"),改定!N:N,改定!E:E)</f>
        <v>55438</v>
      </c>
      <c r="B1098" s="119" t="s">
        <v>246</v>
      </c>
      <c r="C1098" s="124">
        <v>0</v>
      </c>
      <c r="D1098" s="234" t="s">
        <v>1160</v>
      </c>
      <c r="E1098" s="249">
        <v>6</v>
      </c>
      <c r="F1098" s="249">
        <v>6</v>
      </c>
      <c r="G1098" s="128" t="s">
        <v>1176</v>
      </c>
    </row>
    <row r="1099" spans="1:8">
      <c r="A1099" s="170">
        <f>_xlfn.XLOOKUP(B1099 &amp; "-" &amp; TEXT(C1099,"00"),改定!N:N,改定!E:E)</f>
        <v>55511</v>
      </c>
      <c r="B1099" s="120" t="s">
        <v>34</v>
      </c>
      <c r="C1099" s="124">
        <v>4</v>
      </c>
      <c r="D1099" s="234" t="s">
        <v>1163</v>
      </c>
    </row>
    <row r="1100" spans="1:8">
      <c r="A1100" s="170">
        <f>_xlfn.XLOOKUP(B1100 &amp; "-" &amp; TEXT(C1100,"00"),改定!N:N,改定!E:E)</f>
        <v>55511</v>
      </c>
      <c r="B1100" s="120" t="s">
        <v>34</v>
      </c>
      <c r="C1100" s="124">
        <v>4</v>
      </c>
      <c r="D1100" s="234" t="s">
        <v>1164</v>
      </c>
    </row>
    <row r="1101" spans="1:8">
      <c r="A1101" s="170">
        <f>_xlfn.XLOOKUP(B1101 &amp; "-" &amp; TEXT(C1101,"00"),改定!N:N,改定!E:E)</f>
        <v>55511</v>
      </c>
      <c r="B1101" s="119" t="s">
        <v>37</v>
      </c>
      <c r="C1101" s="124">
        <v>7</v>
      </c>
      <c r="D1101" s="234" t="s">
        <v>1136</v>
      </c>
    </row>
    <row r="1102" spans="1:8">
      <c r="A1102" s="170">
        <f>_xlfn.XLOOKUP(B1102 &amp; "-" &amp; TEXT(C1102,"00"),改定!N:N,改定!E:E)</f>
        <v>55511</v>
      </c>
      <c r="B1102" s="119" t="s">
        <v>55</v>
      </c>
      <c r="C1102" s="124">
        <v>5</v>
      </c>
      <c r="D1102" s="234" t="s">
        <v>1165</v>
      </c>
    </row>
    <row r="1103" spans="1:8">
      <c r="A1103" s="170">
        <f>_xlfn.XLOOKUP(B1103 &amp; "-" &amp; TEXT(C1103,"00"),改定!N:N,改定!E:E)</f>
        <v>55511</v>
      </c>
      <c r="B1103" s="119" t="s">
        <v>69</v>
      </c>
      <c r="C1103" s="124">
        <v>5</v>
      </c>
      <c r="D1103" s="234" t="s">
        <v>1155</v>
      </c>
    </row>
    <row r="1104" spans="1:8">
      <c r="A1104" s="170">
        <f>_xlfn.XLOOKUP(B1104 &amp; "-" &amp; TEXT(C1104,"00"),改定!N:N,改定!E:E)</f>
        <v>55511</v>
      </c>
      <c r="B1104" s="120" t="s">
        <v>107</v>
      </c>
      <c r="C1104" s="124">
        <v>1</v>
      </c>
      <c r="D1104" s="234" t="s">
        <v>1166</v>
      </c>
    </row>
    <row r="1105" spans="1:4">
      <c r="A1105" s="170">
        <f>_xlfn.XLOOKUP(B1105 &amp; "-" &amp; TEXT(C1105,"00"),改定!N:N,改定!E:E)</f>
        <v>55511</v>
      </c>
      <c r="B1105" s="120" t="s">
        <v>108</v>
      </c>
      <c r="C1105" s="124">
        <v>3</v>
      </c>
      <c r="D1105" s="234" t="s">
        <v>1166</v>
      </c>
    </row>
    <row r="1106" spans="1:4">
      <c r="A1106" s="170">
        <f>_xlfn.XLOOKUP(B1106 &amp; "-" &amp; TEXT(C1106,"00"),改定!N:N,改定!E:E)</f>
        <v>55511</v>
      </c>
      <c r="B1106" s="119" t="s">
        <v>112</v>
      </c>
      <c r="C1106" s="124">
        <v>1</v>
      </c>
      <c r="D1106" s="234" t="s">
        <v>1166</v>
      </c>
    </row>
    <row r="1107" spans="1:4">
      <c r="A1107" s="170">
        <f>_xlfn.XLOOKUP(B1107 &amp; "-" &amp; TEXT(C1107,"00"),改定!N:N,改定!E:E)</f>
        <v>55511</v>
      </c>
      <c r="B1107" s="119" t="s">
        <v>115</v>
      </c>
      <c r="C1107" s="124">
        <v>2</v>
      </c>
      <c r="D1107" s="234" t="s">
        <v>1167</v>
      </c>
    </row>
    <row r="1108" spans="1:4">
      <c r="A1108" s="170">
        <f>_xlfn.XLOOKUP(B1108 &amp; "-" &amp; TEXT(C1108,"00"),改定!N:N,改定!E:E)</f>
        <v>55511</v>
      </c>
      <c r="B1108" s="119" t="s">
        <v>133</v>
      </c>
      <c r="C1108" s="124">
        <v>9</v>
      </c>
      <c r="D1108" s="234" t="s">
        <v>1168</v>
      </c>
    </row>
    <row r="1109" spans="1:4">
      <c r="A1109" s="170">
        <f>_xlfn.XLOOKUP(B1109 &amp; "-" &amp; TEXT(C1109,"00"),改定!N:N,改定!E:E)</f>
        <v>55511</v>
      </c>
      <c r="B1109" s="119" t="s">
        <v>133</v>
      </c>
      <c r="C1109" s="124">
        <v>9</v>
      </c>
      <c r="D1109" s="234" t="s">
        <v>1169</v>
      </c>
    </row>
    <row r="1110" spans="1:4">
      <c r="A1110" s="170">
        <f>_xlfn.XLOOKUP(B1110 &amp; "-" &amp; TEXT(C1110,"00"),改定!N:N,改定!E:E)</f>
        <v>55511</v>
      </c>
      <c r="B1110" s="119" t="s">
        <v>133</v>
      </c>
      <c r="C1110" s="124">
        <v>9</v>
      </c>
      <c r="D1110" s="234" t="s">
        <v>1170</v>
      </c>
    </row>
    <row r="1111" spans="1:4">
      <c r="A1111" s="170">
        <f>_xlfn.XLOOKUP(B1111 &amp; "-" &amp; TEXT(C1111,"00"),改定!N:N,改定!E:E)</f>
        <v>55511</v>
      </c>
      <c r="B1111" s="119" t="s">
        <v>134</v>
      </c>
      <c r="C1111" s="124">
        <v>5</v>
      </c>
      <c r="D1111" s="234" t="s">
        <v>1171</v>
      </c>
    </row>
    <row r="1112" spans="1:4">
      <c r="A1112" s="170">
        <f>_xlfn.XLOOKUP(B1112 &amp; "-" &amp; TEXT(C1112,"00"),改定!N:N,改定!E:E)</f>
        <v>55511</v>
      </c>
      <c r="B1112" s="119" t="s">
        <v>137</v>
      </c>
      <c r="C1112" s="124">
        <v>12</v>
      </c>
      <c r="D1112" s="234" t="s">
        <v>1172</v>
      </c>
    </row>
    <row r="1113" spans="1:4">
      <c r="A1113" s="170">
        <f>_xlfn.XLOOKUP(B1113 &amp; "-" &amp; TEXT(C1113,"00"),改定!N:N,改定!E:E)</f>
        <v>55511</v>
      </c>
      <c r="B1113" s="119" t="s">
        <v>140</v>
      </c>
      <c r="C1113" s="124">
        <v>8</v>
      </c>
      <c r="D1113" s="234" t="s">
        <v>1173</v>
      </c>
    </row>
    <row r="1114" spans="1:4">
      <c r="A1114" s="170">
        <f>_xlfn.XLOOKUP(B1114 &amp; "-" &amp; TEXT(C1114,"00"),改定!N:N,改定!E:E)</f>
        <v>55511</v>
      </c>
      <c r="B1114" s="119" t="s">
        <v>140</v>
      </c>
      <c r="C1114" s="124">
        <v>8</v>
      </c>
      <c r="D1114" s="234" t="s">
        <v>1172</v>
      </c>
    </row>
    <row r="1115" spans="1:4">
      <c r="A1115" s="170">
        <f>_xlfn.XLOOKUP(B1115 &amp; "-" &amp; TEXT(C1115,"00"),改定!N:N,改定!E:E)</f>
        <v>55511</v>
      </c>
      <c r="B1115" s="119" t="s">
        <v>140</v>
      </c>
      <c r="C1115" s="124">
        <v>8</v>
      </c>
      <c r="D1115" s="234" t="s">
        <v>1174</v>
      </c>
    </row>
    <row r="1116" spans="1:4">
      <c r="A1116" s="170">
        <f>_xlfn.XLOOKUP(B1116 &amp; "-" &amp; TEXT(C1116,"00"),改定!N:N,改定!E:E)</f>
        <v>55511</v>
      </c>
      <c r="B1116" s="119" t="s">
        <v>152</v>
      </c>
      <c r="C1116" s="124">
        <v>2</v>
      </c>
      <c r="D1116" s="234" t="s">
        <v>1164</v>
      </c>
    </row>
    <row r="1117" spans="1:4">
      <c r="A1117" s="170">
        <f>_xlfn.XLOOKUP(B1117 &amp; "-" &amp; TEXT(C1117,"00"),改定!N:N,改定!E:E)</f>
        <v>55511</v>
      </c>
      <c r="B1117" s="119" t="s">
        <v>186</v>
      </c>
      <c r="C1117" s="124">
        <v>7</v>
      </c>
      <c r="D1117" s="234" t="s">
        <v>1142</v>
      </c>
    </row>
    <row r="1118" spans="1:4">
      <c r="A1118" s="170">
        <f>_xlfn.XLOOKUP(B1118 &amp; "-" &amp; TEXT(C1118,"00"),改定!N:N,改定!E:E)</f>
        <v>55511</v>
      </c>
      <c r="B1118" s="119" t="s">
        <v>206</v>
      </c>
      <c r="C1118" s="124">
        <v>3</v>
      </c>
      <c r="D1118" s="234" t="s">
        <v>1177</v>
      </c>
    </row>
    <row r="1119" spans="1:4">
      <c r="A1119" s="170">
        <f>_xlfn.XLOOKUP(B1119 &amp; "-" &amp; TEXT(C1119,"00"),改定!N:N,改定!E:E)</f>
        <v>55511</v>
      </c>
      <c r="B1119" s="119" t="s">
        <v>208</v>
      </c>
      <c r="C1119" s="124">
        <v>1</v>
      </c>
      <c r="D1119" s="234" t="s">
        <v>1178</v>
      </c>
    </row>
    <row r="1120" spans="1:4">
      <c r="A1120" s="170">
        <f>_xlfn.XLOOKUP(B1120 &amp; "-" &amp; TEXT(C1120,"00"),改定!N:N,改定!E:E)</f>
        <v>55511</v>
      </c>
      <c r="B1120" s="119" t="s">
        <v>208</v>
      </c>
      <c r="C1120" s="124">
        <v>1</v>
      </c>
      <c r="D1120" s="234" t="s">
        <v>1179</v>
      </c>
    </row>
    <row r="1121" spans="1:6">
      <c r="A1121" s="170">
        <f>_xlfn.XLOOKUP(B1121 &amp; "-" &amp; TEXT(C1121,"00"),改定!N:N,改定!E:E)</f>
        <v>55511</v>
      </c>
      <c r="B1121" s="119" t="s">
        <v>210</v>
      </c>
      <c r="C1121" s="124">
        <v>15</v>
      </c>
      <c r="D1121" s="234" t="s">
        <v>1178</v>
      </c>
    </row>
    <row r="1122" spans="1:6">
      <c r="A1122" s="170">
        <f>_xlfn.XLOOKUP(B1122 &amp; "-" &amp; TEXT(C1122,"00"),改定!N:N,改定!E:E)</f>
        <v>55511</v>
      </c>
      <c r="B1122" s="119" t="s">
        <v>210</v>
      </c>
      <c r="C1122" s="124">
        <v>15</v>
      </c>
      <c r="D1122" s="234" t="s">
        <v>1180</v>
      </c>
    </row>
    <row r="1123" spans="1:6">
      <c r="A1123" s="170">
        <f>_xlfn.XLOOKUP(B1123 &amp; "-" &amp; TEXT(C1123,"00"),改定!N:N,改定!E:E)</f>
        <v>55511</v>
      </c>
      <c r="B1123" s="120" t="s">
        <v>214</v>
      </c>
      <c r="C1123" s="124">
        <v>1</v>
      </c>
      <c r="D1123" s="234" t="s">
        <v>1181</v>
      </c>
    </row>
    <row r="1124" spans="1:6">
      <c r="A1124" s="170">
        <f>_xlfn.XLOOKUP(B1124 &amp; "-" &amp; TEXT(C1124,"00"),改定!N:N,改定!E:E)</f>
        <v>55511</v>
      </c>
      <c r="B1124" s="119" t="s">
        <v>218</v>
      </c>
      <c r="C1124" s="124">
        <v>12</v>
      </c>
      <c r="D1124" s="234" t="s">
        <v>1148</v>
      </c>
    </row>
    <row r="1125" spans="1:6">
      <c r="A1125" s="170">
        <f>_xlfn.XLOOKUP(B1125 &amp; "-" &amp; TEXT(C1125,"00"),改定!N:N,改定!E:E)</f>
        <v>55511</v>
      </c>
      <c r="B1125" s="119" t="s">
        <v>218</v>
      </c>
      <c r="C1125" s="124">
        <v>12</v>
      </c>
      <c r="D1125" s="234" t="s">
        <v>1150</v>
      </c>
    </row>
    <row r="1126" spans="1:6">
      <c r="A1126" s="170">
        <f>_xlfn.XLOOKUP(B1126 &amp; "-" &amp; TEXT(C1126,"00"),改定!N:N,改定!E:E)</f>
        <v>55511</v>
      </c>
      <c r="B1126" s="119" t="s">
        <v>218</v>
      </c>
      <c r="C1126" s="124">
        <v>12</v>
      </c>
      <c r="D1126" s="234" t="s">
        <v>1146</v>
      </c>
    </row>
    <row r="1127" spans="1:6">
      <c r="A1127" s="170">
        <f>_xlfn.XLOOKUP(B1127 &amp; "-" &amp; TEXT(C1127,"00"),改定!N:N,改定!E:E)</f>
        <v>55511</v>
      </c>
      <c r="B1127" s="119" t="s">
        <v>220</v>
      </c>
      <c r="C1127" s="124">
        <v>9</v>
      </c>
      <c r="D1127" s="234" t="s">
        <v>1146</v>
      </c>
    </row>
    <row r="1128" spans="1:6">
      <c r="A1128" s="170">
        <f>_xlfn.XLOOKUP(B1128 &amp; "-" &amp; TEXT(C1128,"00"),改定!N:N,改定!E:E)</f>
        <v>55511</v>
      </c>
      <c r="B1128" s="119" t="s">
        <v>220</v>
      </c>
      <c r="C1128" s="124">
        <v>9</v>
      </c>
      <c r="D1128" s="234" t="s">
        <v>1182</v>
      </c>
    </row>
    <row r="1129" spans="1:6">
      <c r="A1129" s="170">
        <f>_xlfn.XLOOKUP(B1129 &amp; "-" &amp; TEXT(C1129,"00"),改定!N:N,改定!E:E)</f>
        <v>55511</v>
      </c>
      <c r="B1129" s="120" t="s">
        <v>230</v>
      </c>
      <c r="C1129" s="124">
        <v>1</v>
      </c>
      <c r="D1129" s="234" t="s">
        <v>1150</v>
      </c>
    </row>
    <row r="1130" spans="1:6">
      <c r="A1130" s="170">
        <f>_xlfn.XLOOKUP(B1130 &amp; "-" &amp; TEXT(C1130,"00"),改定!N:N,改定!E:E)</f>
        <v>55535</v>
      </c>
      <c r="B1130" s="120" t="s">
        <v>204</v>
      </c>
      <c r="C1130" s="124">
        <v>5</v>
      </c>
      <c r="D1130" s="234" t="s">
        <v>1143</v>
      </c>
      <c r="E1130" s="249">
        <v>4415</v>
      </c>
      <c r="F1130" s="249">
        <v>4432</v>
      </c>
    </row>
    <row r="1131" spans="1:6">
      <c r="A1131" s="170">
        <f>_xlfn.XLOOKUP(B1131 &amp; "-" &amp; TEXT(C1131,"00"),改定!N:N,改定!E:E)</f>
        <v>55535</v>
      </c>
      <c r="B1131" s="120" t="s">
        <v>204</v>
      </c>
      <c r="C1131" s="124">
        <v>5</v>
      </c>
      <c r="D1131" s="234" t="s">
        <v>1144</v>
      </c>
      <c r="E1131" s="249">
        <v>137</v>
      </c>
      <c r="F1131" s="249">
        <v>137</v>
      </c>
    </row>
    <row r="1132" spans="1:6">
      <c r="A1132" s="170">
        <f>_xlfn.XLOOKUP(B1132 &amp; "-" &amp; TEXT(C1132,"00"),改定!N:N,改定!E:E)</f>
        <v>55535</v>
      </c>
      <c r="B1132" s="119" t="s">
        <v>221</v>
      </c>
      <c r="C1132" s="124">
        <v>5</v>
      </c>
      <c r="D1132" s="234" t="s">
        <v>1184</v>
      </c>
      <c r="E1132" s="249">
        <v>6262</v>
      </c>
      <c r="F1132" s="249">
        <v>6262</v>
      </c>
    </row>
    <row r="1133" spans="1:6">
      <c r="A1133" s="170">
        <f>_xlfn.XLOOKUP(B1133 &amp; "-" &amp; TEXT(C1133,"00"),改定!N:N,改定!E:E)</f>
        <v>55535</v>
      </c>
      <c r="B1133" s="119" t="s">
        <v>221</v>
      </c>
      <c r="C1133" s="124">
        <v>5</v>
      </c>
      <c r="D1133" s="234" t="s">
        <v>1185</v>
      </c>
      <c r="E1133" s="249">
        <v>83</v>
      </c>
      <c r="F1133" s="249">
        <v>83</v>
      </c>
    </row>
    <row r="1134" spans="1:6">
      <c r="A1134" s="170">
        <f>_xlfn.XLOOKUP(B1134 &amp; "-" &amp; TEXT(C1134,"00"),改定!N:N,改定!E:E)</f>
        <v>55535</v>
      </c>
      <c r="B1134" s="119" t="s">
        <v>221</v>
      </c>
      <c r="C1134" s="124">
        <v>5</v>
      </c>
      <c r="D1134" s="234" t="s">
        <v>1182</v>
      </c>
      <c r="E1134" s="249">
        <v>6475</v>
      </c>
      <c r="F1134" s="249">
        <v>6475</v>
      </c>
    </row>
    <row r="1135" spans="1:6">
      <c r="A1135" s="170">
        <f>_xlfn.XLOOKUP(B1135 &amp; "-" &amp; TEXT(C1135,"00"),改定!N:N,改定!E:E)</f>
        <v>55535</v>
      </c>
      <c r="B1135" s="119" t="s">
        <v>221</v>
      </c>
      <c r="C1135" s="124">
        <v>5</v>
      </c>
      <c r="D1135" s="234" t="s">
        <v>1149</v>
      </c>
      <c r="E1135" s="249">
        <v>316</v>
      </c>
      <c r="F1135" s="249">
        <v>316</v>
      </c>
    </row>
    <row r="1136" spans="1:6">
      <c r="A1136" s="170">
        <f>_xlfn.XLOOKUP(B1136 &amp; "-" &amp; TEXT(C1136,"00"),改定!N:N,改定!E:E)</f>
        <v>55535</v>
      </c>
      <c r="B1136" s="120" t="s">
        <v>226</v>
      </c>
      <c r="C1136" s="124">
        <v>5</v>
      </c>
      <c r="D1136" s="234" t="s">
        <v>1150</v>
      </c>
      <c r="E1136" s="249">
        <v>6643</v>
      </c>
      <c r="F1136" s="249">
        <v>6643</v>
      </c>
    </row>
    <row r="1137" spans="1:8">
      <c r="A1137" s="170">
        <f>_xlfn.XLOOKUP(B1137 &amp; "-" &amp; TEXT(C1137,"00"),改定!N:N,改定!E:E)</f>
        <v>55535</v>
      </c>
      <c r="B1137" s="120" t="s">
        <v>226</v>
      </c>
      <c r="C1137" s="124">
        <v>5</v>
      </c>
      <c r="D1137" s="234" t="s">
        <v>1186</v>
      </c>
      <c r="E1137" s="249">
        <v>388</v>
      </c>
      <c r="F1137" s="249">
        <v>388</v>
      </c>
    </row>
    <row r="1138" spans="1:8">
      <c r="A1138" s="170">
        <f>_xlfn.XLOOKUP(B1138 &amp; "-" &amp; TEXT(C1138,"00"),改定!N:N,改定!E:E)</f>
        <v>55548</v>
      </c>
      <c r="B1138" s="119" t="s">
        <v>177</v>
      </c>
      <c r="C1138" s="124">
        <v>7</v>
      </c>
      <c r="D1138" s="234" t="s">
        <v>1137</v>
      </c>
    </row>
    <row r="1139" spans="1:8" ht="40.5">
      <c r="A1139" s="170">
        <f>_xlfn.XLOOKUP(B1139 &amp; "-" &amp; TEXT(C1139,"00"),改定!N:N,改定!E:E)</f>
        <v>55576</v>
      </c>
      <c r="B1139" s="119" t="s">
        <v>235</v>
      </c>
      <c r="C1139" s="124">
        <v>2</v>
      </c>
      <c r="D1139" s="234" t="s">
        <v>1187</v>
      </c>
      <c r="E1139" s="249">
        <v>7</v>
      </c>
      <c r="F1139" s="249"/>
      <c r="H1139" s="150" t="s">
        <v>1189</v>
      </c>
    </row>
    <row r="1140" spans="1:8">
      <c r="A1140" s="170">
        <f>_xlfn.XLOOKUP(B1140 &amp; "-" &amp; TEXT(C1140,"00"),改定!N:N,改定!E:E)</f>
        <v>55576</v>
      </c>
      <c r="B1140" s="119" t="s">
        <v>243</v>
      </c>
      <c r="C1140" s="124">
        <v>2</v>
      </c>
      <c r="D1140" s="234" t="s">
        <v>1188</v>
      </c>
      <c r="E1140" s="249">
        <v>6</v>
      </c>
      <c r="F1140" s="249"/>
      <c r="G1140" s="121" t="s">
        <v>1176</v>
      </c>
    </row>
    <row r="1141" spans="1:8" ht="40.5">
      <c r="A1141" s="170">
        <f>_xlfn.XLOOKUP(B1141 &amp; "-" &amp; TEXT(C1141,"00"),改定!N:N,改定!E:E)</f>
        <v>55576</v>
      </c>
      <c r="B1141" s="119" t="s">
        <v>243</v>
      </c>
      <c r="C1141" s="124">
        <v>2</v>
      </c>
      <c r="D1141" s="234" t="s">
        <v>1187</v>
      </c>
      <c r="E1141" s="249">
        <v>7</v>
      </c>
      <c r="F1141" s="249"/>
      <c r="H1141" s="150" t="s">
        <v>1189</v>
      </c>
    </row>
    <row r="1142" spans="1:8">
      <c r="A1142" s="170">
        <f>_xlfn.XLOOKUP(B1142 &amp; "-" &amp; TEXT(C1142,"00"),改定!N:N,改定!E:E)</f>
        <v>55581</v>
      </c>
      <c r="B1142" s="119" t="s">
        <v>192</v>
      </c>
      <c r="C1142" s="124">
        <v>7</v>
      </c>
      <c r="D1142" s="234" t="s">
        <v>1190</v>
      </c>
      <c r="E1142" s="249">
        <v>2423</v>
      </c>
      <c r="F1142" s="249">
        <v>2423</v>
      </c>
    </row>
    <row r="1143" spans="1:8">
      <c r="A1143" s="170">
        <f>_xlfn.XLOOKUP(B1143 &amp; "-" &amp; TEXT(C1143,"00"),改定!N:N,改定!E:E)</f>
        <v>55600</v>
      </c>
      <c r="B1143" s="119" t="s">
        <v>173</v>
      </c>
      <c r="C1143" s="124">
        <v>0</v>
      </c>
      <c r="D1143" s="234" t="s">
        <v>1191</v>
      </c>
    </row>
    <row r="1144" spans="1:8">
      <c r="A1144" s="170">
        <f>_xlfn.XLOOKUP(B1144 &amp; "-" &amp; TEXT(C1144,"00"),改定!N:N,改定!E:E)</f>
        <v>55616</v>
      </c>
      <c r="B1144" s="119" t="s">
        <v>102</v>
      </c>
      <c r="C1144" s="124">
        <v>5</v>
      </c>
      <c r="D1144" s="234" t="s">
        <v>1192</v>
      </c>
      <c r="E1144" s="249">
        <v>6348</v>
      </c>
      <c r="F1144" s="249">
        <v>6347</v>
      </c>
    </row>
    <row r="1145" spans="1:8">
      <c r="A1145" s="170">
        <f>_xlfn.XLOOKUP(B1145 &amp; "-" &amp; TEXT(C1145,"00"),改定!N:N,改定!E:E)</f>
        <v>55660</v>
      </c>
      <c r="B1145" s="119" t="s">
        <v>19</v>
      </c>
      <c r="C1145" s="124">
        <v>11</v>
      </c>
      <c r="D1145" s="237" t="s">
        <v>895</v>
      </c>
    </row>
    <row r="1146" spans="1:8">
      <c r="A1146" s="170">
        <f>_xlfn.XLOOKUP(B1146 &amp; "-" &amp; TEXT(C1146,"00"),改定!N:N,改定!E:E)</f>
        <v>55660</v>
      </c>
      <c r="B1146" s="119" t="s">
        <v>19</v>
      </c>
      <c r="C1146" s="124">
        <v>11</v>
      </c>
      <c r="D1146" s="237" t="s">
        <v>870</v>
      </c>
    </row>
    <row r="1147" spans="1:8">
      <c r="A1147" s="170">
        <f>_xlfn.XLOOKUP(B1147 &amp; "-" &amp; TEXT(C1147,"00"),改定!N:N,改定!E:E)</f>
        <v>55660</v>
      </c>
      <c r="B1147" s="119" t="s">
        <v>19</v>
      </c>
      <c r="C1147" s="124">
        <v>11</v>
      </c>
      <c r="D1147" s="237" t="s">
        <v>831</v>
      </c>
    </row>
    <row r="1148" spans="1:8">
      <c r="A1148" s="170">
        <f>_xlfn.XLOOKUP(B1148 &amp; "-" &amp; TEXT(C1148,"00"),改定!N:N,改定!E:E)</f>
        <v>55660</v>
      </c>
      <c r="B1148" s="119" t="s">
        <v>19</v>
      </c>
      <c r="C1148" s="124">
        <v>11</v>
      </c>
      <c r="D1148" s="237" t="s">
        <v>887</v>
      </c>
    </row>
    <row r="1149" spans="1:8">
      <c r="A1149" s="170">
        <f>_xlfn.XLOOKUP(B1149 &amp; "-" &amp; TEXT(C1149,"00"),改定!N:N,改定!E:E)</f>
        <v>55660</v>
      </c>
      <c r="B1149" s="119" t="s">
        <v>19</v>
      </c>
      <c r="C1149" s="124">
        <v>11</v>
      </c>
      <c r="D1149" s="237" t="s">
        <v>832</v>
      </c>
    </row>
    <row r="1150" spans="1:8">
      <c r="A1150" s="170">
        <f>_xlfn.XLOOKUP(B1150 &amp; "-" &amp; TEXT(C1150,"00"),改定!N:N,改定!E:E)</f>
        <v>55660</v>
      </c>
      <c r="B1150" s="119" t="s">
        <v>19</v>
      </c>
      <c r="C1150" s="124">
        <v>11</v>
      </c>
      <c r="D1150" s="237" t="s">
        <v>810</v>
      </c>
    </row>
    <row r="1151" spans="1:8">
      <c r="A1151" s="170">
        <f>_xlfn.XLOOKUP(B1151 &amp; "-" &amp; TEXT(C1151,"00"),改定!N:N,改定!E:E)</f>
        <v>55660</v>
      </c>
      <c r="B1151" s="119" t="s">
        <v>19</v>
      </c>
      <c r="C1151" s="124">
        <v>11</v>
      </c>
      <c r="D1151" s="237" t="s">
        <v>860</v>
      </c>
    </row>
    <row r="1152" spans="1:8">
      <c r="A1152" s="170">
        <f>_xlfn.XLOOKUP(B1152 &amp; "-" &amp; TEXT(C1152,"00"),改定!N:N,改定!E:E)</f>
        <v>55660</v>
      </c>
      <c r="B1152" s="119" t="s">
        <v>19</v>
      </c>
      <c r="C1152" s="124">
        <v>11</v>
      </c>
      <c r="D1152" s="237" t="s">
        <v>861</v>
      </c>
    </row>
    <row r="1153" spans="1:4">
      <c r="A1153" s="170">
        <f>_xlfn.XLOOKUP(B1153 &amp; "-" &amp; TEXT(C1153,"00"),改定!N:N,改定!E:E)</f>
        <v>55660</v>
      </c>
      <c r="B1153" s="119" t="s">
        <v>19</v>
      </c>
      <c r="C1153" s="124">
        <v>11</v>
      </c>
      <c r="D1153" s="237" t="s">
        <v>27</v>
      </c>
    </row>
    <row r="1154" spans="1:4">
      <c r="A1154" s="170">
        <f>_xlfn.XLOOKUP(B1154 &amp; "-" &amp; TEXT(C1154,"00"),改定!N:N,改定!E:E)</f>
        <v>55660</v>
      </c>
      <c r="B1154" s="119" t="s">
        <v>19</v>
      </c>
      <c r="C1154" s="124">
        <v>11</v>
      </c>
      <c r="D1154" s="237" t="s">
        <v>835</v>
      </c>
    </row>
    <row r="1155" spans="1:4">
      <c r="A1155" s="170">
        <f>_xlfn.XLOOKUP(B1155 &amp; "-" &amp; TEXT(C1155,"00"),改定!N:N,改定!E:E)</f>
        <v>55660</v>
      </c>
      <c r="B1155" s="119" t="s">
        <v>19</v>
      </c>
      <c r="C1155" s="124">
        <v>11</v>
      </c>
      <c r="D1155" s="237" t="s">
        <v>856</v>
      </c>
    </row>
    <row r="1156" spans="1:4">
      <c r="A1156" s="170">
        <f>_xlfn.XLOOKUP(B1156 &amp; "-" &amp; TEXT(C1156,"00"),改定!N:N,改定!E:E)</f>
        <v>55660</v>
      </c>
      <c r="B1156" s="119" t="s">
        <v>19</v>
      </c>
      <c r="C1156" s="124">
        <v>11</v>
      </c>
      <c r="D1156" s="237" t="s">
        <v>892</v>
      </c>
    </row>
    <row r="1157" spans="1:4">
      <c r="A1157" s="170">
        <f>_xlfn.XLOOKUP(B1157 &amp; "-" &amp; TEXT(C1157,"00"),改定!N:N,改定!E:E)</f>
        <v>55660</v>
      </c>
      <c r="B1157" s="119" t="s">
        <v>19</v>
      </c>
      <c r="C1157" s="124">
        <v>11</v>
      </c>
      <c r="D1157" s="237" t="s">
        <v>542</v>
      </c>
    </row>
    <row r="1158" spans="1:4">
      <c r="A1158" s="170">
        <f>_xlfn.XLOOKUP(B1158 &amp; "-" &amp; TEXT(C1158,"00"),改定!N:N,改定!E:E)</f>
        <v>55660</v>
      </c>
      <c r="B1158" s="119" t="s">
        <v>19</v>
      </c>
      <c r="C1158" s="124">
        <v>11</v>
      </c>
      <c r="D1158" s="237" t="s">
        <v>992</v>
      </c>
    </row>
    <row r="1159" spans="1:4">
      <c r="A1159" s="170">
        <f>_xlfn.XLOOKUP(B1159 &amp; "-" &amp; TEXT(C1159,"00"),改定!N:N,改定!E:E)</f>
        <v>55660</v>
      </c>
      <c r="B1159" s="119" t="s">
        <v>19</v>
      </c>
      <c r="C1159" s="124">
        <v>11</v>
      </c>
      <c r="D1159" s="237" t="s">
        <v>225</v>
      </c>
    </row>
    <row r="1160" spans="1:4">
      <c r="A1160" s="170">
        <f>_xlfn.XLOOKUP(B1160 &amp; "-" &amp; TEXT(C1160,"00"),改定!N:N,改定!E:E)</f>
        <v>55660</v>
      </c>
      <c r="B1160" s="119" t="s">
        <v>21</v>
      </c>
      <c r="C1160" s="124">
        <v>11</v>
      </c>
      <c r="D1160" s="245" t="s">
        <v>510</v>
      </c>
    </row>
    <row r="1161" spans="1:4">
      <c r="A1161" s="170">
        <f>_xlfn.XLOOKUP(B1161 &amp; "-" &amp; TEXT(C1161,"00"),改定!N:N,改定!E:E)</f>
        <v>55660</v>
      </c>
      <c r="B1161" s="119" t="s">
        <v>21</v>
      </c>
      <c r="C1161" s="124">
        <v>11</v>
      </c>
      <c r="D1161" s="237" t="s">
        <v>946</v>
      </c>
    </row>
    <row r="1162" spans="1:4">
      <c r="A1162" s="170">
        <f>_xlfn.XLOOKUP(B1162 &amp; "-" &amp; TEXT(C1162,"00"),改定!N:N,改定!E:E)</f>
        <v>55660</v>
      </c>
      <c r="B1162" s="119" t="s">
        <v>1019</v>
      </c>
      <c r="C1162" s="124">
        <v>11</v>
      </c>
      <c r="D1162" s="237" t="s">
        <v>869</v>
      </c>
    </row>
    <row r="1163" spans="1:4">
      <c r="A1163" s="170">
        <f>_xlfn.XLOOKUP(B1163 &amp; "-" &amp; TEXT(C1163,"00"),改定!N:N,改定!E:E)</f>
        <v>55660</v>
      </c>
      <c r="B1163" s="119" t="s">
        <v>1019</v>
      </c>
      <c r="C1163" s="124">
        <v>11</v>
      </c>
      <c r="D1163" s="237" t="s">
        <v>202</v>
      </c>
    </row>
    <row r="1164" spans="1:4">
      <c r="A1164" s="170">
        <f>_xlfn.XLOOKUP(B1164 &amp; "-" &amp; TEXT(C1164,"00"),改定!N:N,改定!E:E)</f>
        <v>55660</v>
      </c>
      <c r="B1164" s="119" t="s">
        <v>1019</v>
      </c>
      <c r="C1164" s="124">
        <v>11</v>
      </c>
      <c r="D1164" s="237" t="s">
        <v>947</v>
      </c>
    </row>
    <row r="1165" spans="1:4">
      <c r="A1165" s="170">
        <f>_xlfn.XLOOKUP(B1165 &amp; "-" &amp; TEXT(C1165,"00"),改定!N:N,改定!E:E)</f>
        <v>55660</v>
      </c>
      <c r="B1165" s="119" t="s">
        <v>1019</v>
      </c>
      <c r="C1165" s="124">
        <v>11</v>
      </c>
      <c r="D1165" s="237" t="s">
        <v>835</v>
      </c>
    </row>
    <row r="1166" spans="1:4">
      <c r="A1166" s="170">
        <f>_xlfn.XLOOKUP(B1166 &amp; "-" &amp; TEXT(C1166,"00"),改定!N:N,改定!E:E)</f>
        <v>55660</v>
      </c>
      <c r="B1166" s="119" t="s">
        <v>1019</v>
      </c>
      <c r="C1166" s="124">
        <v>11</v>
      </c>
      <c r="D1166" s="237" t="s">
        <v>998</v>
      </c>
    </row>
    <row r="1167" spans="1:4">
      <c r="A1167" s="170">
        <f>_xlfn.XLOOKUP(B1167 &amp; "-" &amp; TEXT(C1167,"00"),改定!N:N,改定!E:E)</f>
        <v>55660</v>
      </c>
      <c r="B1167" s="119" t="s">
        <v>1019</v>
      </c>
      <c r="C1167" s="124">
        <v>11</v>
      </c>
      <c r="D1167" s="237" t="s">
        <v>892</v>
      </c>
    </row>
    <row r="1168" spans="1:4">
      <c r="A1168" s="170">
        <f>_xlfn.XLOOKUP(B1168 &amp; "-" &amp; TEXT(C1168,"00"),改定!N:N,改定!E:E)</f>
        <v>55660</v>
      </c>
      <c r="B1168" s="119" t="s">
        <v>1019</v>
      </c>
      <c r="C1168" s="124">
        <v>11</v>
      </c>
      <c r="D1168" s="237" t="s">
        <v>215</v>
      </c>
    </row>
    <row r="1169" spans="1:8">
      <c r="A1169" s="170">
        <f>_xlfn.XLOOKUP(B1169 &amp; "-" &amp; TEXT(C1169,"00"),改定!N:N,改定!E:E)</f>
        <v>55660</v>
      </c>
      <c r="B1169" s="119" t="s">
        <v>1019</v>
      </c>
      <c r="C1169" s="124">
        <v>11</v>
      </c>
      <c r="D1169" s="237" t="s">
        <v>866</v>
      </c>
    </row>
    <row r="1170" spans="1:8">
      <c r="A1170" s="170">
        <f>_xlfn.XLOOKUP(B1170 &amp; "-" &amp; TEXT(C1170,"00"),改定!N:N,改定!E:E)</f>
        <v>55660</v>
      </c>
      <c r="B1170" s="119" t="s">
        <v>1019</v>
      </c>
      <c r="C1170" s="124">
        <v>11</v>
      </c>
      <c r="D1170" s="237" t="s">
        <v>894</v>
      </c>
    </row>
    <row r="1171" spans="1:8">
      <c r="A1171" s="170">
        <f>_xlfn.XLOOKUP(B1171 &amp; "-" &amp; TEXT(C1171,"00"),改定!N:N,改定!E:E)</f>
        <v>55660</v>
      </c>
      <c r="B1171" s="119" t="s">
        <v>1019</v>
      </c>
      <c r="C1171" s="124">
        <v>11</v>
      </c>
      <c r="D1171" s="237" t="s">
        <v>225</v>
      </c>
    </row>
    <row r="1172" spans="1:8">
      <c r="A1172" s="170">
        <f>_xlfn.XLOOKUP(B1172 &amp; "-" &amp; TEXT(C1172,"00"),改定!N:N,改定!E:E)</f>
        <v>55660</v>
      </c>
      <c r="B1172" s="119" t="s">
        <v>1019</v>
      </c>
      <c r="C1172" s="124">
        <v>11</v>
      </c>
      <c r="D1172" s="237" t="s">
        <v>873</v>
      </c>
    </row>
    <row r="1173" spans="1:8">
      <c r="A1173" s="170">
        <f>_xlfn.XLOOKUP(B1173 &amp; "-" &amp; TEXT(C1173,"00"),改定!N:N,改定!E:E)</f>
        <v>55660</v>
      </c>
      <c r="B1173" s="119" t="s">
        <v>1019</v>
      </c>
      <c r="C1173" s="124">
        <v>11</v>
      </c>
      <c r="D1173" s="237" t="s">
        <v>901</v>
      </c>
    </row>
    <row r="1174" spans="1:8">
      <c r="A1174" s="170">
        <f>_xlfn.XLOOKUP(B1174 &amp; "-" &amp; TEXT(C1174,"00"),改定!N:N,改定!E:E)</f>
        <v>55660</v>
      </c>
      <c r="B1174" s="119" t="s">
        <v>1019</v>
      </c>
      <c r="C1174" s="124">
        <v>11</v>
      </c>
      <c r="D1174" s="237" t="s">
        <v>875</v>
      </c>
    </row>
    <row r="1175" spans="1:8">
      <c r="A1175" s="170">
        <f>_xlfn.XLOOKUP(B1175 &amp; "-" &amp; TEXT(C1175,"00"),改定!N:N,改定!E:E)</f>
        <v>55674</v>
      </c>
      <c r="B1175" s="119" t="s">
        <v>198</v>
      </c>
      <c r="C1175" s="124">
        <v>9</v>
      </c>
      <c r="D1175" s="234" t="s">
        <v>1138</v>
      </c>
    </row>
    <row r="1176" spans="1:8">
      <c r="A1176" s="170">
        <f>_xlfn.XLOOKUP(B1176 &amp; "-" &amp; TEXT(C1176,"00"),改定!N:N,改定!E:E)</f>
        <v>55674</v>
      </c>
      <c r="B1176" s="119" t="s">
        <v>198</v>
      </c>
      <c r="C1176" s="124">
        <v>9</v>
      </c>
      <c r="D1176" s="234" t="s">
        <v>1139</v>
      </c>
      <c r="E1176" s="249">
        <v>34</v>
      </c>
      <c r="F1176" s="249">
        <v>34</v>
      </c>
    </row>
    <row r="1177" spans="1:8">
      <c r="A1177" s="170">
        <f>_xlfn.XLOOKUP(B1177 &amp; "-" &amp; TEXT(C1177,"00"),改定!N:N,改定!E:E)</f>
        <v>55857</v>
      </c>
      <c r="B1177" s="119" t="s">
        <v>39</v>
      </c>
      <c r="C1177" s="124">
        <v>6</v>
      </c>
      <c r="D1177" s="234" t="s">
        <v>1136</v>
      </c>
      <c r="E1177" s="249">
        <v>2106</v>
      </c>
      <c r="F1177" s="249">
        <v>2105</v>
      </c>
    </row>
    <row r="1178" spans="1:8">
      <c r="A1178" s="170">
        <f>_xlfn.XLOOKUP(B1178 &amp; "-" &amp; TEXT(C1178,"00"),改定!N:N,改定!E:E)</f>
        <v>55898</v>
      </c>
      <c r="B1178" s="119" t="s">
        <v>235</v>
      </c>
      <c r="C1178" s="124">
        <v>3</v>
      </c>
      <c r="D1178" s="234" t="s">
        <v>1187</v>
      </c>
    </row>
    <row r="1179" spans="1:8">
      <c r="A1179" s="170">
        <f>_xlfn.XLOOKUP(B1179 &amp; "-" &amp; TEXT(C1179,"00"),改定!N:N,改定!E:E)</f>
        <v>55979</v>
      </c>
      <c r="B1179" s="119" t="s">
        <v>235</v>
      </c>
      <c r="C1179" s="124">
        <v>4</v>
      </c>
      <c r="D1179" s="234" t="s">
        <v>1187</v>
      </c>
      <c r="E1179" s="249">
        <v>5</v>
      </c>
      <c r="F1179" s="249">
        <v>5</v>
      </c>
    </row>
    <row r="1180" spans="1:8">
      <c r="A1180" s="170">
        <f>_xlfn.XLOOKUP(B1180 &amp; "-" &amp; TEXT(C1180,"00"),改定!N:N,改定!E:E)</f>
        <v>55994</v>
      </c>
      <c r="B1180" s="119" t="s">
        <v>198</v>
      </c>
      <c r="C1180" s="124">
        <v>10</v>
      </c>
      <c r="D1180" s="234" t="s">
        <v>1193</v>
      </c>
    </row>
    <row r="1181" spans="1:8">
      <c r="A1181" s="170">
        <f>_xlfn.XLOOKUP(B1181 &amp; "-" &amp; TEXT(C1181,"00"),改定!N:N,改定!E:E)</f>
        <v>55994</v>
      </c>
      <c r="B1181" s="119" t="s">
        <v>198</v>
      </c>
      <c r="C1181" s="124">
        <v>10</v>
      </c>
      <c r="D1181" s="234" t="s">
        <v>1139</v>
      </c>
      <c r="E1181" s="249">
        <v>45</v>
      </c>
      <c r="F1181" s="249">
        <v>45</v>
      </c>
    </row>
    <row r="1182" spans="1:8" ht="40.5" customHeight="1">
      <c r="A1182" s="170">
        <f>_xlfn.XLOOKUP(B1182 &amp; "-" &amp; TEXT(C1182,"00"),改定!N:N,改定!E:E)</f>
        <v>56013</v>
      </c>
      <c r="B1182" s="119" t="s">
        <v>235</v>
      </c>
      <c r="C1182" s="124">
        <v>5</v>
      </c>
      <c r="D1182" s="234" t="s">
        <v>1161</v>
      </c>
      <c r="E1182" s="249">
        <v>116</v>
      </c>
      <c r="F1182" s="249">
        <v>116</v>
      </c>
      <c r="H1182" s="191" t="s">
        <v>1194</v>
      </c>
    </row>
    <row r="1183" spans="1:8">
      <c r="A1183" s="170">
        <f>_xlfn.XLOOKUP(B1183 &amp; "-" &amp; TEXT(C1183,"00"),改定!N:N,改定!E:E)</f>
        <v>56013</v>
      </c>
      <c r="B1183" s="119" t="s">
        <v>236</v>
      </c>
      <c r="C1183" s="124">
        <v>0</v>
      </c>
      <c r="D1183" s="234" t="s">
        <v>1161</v>
      </c>
      <c r="E1183" s="249">
        <v>116</v>
      </c>
      <c r="F1183" s="249">
        <v>116</v>
      </c>
      <c r="H1183" s="191"/>
    </row>
    <row r="1184" spans="1:8">
      <c r="A1184" s="170">
        <f>_xlfn.XLOOKUP(B1184 &amp; "-" &amp; TEXT(C1184,"00"),改定!N:N,改定!E:E)</f>
        <v>56036</v>
      </c>
      <c r="B1184" s="120" t="s">
        <v>204</v>
      </c>
      <c r="C1184" s="124">
        <v>6</v>
      </c>
      <c r="D1184" s="234" t="s">
        <v>1143</v>
      </c>
    </row>
    <row r="1185" spans="1:8">
      <c r="A1185" s="170">
        <f>_xlfn.XLOOKUP(B1185 &amp; "-" &amp; TEXT(C1185,"00"),改定!N:N,改定!E:E)</f>
        <v>56036</v>
      </c>
      <c r="B1185" s="120" t="s">
        <v>204</v>
      </c>
      <c r="C1185" s="124">
        <v>6</v>
      </c>
      <c r="D1185" s="234" t="s">
        <v>1195</v>
      </c>
    </row>
    <row r="1186" spans="1:8">
      <c r="A1186" s="170">
        <f>_xlfn.XLOOKUP(B1186 &amp; "-" &amp; TEXT(C1186,"00"),改定!N:N,改定!E:E)</f>
        <v>56128</v>
      </c>
      <c r="B1186" s="119" t="s">
        <v>243</v>
      </c>
      <c r="C1186" s="124">
        <v>3</v>
      </c>
      <c r="D1186" s="234" t="s">
        <v>1160</v>
      </c>
      <c r="E1186" s="249">
        <v>6</v>
      </c>
      <c r="F1186" s="249">
        <v>6</v>
      </c>
    </row>
    <row r="1187" spans="1:8">
      <c r="A1187" s="170">
        <f>_xlfn.XLOOKUP(B1187 &amp; "-" &amp; TEXT(C1187,"00"),改定!N:N,改定!E:E)</f>
        <v>56128</v>
      </c>
      <c r="B1187" s="119" t="s">
        <v>243</v>
      </c>
      <c r="C1187" s="124">
        <v>3</v>
      </c>
      <c r="D1187" s="234" t="s">
        <v>1161</v>
      </c>
      <c r="E1187" s="249">
        <v>146</v>
      </c>
      <c r="F1187" s="249">
        <v>146</v>
      </c>
    </row>
    <row r="1188" spans="1:8">
      <c r="A1188" s="170">
        <f>_xlfn.XLOOKUP(B1188 &amp; "-" &amp; TEXT(C1188,"00"),改定!N:N,改定!E:E)</f>
        <v>56440</v>
      </c>
      <c r="B1188" s="119" t="s">
        <v>235</v>
      </c>
      <c r="C1188" s="124">
        <v>6</v>
      </c>
      <c r="D1188" s="234" t="s">
        <v>1187</v>
      </c>
      <c r="E1188" s="249">
        <v>274</v>
      </c>
      <c r="F1188" s="249">
        <v>274</v>
      </c>
      <c r="H1188" s="191" t="s">
        <v>1194</v>
      </c>
    </row>
    <row r="1189" spans="1:8">
      <c r="A1189" s="170">
        <f>_xlfn.XLOOKUP(B1189 &amp; "-" &amp; TEXT(C1189,"00"),改定!N:N,改定!E:E)</f>
        <v>56440</v>
      </c>
      <c r="B1189" s="119" t="s">
        <v>236</v>
      </c>
      <c r="C1189" s="124">
        <v>1</v>
      </c>
      <c r="D1189" s="234" t="s">
        <v>1161</v>
      </c>
      <c r="E1189" s="249">
        <v>274</v>
      </c>
      <c r="F1189" s="249">
        <v>274</v>
      </c>
      <c r="H1189" s="191"/>
    </row>
    <row r="1190" spans="1:8" ht="27">
      <c r="A1190" s="170">
        <f>_xlfn.XLOOKUP(B1190 &amp; "-" &amp; TEXT(C1190,"00"),改定!N:N,改定!E:E)</f>
        <v>56577</v>
      </c>
      <c r="B1190" s="119" t="s">
        <v>19</v>
      </c>
      <c r="C1190" s="124">
        <v>12</v>
      </c>
      <c r="D1190" s="237" t="s">
        <v>895</v>
      </c>
      <c r="E1190" s="249">
        <v>10764</v>
      </c>
      <c r="F1190" s="249">
        <v>10790</v>
      </c>
      <c r="H1190" s="150" t="s">
        <v>1196</v>
      </c>
    </row>
    <row r="1191" spans="1:8">
      <c r="A1191" s="170">
        <f>_xlfn.XLOOKUP(B1191 &amp; "-" &amp; TEXT(C1191,"00"),改定!N:N,改定!E:E)</f>
        <v>56577</v>
      </c>
      <c r="B1191" s="119" t="s">
        <v>19</v>
      </c>
      <c r="C1191" s="124">
        <v>12</v>
      </c>
      <c r="D1191" s="237" t="s">
        <v>870</v>
      </c>
    </row>
    <row r="1192" spans="1:8">
      <c r="A1192" s="170">
        <f>_xlfn.XLOOKUP(B1192 &amp; "-" &amp; TEXT(C1192,"00"),改定!N:N,改定!E:E)</f>
        <v>56577</v>
      </c>
      <c r="B1192" s="119" t="s">
        <v>1018</v>
      </c>
      <c r="C1192" s="124">
        <v>12</v>
      </c>
      <c r="D1192" s="237" t="s">
        <v>831</v>
      </c>
      <c r="E1192" s="249">
        <v>11375</v>
      </c>
      <c r="F1192" s="249">
        <v>11375</v>
      </c>
    </row>
    <row r="1193" spans="1:8">
      <c r="A1193" s="170">
        <f>_xlfn.XLOOKUP(B1193 &amp; "-" &amp; TEXT(C1193,"00"),改定!N:N,改定!E:E)</f>
        <v>56577</v>
      </c>
      <c r="B1193" s="119" t="s">
        <v>1018</v>
      </c>
      <c r="C1193" s="124">
        <v>12</v>
      </c>
      <c r="D1193" s="237" t="s">
        <v>887</v>
      </c>
      <c r="E1193" s="249">
        <v>5858</v>
      </c>
      <c r="F1193" s="249">
        <v>5858</v>
      </c>
    </row>
    <row r="1194" spans="1:8">
      <c r="A1194" s="170">
        <f>_xlfn.XLOOKUP(B1194 &amp; "-" &amp; TEXT(C1194,"00"),改定!N:N,改定!E:E)</f>
        <v>56577</v>
      </c>
      <c r="B1194" s="119" t="s">
        <v>1018</v>
      </c>
      <c r="C1194" s="124">
        <v>12</v>
      </c>
      <c r="D1194" s="237" t="s">
        <v>832</v>
      </c>
      <c r="E1194" s="249">
        <v>9284</v>
      </c>
      <c r="F1194" s="249">
        <v>9284</v>
      </c>
    </row>
    <row r="1195" spans="1:8">
      <c r="A1195" s="170">
        <f>_xlfn.XLOOKUP(B1195 &amp; "-" &amp; TEXT(C1195,"00"),改定!N:N,改定!E:E)</f>
        <v>56577</v>
      </c>
      <c r="B1195" s="119" t="s">
        <v>1018</v>
      </c>
      <c r="C1195" s="124">
        <v>12</v>
      </c>
      <c r="D1195" s="237" t="s">
        <v>810</v>
      </c>
    </row>
    <row r="1196" spans="1:8">
      <c r="A1196" s="170">
        <f>_xlfn.XLOOKUP(B1196 &amp; "-" &amp; TEXT(C1196,"00"),改定!N:N,改定!E:E)</f>
        <v>56577</v>
      </c>
      <c r="B1196" s="119" t="s">
        <v>1018</v>
      </c>
      <c r="C1196" s="124">
        <v>12</v>
      </c>
      <c r="D1196" s="237" t="s">
        <v>860</v>
      </c>
      <c r="E1196" s="249">
        <v>5025</v>
      </c>
      <c r="F1196" s="249">
        <v>5025</v>
      </c>
    </row>
    <row r="1197" spans="1:8">
      <c r="A1197" s="170">
        <f>_xlfn.XLOOKUP(B1197 &amp; "-" &amp; TEXT(C1197,"00"),改定!N:N,改定!E:E)</f>
        <v>56577</v>
      </c>
      <c r="B1197" s="119" t="s">
        <v>1018</v>
      </c>
      <c r="C1197" s="124">
        <v>12</v>
      </c>
      <c r="D1197" s="237" t="s">
        <v>861</v>
      </c>
      <c r="E1197" s="249">
        <v>2294</v>
      </c>
      <c r="F1197" s="249">
        <v>2294</v>
      </c>
    </row>
    <row r="1198" spans="1:8">
      <c r="A1198" s="170">
        <f>_xlfn.XLOOKUP(B1198 &amp; "-" &amp; TEXT(C1198,"00"),改定!N:N,改定!E:E)</f>
        <v>56577</v>
      </c>
      <c r="B1198" s="119" t="s">
        <v>1018</v>
      </c>
      <c r="C1198" s="124">
        <v>12</v>
      </c>
      <c r="D1198" s="237" t="s">
        <v>27</v>
      </c>
    </row>
    <row r="1199" spans="1:8" ht="27">
      <c r="A1199" s="170">
        <f>_xlfn.XLOOKUP(B1199 &amp; "-" &amp; TEXT(C1199,"00"),改定!N:N,改定!E:E)</f>
        <v>56577</v>
      </c>
      <c r="B1199" s="119" t="s">
        <v>1018</v>
      </c>
      <c r="C1199" s="124">
        <v>12</v>
      </c>
      <c r="D1199" s="237" t="s">
        <v>835</v>
      </c>
      <c r="E1199" s="249">
        <v>9356</v>
      </c>
      <c r="F1199" s="249">
        <v>9356</v>
      </c>
      <c r="H1199" s="150" t="s">
        <v>1196</v>
      </c>
    </row>
    <row r="1200" spans="1:8">
      <c r="A1200" s="170">
        <f>_xlfn.XLOOKUP(B1200 &amp; "-" &amp; TEXT(C1200,"00"),改定!N:N,改定!E:E)</f>
        <v>56577</v>
      </c>
      <c r="B1200" s="119" t="s">
        <v>1018</v>
      </c>
      <c r="C1200" s="124">
        <v>12</v>
      </c>
      <c r="D1200" s="237" t="s">
        <v>856</v>
      </c>
      <c r="E1200" s="249">
        <v>2878</v>
      </c>
      <c r="F1200" s="249">
        <v>2879</v>
      </c>
    </row>
    <row r="1201" spans="1:8">
      <c r="A1201" s="170">
        <f>_xlfn.XLOOKUP(B1201 &amp; "-" &amp; TEXT(C1201,"00"),改定!N:N,改定!E:E)</f>
        <v>56577</v>
      </c>
      <c r="B1201" s="119" t="s">
        <v>1018</v>
      </c>
      <c r="C1201" s="124">
        <v>12</v>
      </c>
      <c r="D1201" s="237" t="s">
        <v>892</v>
      </c>
    </row>
    <row r="1202" spans="1:8">
      <c r="A1202" s="170">
        <f>_xlfn.XLOOKUP(B1202 &amp; "-" &amp; TEXT(C1202,"00"),改定!N:N,改定!E:E)</f>
        <v>56577</v>
      </c>
      <c r="B1202" s="119" t="s">
        <v>1018</v>
      </c>
      <c r="C1202" s="124">
        <v>12</v>
      </c>
      <c r="D1202" s="237" t="s">
        <v>542</v>
      </c>
    </row>
    <row r="1203" spans="1:8">
      <c r="A1203" s="170">
        <f>_xlfn.XLOOKUP(B1203 &amp; "-" &amp; TEXT(C1203,"00"),改定!N:N,改定!E:E)</f>
        <v>56577</v>
      </c>
      <c r="B1203" s="119" t="s">
        <v>1018</v>
      </c>
      <c r="C1203" s="124">
        <v>12</v>
      </c>
      <c r="D1203" s="237" t="s">
        <v>992</v>
      </c>
    </row>
    <row r="1204" spans="1:8">
      <c r="A1204" s="170">
        <f>_xlfn.XLOOKUP(B1204 &amp; "-" &amp; TEXT(C1204,"00"),改定!N:N,改定!E:E)</f>
        <v>56577</v>
      </c>
      <c r="B1204" s="119" t="s">
        <v>1018</v>
      </c>
      <c r="C1204" s="124">
        <v>12</v>
      </c>
      <c r="D1204" s="237" t="s">
        <v>225</v>
      </c>
    </row>
    <row r="1205" spans="1:8" ht="27">
      <c r="A1205" s="170">
        <f>_xlfn.XLOOKUP(B1205 &amp; "-" &amp; TEXT(C1205,"00"),改定!N:N,改定!E:E)</f>
        <v>56577</v>
      </c>
      <c r="B1205" s="119" t="s">
        <v>21</v>
      </c>
      <c r="C1205" s="124">
        <v>12</v>
      </c>
      <c r="D1205" s="245" t="s">
        <v>510</v>
      </c>
      <c r="E1205" s="249">
        <v>10764</v>
      </c>
      <c r="F1205" s="249">
        <v>10790</v>
      </c>
      <c r="H1205" s="150" t="s">
        <v>1196</v>
      </c>
    </row>
    <row r="1206" spans="1:8">
      <c r="A1206" s="170">
        <f>_xlfn.XLOOKUP(B1206 &amp; "-" &amp; TEXT(C1206,"00"),改定!N:N,改定!E:E)</f>
        <v>56577</v>
      </c>
      <c r="B1206" s="119" t="s">
        <v>21</v>
      </c>
      <c r="C1206" s="124">
        <v>12</v>
      </c>
      <c r="D1206" s="237" t="s">
        <v>946</v>
      </c>
    </row>
    <row r="1207" spans="1:8">
      <c r="A1207" s="170">
        <f>_xlfn.XLOOKUP(B1207 &amp; "-" &amp; TEXT(C1207,"00"),改定!N:N,改定!E:E)</f>
        <v>56577</v>
      </c>
      <c r="B1207" s="119" t="s">
        <v>1019</v>
      </c>
      <c r="C1207" s="124">
        <v>12</v>
      </c>
      <c r="D1207" s="237" t="s">
        <v>869</v>
      </c>
      <c r="E1207" s="249">
        <v>8225</v>
      </c>
      <c r="F1207" s="249">
        <v>8250</v>
      </c>
    </row>
    <row r="1208" spans="1:8" ht="27">
      <c r="A1208" s="170">
        <f>_xlfn.XLOOKUP(B1208 &amp; "-" &amp; TEXT(C1208,"00"),改定!N:N,改定!E:E)</f>
        <v>56577</v>
      </c>
      <c r="B1208" s="119" t="s">
        <v>1019</v>
      </c>
      <c r="C1208" s="124">
        <v>12</v>
      </c>
      <c r="D1208" s="237" t="s">
        <v>835</v>
      </c>
      <c r="E1208" s="249">
        <v>9356</v>
      </c>
      <c r="F1208" s="249">
        <v>9356</v>
      </c>
      <c r="H1208" s="150" t="s">
        <v>1196</v>
      </c>
    </row>
    <row r="1209" spans="1:8">
      <c r="A1209" s="170">
        <f>_xlfn.XLOOKUP(B1209 &amp; "-" &amp; TEXT(C1209,"00"),改定!N:N,改定!E:E)</f>
        <v>56577</v>
      </c>
      <c r="B1209" s="119" t="s">
        <v>1019</v>
      </c>
      <c r="C1209" s="124">
        <v>12</v>
      </c>
      <c r="D1209" s="237" t="s">
        <v>998</v>
      </c>
    </row>
    <row r="1210" spans="1:8">
      <c r="A1210" s="170">
        <f>_xlfn.XLOOKUP(B1210 &amp; "-" &amp; TEXT(C1210,"00"),改定!N:N,改定!E:E)</f>
        <v>56577</v>
      </c>
      <c r="B1210" s="119" t="s">
        <v>1019</v>
      </c>
      <c r="C1210" s="124">
        <v>12</v>
      </c>
      <c r="D1210" s="237" t="s">
        <v>892</v>
      </c>
    </row>
    <row r="1211" spans="1:8">
      <c r="A1211" s="170">
        <f>_xlfn.XLOOKUP(B1211 &amp; "-" &amp; TEXT(C1211,"00"),改定!N:N,改定!E:E)</f>
        <v>60031</v>
      </c>
      <c r="B1211" s="119" t="s">
        <v>75</v>
      </c>
      <c r="C1211" s="124">
        <v>7</v>
      </c>
      <c r="D1211" s="234" t="s">
        <v>1154</v>
      </c>
    </row>
    <row r="1212" spans="1:8">
      <c r="A1212" s="170">
        <f>_xlfn.XLOOKUP(B1212 &amp; "-" &amp; TEXT(C1212,"00"),改定!N:N,改定!E:E)</f>
        <v>60031</v>
      </c>
      <c r="B1212" s="119" t="s">
        <v>75</v>
      </c>
      <c r="C1212" s="124">
        <v>7</v>
      </c>
      <c r="D1212" s="234" t="s">
        <v>1155</v>
      </c>
    </row>
    <row r="1213" spans="1:8">
      <c r="A1213" s="170">
        <f>_xlfn.XLOOKUP(B1213 &amp; "-" &amp; TEXT(C1213,"00"),改定!N:N,改定!E:E)</f>
        <v>60031</v>
      </c>
      <c r="B1213" s="120" t="s">
        <v>128</v>
      </c>
      <c r="C1213" s="124">
        <v>7</v>
      </c>
      <c r="D1213" s="234" t="s">
        <v>1197</v>
      </c>
      <c r="E1213" s="249">
        <v>1344</v>
      </c>
      <c r="F1213" s="249">
        <v>1344</v>
      </c>
    </row>
    <row r="1214" spans="1:8">
      <c r="A1214" s="170">
        <f>_xlfn.XLOOKUP(B1214 &amp; "-" &amp; TEXT(C1214,"00"),改定!N:N,改定!E:E)</f>
        <v>60031</v>
      </c>
      <c r="B1214" s="120" t="s">
        <v>128</v>
      </c>
      <c r="C1214" s="124">
        <v>7</v>
      </c>
      <c r="D1214" s="234" t="s">
        <v>1198</v>
      </c>
      <c r="E1214" s="249">
        <v>1234</v>
      </c>
      <c r="F1214" s="249">
        <v>1234</v>
      </c>
    </row>
    <row r="1215" spans="1:8">
      <c r="A1215" s="170">
        <f>_xlfn.XLOOKUP(B1215 &amp; "-" &amp; TEXT(C1215,"00"),改定!N:N,改定!E:E)</f>
        <v>60031</v>
      </c>
      <c r="B1215" s="120" t="s">
        <v>128</v>
      </c>
      <c r="C1215" s="124">
        <v>7</v>
      </c>
      <c r="D1215" s="234" t="s">
        <v>1199</v>
      </c>
      <c r="E1215" s="249">
        <v>756</v>
      </c>
      <c r="F1215" s="249">
        <v>756</v>
      </c>
    </row>
    <row r="1216" spans="1:8">
      <c r="A1216" s="170">
        <f>_xlfn.XLOOKUP(B1216 &amp; "-" &amp; TEXT(C1216,"00"),改定!N:N,改定!E:E)</f>
        <v>60031</v>
      </c>
      <c r="B1216" s="120" t="s">
        <v>128</v>
      </c>
      <c r="C1216" s="124">
        <v>7</v>
      </c>
      <c r="D1216" s="234" t="s">
        <v>1200</v>
      </c>
      <c r="E1216" s="249">
        <v>1624</v>
      </c>
      <c r="F1216" s="249">
        <v>1624</v>
      </c>
    </row>
    <row r="1217" spans="1:8">
      <c r="A1217" s="170">
        <f>_xlfn.XLOOKUP(B1217 &amp; "-" &amp; TEXT(C1217,"00"),改定!N:N,改定!E:E)</f>
        <v>60238</v>
      </c>
      <c r="B1217" s="119" t="s">
        <v>198</v>
      </c>
      <c r="C1217" s="124">
        <v>11</v>
      </c>
      <c r="D1217" s="234" t="s">
        <v>1138</v>
      </c>
      <c r="E1217" s="249">
        <v>1369</v>
      </c>
      <c r="F1217" s="249">
        <v>1369</v>
      </c>
    </row>
    <row r="1218" spans="1:8">
      <c r="A1218" s="170">
        <f>_xlfn.XLOOKUP(B1218 &amp; "-" &amp; TEXT(C1218,"00"),改定!N:N,改定!E:E)</f>
        <v>60238</v>
      </c>
      <c r="B1218" s="119" t="s">
        <v>198</v>
      </c>
      <c r="C1218" s="124">
        <v>11</v>
      </c>
      <c r="D1218" s="234" t="s">
        <v>1153</v>
      </c>
      <c r="E1218" s="249">
        <v>587</v>
      </c>
      <c r="F1218" s="249">
        <v>577</v>
      </c>
    </row>
    <row r="1219" spans="1:8">
      <c r="A1219" s="170">
        <f>_xlfn.XLOOKUP(B1219 &amp; "-" &amp; TEXT(C1219,"00"),改定!N:N,改定!E:E)</f>
        <v>60239</v>
      </c>
      <c r="B1219" s="119" t="s">
        <v>39</v>
      </c>
      <c r="C1219" s="124">
        <v>7</v>
      </c>
      <c r="D1219" s="234" t="s">
        <v>1136</v>
      </c>
      <c r="E1219" s="249">
        <v>2682</v>
      </c>
      <c r="F1219" s="249">
        <v>2682</v>
      </c>
    </row>
    <row r="1220" spans="1:8">
      <c r="A1220" s="170">
        <f>_xlfn.XLOOKUP(B1220 &amp; "-" &amp; TEXT(C1220,"00"),改定!N:N,改定!E:E)</f>
        <v>60245</v>
      </c>
      <c r="B1220" s="119" t="s">
        <v>235</v>
      </c>
      <c r="C1220" s="124">
        <v>7</v>
      </c>
      <c r="D1220" s="234" t="s">
        <v>1161</v>
      </c>
      <c r="E1220" s="249">
        <v>505</v>
      </c>
      <c r="F1220" s="249">
        <v>505</v>
      </c>
      <c r="H1220" s="191" t="s">
        <v>1194</v>
      </c>
    </row>
    <row r="1221" spans="1:8">
      <c r="A1221" s="170">
        <f>_xlfn.XLOOKUP(B1221 &amp; "-" &amp; TEXT(C1221,"00"),改定!N:N,改定!E:E)</f>
        <v>60245</v>
      </c>
      <c r="B1221" s="119" t="s">
        <v>236</v>
      </c>
      <c r="C1221" s="124">
        <v>2</v>
      </c>
      <c r="D1221" s="234" t="s">
        <v>1187</v>
      </c>
      <c r="E1221" s="249">
        <v>505</v>
      </c>
      <c r="F1221" s="249">
        <v>505</v>
      </c>
      <c r="H1221" s="191"/>
    </row>
    <row r="1222" spans="1:8">
      <c r="A1222" s="170">
        <f>_xlfn.XLOOKUP(B1222 &amp; "-" &amp; TEXT(C1222,"00"),改定!N:N,改定!E:E)</f>
        <v>60282</v>
      </c>
      <c r="B1222" s="119" t="s">
        <v>246</v>
      </c>
      <c r="C1222" s="124">
        <v>1</v>
      </c>
      <c r="D1222" s="234" t="s">
        <v>1188</v>
      </c>
      <c r="E1222" s="249">
        <v>6</v>
      </c>
      <c r="F1222" s="249">
        <v>6</v>
      </c>
      <c r="G1222" s="121" t="s">
        <v>1176</v>
      </c>
      <c r="H1222" s="191" t="s">
        <v>1201</v>
      </c>
    </row>
    <row r="1223" spans="1:8">
      <c r="A1223" s="170">
        <f>_xlfn.XLOOKUP(B1223 &amp; "-" &amp; TEXT(C1223,"00"),改定!N:N,改定!E:E)</f>
        <v>60282</v>
      </c>
      <c r="B1223" s="119" t="s">
        <v>247</v>
      </c>
      <c r="C1223" s="124">
        <v>1</v>
      </c>
      <c r="D1223" s="234" t="s">
        <v>1188</v>
      </c>
      <c r="E1223" s="249">
        <v>6</v>
      </c>
      <c r="F1223" s="249">
        <v>6</v>
      </c>
      <c r="G1223" s="121" t="s">
        <v>1176</v>
      </c>
      <c r="H1223" s="191"/>
    </row>
    <row r="1224" spans="1:8">
      <c r="A1224" s="170">
        <f>_xlfn.XLOOKUP(B1224 &amp; "-" &amp; TEXT(C1224,"00"),改定!N:N,改定!E:E)</f>
        <v>60286</v>
      </c>
      <c r="B1224" s="119" t="s">
        <v>247</v>
      </c>
      <c r="C1224" s="124">
        <v>0</v>
      </c>
      <c r="D1224" s="234" t="s">
        <v>1160</v>
      </c>
      <c r="E1224" s="249">
        <v>6</v>
      </c>
      <c r="F1224" s="249">
        <v>6</v>
      </c>
    </row>
    <row r="1225" spans="1:8">
      <c r="A1225" s="170">
        <f>_xlfn.XLOOKUP(B1225 &amp; "-" &amp; TEXT(C1225,"00"),改定!N:N,改定!E:E)</f>
        <v>60495</v>
      </c>
      <c r="B1225" s="119" t="s">
        <v>235</v>
      </c>
      <c r="C1225" s="124">
        <v>8</v>
      </c>
      <c r="D1225" s="234" t="s">
        <v>1187</v>
      </c>
      <c r="H1225" s="190" t="s">
        <v>1202</v>
      </c>
    </row>
    <row r="1226" spans="1:8">
      <c r="A1226" s="170">
        <f>_xlfn.XLOOKUP(B1226 &amp; "-" &amp; TEXT(C1226,"00"),改定!N:N,改定!E:E)</f>
        <v>60495</v>
      </c>
      <c r="B1226" s="119" t="s">
        <v>236</v>
      </c>
      <c r="C1226" s="124">
        <v>3</v>
      </c>
      <c r="D1226" s="234" t="s">
        <v>1187</v>
      </c>
      <c r="H1226" s="190"/>
    </row>
    <row r="1227" spans="1:8">
      <c r="A1227" s="170">
        <f>_xlfn.XLOOKUP(B1227 &amp; "-" &amp; TEXT(C1227,"00"),改定!N:N,改定!E:E)</f>
        <v>60495</v>
      </c>
      <c r="B1227" s="119" t="s">
        <v>242</v>
      </c>
      <c r="C1227" s="124">
        <v>2</v>
      </c>
      <c r="D1227" s="234" t="s">
        <v>1161</v>
      </c>
      <c r="H1227" s="190"/>
    </row>
    <row r="1228" spans="1:8">
      <c r="A1228" s="170">
        <f>_xlfn.XLOOKUP(B1228 &amp; "-" &amp; TEXT(C1228,"00"),改定!N:N,改定!E:E)</f>
        <v>60495</v>
      </c>
      <c r="B1228" s="119" t="s">
        <v>242</v>
      </c>
      <c r="C1228" s="124">
        <v>2</v>
      </c>
      <c r="D1228" s="234" t="s">
        <v>1160</v>
      </c>
      <c r="H1228" s="190"/>
    </row>
    <row r="1229" spans="1:8">
      <c r="A1229" s="170">
        <f>_xlfn.XLOOKUP(B1229 &amp; "-" &amp; TEXT(C1229,"00"),改定!N:N,改定!E:E)</f>
        <v>60495</v>
      </c>
      <c r="B1229" s="119" t="s">
        <v>243</v>
      </c>
      <c r="C1229" s="124">
        <v>4</v>
      </c>
      <c r="D1229" s="234" t="s">
        <v>1160</v>
      </c>
      <c r="H1229" s="190"/>
    </row>
    <row r="1230" spans="1:8">
      <c r="A1230" s="170">
        <f>_xlfn.XLOOKUP(B1230 &amp; "-" &amp; TEXT(C1230,"00"),改定!N:N,改定!E:E)</f>
        <v>60495</v>
      </c>
      <c r="B1230" s="119" t="s">
        <v>243</v>
      </c>
      <c r="C1230" s="124">
        <v>4</v>
      </c>
      <c r="D1230" s="234" t="s">
        <v>1161</v>
      </c>
      <c r="H1230" s="190"/>
    </row>
    <row r="1231" spans="1:8">
      <c r="A1231" s="170">
        <f>_xlfn.XLOOKUP(B1231 &amp; "-" &amp; TEXT(C1231,"00"),改定!N:N,改定!E:E)</f>
        <v>60584</v>
      </c>
      <c r="B1231" s="119" t="s">
        <v>216</v>
      </c>
      <c r="C1231" s="124">
        <v>6</v>
      </c>
      <c r="D1231" s="234" t="s">
        <v>1145</v>
      </c>
      <c r="E1231" s="249">
        <v>9497</v>
      </c>
      <c r="F1231" s="249">
        <v>9497</v>
      </c>
    </row>
    <row r="1232" spans="1:8">
      <c r="A1232" s="170">
        <f>_xlfn.XLOOKUP(B1232 &amp; "-" &amp; TEXT(C1232,"00"),改定!N:N,改定!E:E)</f>
        <v>60819</v>
      </c>
      <c r="B1232" s="119" t="s">
        <v>181</v>
      </c>
      <c r="C1232" s="124">
        <v>0</v>
      </c>
      <c r="D1232" s="234" t="s">
        <v>1137</v>
      </c>
      <c r="G1232" s="121" t="s">
        <v>1176</v>
      </c>
    </row>
    <row r="1233" spans="1:8">
      <c r="A1233" s="170">
        <f>_xlfn.XLOOKUP(B1233 &amp; "-" &amp; TEXT(C1233,"00"),改定!N:N,改定!E:E)</f>
        <v>61020</v>
      </c>
      <c r="B1233" s="119" t="s">
        <v>235</v>
      </c>
      <c r="C1233" s="124">
        <v>9</v>
      </c>
      <c r="D1233" s="234" t="s">
        <v>1187</v>
      </c>
    </row>
    <row r="1234" spans="1:8">
      <c r="A1234" s="170">
        <f>_xlfn.XLOOKUP(B1234 &amp; "-" &amp; TEXT(C1234,"00"),改定!N:N,改定!E:E)</f>
        <v>61020</v>
      </c>
      <c r="B1234" s="119" t="s">
        <v>236</v>
      </c>
      <c r="C1234" s="124">
        <v>4</v>
      </c>
      <c r="D1234" s="234" t="s">
        <v>1187</v>
      </c>
    </row>
    <row r="1235" spans="1:8">
      <c r="A1235" s="170">
        <f>_xlfn.XLOOKUP(B1235 &amp; "-" &amp; TEXT(C1235,"00"),改定!N:N,改定!E:E)</f>
        <v>61086</v>
      </c>
      <c r="B1235" s="120" t="s">
        <v>233</v>
      </c>
      <c r="C1235" s="124">
        <v>1</v>
      </c>
      <c r="D1235" s="234" t="s">
        <v>1203</v>
      </c>
      <c r="E1235" s="249">
        <v>6</v>
      </c>
      <c r="F1235" s="249">
        <v>6</v>
      </c>
      <c r="G1235" s="121" t="s">
        <v>1176</v>
      </c>
    </row>
    <row r="1236" spans="1:8">
      <c r="A1236" s="170" t="str">
        <f>_xlfn.XLOOKUP(B1236 &amp; "-" &amp; TEXT(C1236,"00"),改定!N:N,改定!E:E)</f>
        <v>61087</v>
      </c>
      <c r="B1236" s="119" t="s">
        <v>39</v>
      </c>
      <c r="C1236" s="124">
        <v>8</v>
      </c>
      <c r="D1236" s="234" t="s">
        <v>1136</v>
      </c>
      <c r="E1236" s="249">
        <v>2780</v>
      </c>
      <c r="F1236" s="249">
        <v>2780</v>
      </c>
    </row>
    <row r="1237" spans="1:8">
      <c r="A1237" s="170">
        <f>_xlfn.XLOOKUP(B1237 &amp; "-" &amp; TEXT(C1237,"00"),改定!N:N,改定!E:E)</f>
        <v>61179</v>
      </c>
      <c r="B1237" s="119" t="s">
        <v>198</v>
      </c>
      <c r="C1237" s="124">
        <v>12</v>
      </c>
      <c r="D1237" s="234" t="s">
        <v>1138</v>
      </c>
      <c r="E1237" s="249">
        <v>2040</v>
      </c>
      <c r="F1237" s="249">
        <v>2040</v>
      </c>
    </row>
    <row r="1238" spans="1:8">
      <c r="A1238" s="170">
        <f>_xlfn.XLOOKUP(B1238 &amp; "-" &amp; TEXT(C1238,"00"),改定!N:N,改定!E:E)</f>
        <v>61179</v>
      </c>
      <c r="B1238" s="119" t="s">
        <v>198</v>
      </c>
      <c r="C1238" s="124">
        <v>12</v>
      </c>
      <c r="D1238" s="234" t="s">
        <v>1153</v>
      </c>
      <c r="E1238" s="249">
        <v>1149</v>
      </c>
      <c r="F1238" s="249">
        <v>1149</v>
      </c>
    </row>
    <row r="1239" spans="1:8">
      <c r="A1239" s="170">
        <f>_xlfn.XLOOKUP(B1239 &amp; "-" &amp; TEXT(C1239,"00"),改定!N:N,改定!E:E)</f>
        <v>61179</v>
      </c>
      <c r="B1239" s="120" t="s">
        <v>233</v>
      </c>
      <c r="C1239" s="124">
        <v>2</v>
      </c>
      <c r="D1239" s="234" t="s">
        <v>1204</v>
      </c>
      <c r="E1239" s="249">
        <v>12</v>
      </c>
      <c r="F1239" s="249">
        <v>12</v>
      </c>
      <c r="G1239" s="121" t="s">
        <v>1176</v>
      </c>
    </row>
    <row r="1240" spans="1:8">
      <c r="A1240" s="170">
        <f>_xlfn.XLOOKUP(B1240 &amp; "-" &amp; TEXT(C1240,"00"),改定!N:N,改定!E:E)</f>
        <v>61312</v>
      </c>
      <c r="B1240" s="119" t="s">
        <v>41</v>
      </c>
      <c r="C1240" s="124">
        <v>0</v>
      </c>
      <c r="D1240" s="234" t="s">
        <v>1205</v>
      </c>
      <c r="E1240" s="249">
        <v>3112</v>
      </c>
      <c r="F1240" s="249">
        <v>3110</v>
      </c>
    </row>
    <row r="1241" spans="1:8">
      <c r="A1241" s="170">
        <f>_xlfn.XLOOKUP(B1241 &amp; "-" &amp; TEXT(C1241,"00"),改定!N:N,改定!E:E)</f>
        <v>61312</v>
      </c>
      <c r="B1241" s="120" t="s">
        <v>131</v>
      </c>
      <c r="C1241" s="124">
        <v>0</v>
      </c>
      <c r="D1241" s="234" t="s">
        <v>117</v>
      </c>
      <c r="E1241" s="249">
        <v>1414</v>
      </c>
      <c r="F1241" s="249">
        <v>1414</v>
      </c>
    </row>
    <row r="1242" spans="1:8">
      <c r="A1242" s="170">
        <f>_xlfn.XLOOKUP(B1242 &amp; "-" &amp; TEXT(C1242,"00"),改定!N:N,改定!E:E)</f>
        <v>61312</v>
      </c>
      <c r="B1242" s="120" t="s">
        <v>131</v>
      </c>
      <c r="C1242" s="124">
        <v>0</v>
      </c>
      <c r="D1242" s="234" t="s">
        <v>549</v>
      </c>
      <c r="E1242" s="249">
        <v>1358</v>
      </c>
      <c r="F1242" s="249">
        <v>1358</v>
      </c>
    </row>
    <row r="1243" spans="1:8">
      <c r="A1243" s="170">
        <f>_xlfn.XLOOKUP(B1243 &amp; "-" &amp; TEXT(C1243,"00"),改定!N:N,改定!E:E)</f>
        <v>61312</v>
      </c>
      <c r="B1243" s="120" t="s">
        <v>131</v>
      </c>
      <c r="C1243" s="124">
        <v>0</v>
      </c>
      <c r="D1243" s="234" t="s">
        <v>855</v>
      </c>
      <c r="E1243" s="249">
        <v>786</v>
      </c>
      <c r="F1243" s="249">
        <v>786</v>
      </c>
    </row>
    <row r="1244" spans="1:8">
      <c r="A1244" s="170">
        <f>_xlfn.XLOOKUP(B1244 &amp; "-" &amp; TEXT(C1244,"00"),改定!N:N,改定!E:E)</f>
        <v>61312</v>
      </c>
      <c r="B1244" s="120" t="s">
        <v>131</v>
      </c>
      <c r="C1244" s="124">
        <v>0</v>
      </c>
      <c r="D1244" s="234" t="s">
        <v>839</v>
      </c>
      <c r="E1244" s="249">
        <v>1833</v>
      </c>
      <c r="F1244" s="249">
        <v>1833</v>
      </c>
    </row>
    <row r="1245" spans="1:8" ht="20.25" customHeight="1">
      <c r="A1245" s="170">
        <f>_xlfn.XLOOKUP(B1245 &amp; "-" &amp; TEXT(C1245,"00"),改定!N:N,改定!E:E)</f>
        <v>61312</v>
      </c>
      <c r="B1245" s="119" t="s">
        <v>238</v>
      </c>
      <c r="C1245" s="124">
        <v>0</v>
      </c>
      <c r="D1245" s="234" t="s">
        <v>1206</v>
      </c>
      <c r="E1245" s="249">
        <v>1139</v>
      </c>
      <c r="F1245" s="249">
        <v>1139</v>
      </c>
      <c r="H1245" s="191" t="s">
        <v>1210</v>
      </c>
    </row>
    <row r="1246" spans="1:8" ht="18.75" customHeight="1">
      <c r="A1246" s="170">
        <f>_xlfn.XLOOKUP(B1246 &amp; "-" &amp; TEXT(C1246,"00"),改定!N:N,改定!E:E)</f>
        <v>61312</v>
      </c>
      <c r="B1246" s="119" t="s">
        <v>240</v>
      </c>
      <c r="C1246" s="124">
        <v>0</v>
      </c>
      <c r="D1246" s="234" t="s">
        <v>1207</v>
      </c>
      <c r="E1246" s="249">
        <v>1139</v>
      </c>
      <c r="F1246" s="249">
        <v>1139</v>
      </c>
      <c r="H1246" s="191"/>
    </row>
    <row r="1247" spans="1:8" ht="20.25" customHeight="1">
      <c r="A1247" s="170">
        <f>_xlfn.XLOOKUP(B1247 &amp; "-" &amp; TEXT(C1247,"00"),改定!N:N,改定!E:E)</f>
        <v>61312</v>
      </c>
      <c r="B1247" s="119" t="s">
        <v>480</v>
      </c>
      <c r="C1247" s="124">
        <v>0</v>
      </c>
      <c r="D1247" s="234" t="s">
        <v>1208</v>
      </c>
      <c r="E1247" s="249">
        <v>69</v>
      </c>
      <c r="F1247" s="249">
        <v>69</v>
      </c>
      <c r="G1247" s="121" t="s">
        <v>1209</v>
      </c>
      <c r="H1247" s="191" t="s">
        <v>1211</v>
      </c>
    </row>
    <row r="1248" spans="1:8" ht="23.25" customHeight="1">
      <c r="A1248" s="170">
        <f>_xlfn.XLOOKUP(B1248 &amp; "-" &amp; TEXT(C1248,"00"),改定!N:N,改定!E:E)</f>
        <v>61312</v>
      </c>
      <c r="B1248" s="119" t="s">
        <v>481</v>
      </c>
      <c r="C1248" s="124">
        <v>0</v>
      </c>
      <c r="D1248" s="234" t="s">
        <v>1208</v>
      </c>
      <c r="E1248" s="249">
        <v>69</v>
      </c>
      <c r="F1248" s="249">
        <v>69</v>
      </c>
      <c r="G1248" s="121" t="s">
        <v>1176</v>
      </c>
      <c r="H1248" s="191"/>
    </row>
    <row r="1249" spans="1:8">
      <c r="A1249" s="170">
        <f>_xlfn.XLOOKUP(B1249 &amp; "-" &amp; TEXT(C1249,"00"),改定!N:N,改定!E:E)</f>
        <v>61591</v>
      </c>
      <c r="B1249" s="119" t="s">
        <v>41</v>
      </c>
      <c r="C1249" s="124">
        <v>1</v>
      </c>
      <c r="D1249" s="234" t="s">
        <v>1212</v>
      </c>
      <c r="E1249" s="249">
        <v>3110</v>
      </c>
      <c r="F1249" s="249">
        <v>3110</v>
      </c>
    </row>
    <row r="1250" spans="1:8">
      <c r="A1250" s="170">
        <f>_xlfn.XLOOKUP(B1250 &amp; "-" &amp; TEXT(C1250,"00"),改定!N:N,改定!E:E)</f>
        <v>61591</v>
      </c>
      <c r="B1250" s="120" t="s">
        <v>131</v>
      </c>
      <c r="C1250" s="124">
        <v>1</v>
      </c>
      <c r="D1250" s="234" t="s">
        <v>117</v>
      </c>
      <c r="E1250" s="249">
        <v>1414</v>
      </c>
      <c r="F1250" s="249">
        <v>1414</v>
      </c>
    </row>
    <row r="1251" spans="1:8">
      <c r="A1251" s="170">
        <f>_xlfn.XLOOKUP(B1251 &amp; "-" &amp; TEXT(C1251,"00"),改定!N:N,改定!E:E)</f>
        <v>61591</v>
      </c>
      <c r="B1251" s="120" t="s">
        <v>131</v>
      </c>
      <c r="C1251" s="124">
        <v>1</v>
      </c>
      <c r="D1251" s="234" t="s">
        <v>549</v>
      </c>
      <c r="E1251" s="249">
        <v>1358</v>
      </c>
      <c r="F1251" s="249">
        <v>1358</v>
      </c>
    </row>
    <row r="1252" spans="1:8">
      <c r="A1252" s="170">
        <f>_xlfn.XLOOKUP(B1252 &amp; "-" &amp; TEXT(C1252,"00"),改定!N:N,改定!E:E)</f>
        <v>61591</v>
      </c>
      <c r="B1252" s="120" t="s">
        <v>131</v>
      </c>
      <c r="C1252" s="124">
        <v>1</v>
      </c>
      <c r="D1252" s="234" t="s">
        <v>855</v>
      </c>
      <c r="E1252" s="249">
        <v>786</v>
      </c>
      <c r="F1252" s="249">
        <v>786</v>
      </c>
    </row>
    <row r="1253" spans="1:8">
      <c r="A1253" s="170">
        <f>_xlfn.XLOOKUP(B1253 &amp; "-" &amp; TEXT(C1253,"00"),改定!N:N,改定!E:E)</f>
        <v>61591</v>
      </c>
      <c r="B1253" s="120" t="s">
        <v>131</v>
      </c>
      <c r="C1253" s="124">
        <v>1</v>
      </c>
      <c r="D1253" s="234" t="s">
        <v>839</v>
      </c>
      <c r="E1253" s="249">
        <v>1833</v>
      </c>
      <c r="F1253" s="249">
        <v>1833</v>
      </c>
    </row>
    <row r="1254" spans="1:8">
      <c r="A1254" s="170">
        <f>_xlfn.XLOOKUP(B1254 &amp; "-" &amp; TEXT(C1254,"00"),改定!N:N,改定!E:E)</f>
        <v>61591</v>
      </c>
      <c r="B1254" s="119" t="s">
        <v>238</v>
      </c>
      <c r="C1254" s="124">
        <v>1</v>
      </c>
      <c r="D1254" s="234" t="s">
        <v>1206</v>
      </c>
      <c r="E1254" s="249">
        <v>1139</v>
      </c>
      <c r="F1254" s="249">
        <v>1139</v>
      </c>
      <c r="H1254" s="191" t="s">
        <v>1210</v>
      </c>
    </row>
    <row r="1255" spans="1:8">
      <c r="A1255" s="170">
        <f>_xlfn.XLOOKUP(B1255 &amp; "-" &amp; TEXT(C1255,"00"),改定!N:N,改定!E:E)</f>
        <v>61591</v>
      </c>
      <c r="B1255" s="119" t="s">
        <v>240</v>
      </c>
      <c r="C1255" s="124">
        <v>1</v>
      </c>
      <c r="D1255" s="234" t="s">
        <v>1206</v>
      </c>
      <c r="E1255" s="249">
        <v>1139</v>
      </c>
      <c r="F1255" s="249">
        <v>1139</v>
      </c>
      <c r="H1255" s="191"/>
    </row>
    <row r="1256" spans="1:8">
      <c r="A1256" s="170">
        <f>_xlfn.XLOOKUP(B1256 &amp; "-" &amp; TEXT(C1256,"00"),改定!N:N,改定!E:E)</f>
        <v>61591</v>
      </c>
      <c r="B1256" s="119" t="s">
        <v>480</v>
      </c>
      <c r="C1256" s="124">
        <v>1</v>
      </c>
      <c r="D1256" s="234" t="s">
        <v>1208</v>
      </c>
      <c r="E1256" s="249">
        <v>69</v>
      </c>
      <c r="F1256" s="249">
        <v>69</v>
      </c>
      <c r="H1256" s="191" t="s">
        <v>1211</v>
      </c>
    </row>
    <row r="1257" spans="1:8">
      <c r="A1257" s="170">
        <f>_xlfn.XLOOKUP(B1257 &amp; "-" &amp; TEXT(C1257,"00"),改定!N:N,改定!E:E)</f>
        <v>61591</v>
      </c>
      <c r="B1257" s="119" t="s">
        <v>481</v>
      </c>
      <c r="C1257" s="124">
        <v>1</v>
      </c>
      <c r="D1257" s="234" t="s">
        <v>1213</v>
      </c>
      <c r="E1257" s="249">
        <v>69</v>
      </c>
      <c r="F1257" s="249">
        <v>69</v>
      </c>
      <c r="H1257" s="191"/>
    </row>
    <row r="1258" spans="1:8">
      <c r="A1258" s="170">
        <f>_xlfn.XLOOKUP(B1258 &amp; "-" &amp; TEXT(C1258,"00"),改定!N:N,改定!E:E)</f>
        <v>61666</v>
      </c>
      <c r="B1258" s="119" t="s">
        <v>171</v>
      </c>
      <c r="C1258" s="124">
        <v>0</v>
      </c>
      <c r="D1258" s="234" t="s">
        <v>1214</v>
      </c>
      <c r="E1258" s="249">
        <v>2</v>
      </c>
      <c r="F1258" s="249"/>
      <c r="G1258" s="121" t="s">
        <v>1209</v>
      </c>
    </row>
    <row r="1259" spans="1:8">
      <c r="A1259" s="170">
        <f>_xlfn.XLOOKUP(B1259 &amp; "-" &amp; TEXT(C1259,"00"),改定!N:N,改定!E:E)</f>
        <v>61807</v>
      </c>
      <c r="B1259" s="120" t="s">
        <v>233</v>
      </c>
      <c r="C1259" s="124">
        <v>3</v>
      </c>
      <c r="D1259" s="234" t="s">
        <v>1215</v>
      </c>
      <c r="E1259" s="249">
        <v>6</v>
      </c>
      <c r="F1259" s="249">
        <v>6</v>
      </c>
      <c r="G1259" s="121" t="s">
        <v>1209</v>
      </c>
    </row>
    <row r="1260" spans="1:8">
      <c r="A1260" s="170">
        <f>_xlfn.XLOOKUP(B1260 &amp; "-" &amp; TEXT(C1260,"00"),改定!N:N,改定!E:E)</f>
        <v>62268</v>
      </c>
      <c r="B1260" s="120" t="s">
        <v>233</v>
      </c>
      <c r="C1260" s="124">
        <v>4</v>
      </c>
      <c r="D1260" s="234" t="s">
        <v>1215</v>
      </c>
      <c r="E1260" s="249">
        <v>17</v>
      </c>
      <c r="F1260" s="249">
        <v>17</v>
      </c>
    </row>
    <row r="1261" spans="1:8">
      <c r="A1261" s="170">
        <f>_xlfn.XLOOKUP(B1261 &amp; "-" &amp; TEXT(C1261,"00"),改定!N:N,改定!E:E)</f>
        <v>62444</v>
      </c>
      <c r="B1261" s="119" t="s">
        <v>238</v>
      </c>
      <c r="C1261" s="124">
        <v>2</v>
      </c>
      <c r="D1261" s="234" t="s">
        <v>1206</v>
      </c>
      <c r="E1261" s="249"/>
      <c r="F1261" s="249">
        <v>1355</v>
      </c>
      <c r="H1261" s="191" t="s">
        <v>1210</v>
      </c>
    </row>
    <row r="1262" spans="1:8">
      <c r="A1262" s="170">
        <f>_xlfn.XLOOKUP(B1262 &amp; "-" &amp; TEXT(C1262,"00"),改定!N:N,改定!E:E)</f>
        <v>62444</v>
      </c>
      <c r="B1262" s="119" t="s">
        <v>240</v>
      </c>
      <c r="C1262" s="124">
        <v>2</v>
      </c>
      <c r="D1262" s="234" t="s">
        <v>1206</v>
      </c>
      <c r="E1262" s="249"/>
      <c r="F1262" s="249">
        <v>1355</v>
      </c>
      <c r="H1262" s="191"/>
    </row>
    <row r="1263" spans="1:8">
      <c r="A1263" s="170">
        <f>_xlfn.XLOOKUP(B1263 &amp; "-" &amp; TEXT(C1263,"00"),改定!N:N,改定!E:E)</f>
        <v>62444</v>
      </c>
      <c r="B1263" s="119" t="s">
        <v>480</v>
      </c>
      <c r="C1263" s="124">
        <v>2</v>
      </c>
      <c r="D1263" s="234" t="s">
        <v>1213</v>
      </c>
      <c r="E1263" s="249"/>
      <c r="F1263" s="249">
        <v>154</v>
      </c>
      <c r="H1263" s="191" t="s">
        <v>1211</v>
      </c>
    </row>
    <row r="1264" spans="1:8">
      <c r="A1264" s="170">
        <f>_xlfn.XLOOKUP(B1264 &amp; "-" &amp; TEXT(C1264,"00"),改定!N:N,改定!E:E)</f>
        <v>62444</v>
      </c>
      <c r="B1264" s="119" t="s">
        <v>481</v>
      </c>
      <c r="C1264" s="124">
        <v>2</v>
      </c>
      <c r="D1264" s="234" t="s">
        <v>1208</v>
      </c>
      <c r="E1264" s="249"/>
      <c r="F1264" s="249">
        <v>154</v>
      </c>
      <c r="H1264" s="191"/>
    </row>
    <row r="1265" spans="1:8">
      <c r="A1265" s="170">
        <f>_xlfn.XLOOKUP(B1265 &amp; "-" &amp; TEXT(C1265,"00"),改定!N:N,改定!E:E)</f>
        <v>62516</v>
      </c>
      <c r="B1265" s="119" t="s">
        <v>200</v>
      </c>
      <c r="C1265" s="124">
        <v>0</v>
      </c>
      <c r="D1265" s="234" t="s">
        <v>1216</v>
      </c>
      <c r="E1265" s="249">
        <v>2235</v>
      </c>
      <c r="F1265" s="249">
        <v>2235</v>
      </c>
    </row>
    <row r="1266" spans="1:8">
      <c r="A1266" s="170">
        <f>_xlfn.XLOOKUP(B1266 &amp; "-" &amp; TEXT(C1266,"00"),改定!N:N,改定!E:E)</f>
        <v>62540</v>
      </c>
      <c r="B1266" s="119" t="s">
        <v>480</v>
      </c>
      <c r="C1266" s="124">
        <v>3</v>
      </c>
      <c r="D1266" s="234" t="s">
        <v>1208</v>
      </c>
      <c r="E1266" s="249">
        <v>264</v>
      </c>
      <c r="F1266" s="249">
        <v>264</v>
      </c>
      <c r="H1266" s="191" t="s">
        <v>1211</v>
      </c>
    </row>
    <row r="1267" spans="1:8">
      <c r="A1267" s="170">
        <f>_xlfn.XLOOKUP(B1267 &amp; "-" &amp; TEXT(C1267,"00"),改定!N:N,改定!E:E)</f>
        <v>62540</v>
      </c>
      <c r="B1267" s="119" t="s">
        <v>481</v>
      </c>
      <c r="C1267" s="124">
        <v>3</v>
      </c>
      <c r="D1267" s="234" t="s">
        <v>1213</v>
      </c>
      <c r="E1267" s="249">
        <v>264</v>
      </c>
      <c r="F1267" s="249">
        <v>264</v>
      </c>
      <c r="H1267" s="191"/>
    </row>
    <row r="1268" spans="1:8">
      <c r="A1268" s="170">
        <f>_xlfn.XLOOKUP(B1268 &amp; "-" &amp; TEXT(C1268,"00"),改定!N:N,改定!E:E)</f>
        <v>62604</v>
      </c>
      <c r="B1268" s="119" t="s">
        <v>25</v>
      </c>
      <c r="C1268" s="124">
        <v>3</v>
      </c>
      <c r="D1268" s="234" t="s">
        <v>1217</v>
      </c>
    </row>
    <row r="1269" spans="1:8">
      <c r="A1269" s="170">
        <f>_xlfn.XLOOKUP(B1269 &amp; "-" &amp; TEXT(C1269,"00"),改定!N:N,改定!E:E)</f>
        <v>62633</v>
      </c>
      <c r="B1269" s="119" t="s">
        <v>165</v>
      </c>
      <c r="C1269" s="124">
        <v>0</v>
      </c>
      <c r="D1269" s="234" t="s">
        <v>1218</v>
      </c>
      <c r="E1269" s="249">
        <v>1</v>
      </c>
      <c r="F1269" s="249">
        <v>1</v>
      </c>
      <c r="G1269" s="121" t="s">
        <v>1209</v>
      </c>
    </row>
    <row r="1270" spans="1:8">
      <c r="A1270" s="170">
        <f>_xlfn.XLOOKUP(B1270 &amp; "-" &amp; TEXT(C1270,"00"),改定!N:N,改定!E:E)</f>
        <v>62633</v>
      </c>
      <c r="B1270" s="119" t="s">
        <v>171</v>
      </c>
      <c r="C1270" s="124">
        <v>1</v>
      </c>
      <c r="D1270" s="234" t="s">
        <v>1214</v>
      </c>
      <c r="E1270" s="249">
        <v>1</v>
      </c>
      <c r="F1270" s="249">
        <v>1</v>
      </c>
      <c r="G1270" s="121" t="s">
        <v>1209</v>
      </c>
    </row>
    <row r="1271" spans="1:8">
      <c r="A1271" s="170">
        <f>_xlfn.XLOOKUP(B1271 &amp; "-" &amp; TEXT(C1271,"00"),改定!N:N,改定!E:E)</f>
        <v>62686</v>
      </c>
      <c r="B1271" s="119" t="s">
        <v>200</v>
      </c>
      <c r="C1271" s="124">
        <v>1</v>
      </c>
      <c r="D1271" s="234" t="s">
        <v>1216</v>
      </c>
      <c r="E1271" s="249">
        <v>2235</v>
      </c>
      <c r="F1271" s="249">
        <v>2235</v>
      </c>
    </row>
    <row r="1272" spans="1:8">
      <c r="A1272" s="170">
        <f>_xlfn.XLOOKUP(B1272 &amp; "-" &amp; TEXT(C1272,"00"),改定!N:N,改定!E:E)</f>
        <v>62717</v>
      </c>
      <c r="B1272" s="119" t="s">
        <v>41</v>
      </c>
      <c r="C1272" s="124">
        <v>2</v>
      </c>
      <c r="D1272" s="234" t="s">
        <v>1212</v>
      </c>
    </row>
    <row r="1273" spans="1:8">
      <c r="A1273" s="170">
        <f>_xlfn.XLOOKUP(B1273 &amp; "-" &amp; TEXT(C1273,"00"),改定!N:N,改定!E:E)</f>
        <v>62729</v>
      </c>
      <c r="B1273" s="120" t="s">
        <v>233</v>
      </c>
      <c r="C1273" s="124">
        <v>5</v>
      </c>
      <c r="D1273" s="234" t="s">
        <v>1219</v>
      </c>
    </row>
    <row r="1274" spans="1:8">
      <c r="A1274" s="170">
        <f>_xlfn.XLOOKUP(B1274 &amp; "-" &amp; TEXT(C1274,"00"),改定!N:N,改定!E:E)</f>
        <v>62765</v>
      </c>
      <c r="B1274" s="119" t="s">
        <v>480</v>
      </c>
      <c r="C1274" s="124">
        <v>4</v>
      </c>
      <c r="D1274" s="234" t="s">
        <v>1220</v>
      </c>
    </row>
    <row r="1275" spans="1:8">
      <c r="A1275" s="170">
        <f>_xlfn.XLOOKUP(B1275 &amp; "-" &amp; TEXT(C1275,"00"),改定!N:N,改定!E:E)</f>
        <v>62765</v>
      </c>
      <c r="B1275" s="119" t="s">
        <v>481</v>
      </c>
      <c r="C1275" s="124">
        <v>4</v>
      </c>
      <c r="D1275" s="234" t="s">
        <v>1220</v>
      </c>
    </row>
    <row r="1276" spans="1:8">
      <c r="A1276" s="170">
        <f>_xlfn.XLOOKUP(B1276 &amp; "-" &amp; TEXT(C1276,"00"),改定!N:N,改定!E:E)</f>
        <v>62636</v>
      </c>
      <c r="B1276" s="119" t="s">
        <v>1273</v>
      </c>
      <c r="C1276" s="120">
        <v>0</v>
      </c>
      <c r="D1276" s="176" t="s">
        <v>510</v>
      </c>
    </row>
    <row r="1277" spans="1:8">
      <c r="A1277" s="170">
        <f>_xlfn.XLOOKUP(B1277 &amp; "-" &amp; TEXT(C1277,"00"),改定!N:N,改定!E:E)</f>
        <v>62121</v>
      </c>
      <c r="B1277" s="122" t="s">
        <v>1280</v>
      </c>
      <c r="C1277" s="129">
        <v>0</v>
      </c>
      <c r="D1277" s="142" t="s">
        <v>1296</v>
      </c>
      <c r="E1277" s="253"/>
      <c r="F1277" s="253"/>
      <c r="G1277" s="145"/>
      <c r="H1277" s="142"/>
    </row>
    <row r="1278" spans="1:8">
      <c r="A1278" s="170">
        <f>_xlfn.XLOOKUP(B1278 &amp; "-" &amp; TEXT(C1278,"00"),改定!N:N,改定!E:E)</f>
        <v>62121</v>
      </c>
      <c r="B1278" s="122" t="s">
        <v>1286</v>
      </c>
      <c r="C1278" s="129">
        <v>0</v>
      </c>
      <c r="D1278" s="142" t="s">
        <v>1283</v>
      </c>
      <c r="E1278" s="253"/>
      <c r="F1278" s="253"/>
      <c r="G1278" s="145"/>
      <c r="H1278" s="142"/>
    </row>
    <row r="1279" spans="1:8">
      <c r="A1279" s="170">
        <f>_xlfn.XLOOKUP(B1279 &amp; "-" &amp; TEXT(C1279,"00"),改定!N:N,改定!E:E)</f>
        <v>63015</v>
      </c>
      <c r="B1279" s="119" t="s">
        <v>1275</v>
      </c>
      <c r="C1279" s="120">
        <v>0</v>
      </c>
      <c r="D1279" s="234" t="s">
        <v>1297</v>
      </c>
      <c r="F1279" s="248">
        <v>12566</v>
      </c>
    </row>
    <row r="1280" spans="1:8">
      <c r="A1280" s="170">
        <f>_xlfn.XLOOKUP(B1280 &amp; "-" &amp; TEXT(C1280,"00"),改定!N:N,改定!E:E)</f>
        <v>63015</v>
      </c>
      <c r="B1280" s="119" t="s">
        <v>1284</v>
      </c>
      <c r="C1280" s="120">
        <v>0</v>
      </c>
      <c r="D1280" s="234" t="s">
        <v>1282</v>
      </c>
      <c r="F1280" s="248">
        <v>7085</v>
      </c>
    </row>
    <row r="1281" spans="1:6">
      <c r="A1281" s="170">
        <f>_xlfn.XLOOKUP(B1281 &amp; "-" &amp; TEXT(C1281,"00"),改定!N:N,改定!E:E)</f>
        <v>63345</v>
      </c>
      <c r="B1281" s="119" t="s">
        <v>1326</v>
      </c>
      <c r="C1281" s="120">
        <v>7</v>
      </c>
      <c r="D1281" s="234" t="s">
        <v>1325</v>
      </c>
    </row>
    <row r="1282" spans="1:6">
      <c r="A1282" s="170">
        <f>_xlfn.XLOOKUP(B1282 &amp; "-" &amp; TEXT(C1282,"00"),改定!N:N,改定!E:E)</f>
        <v>63345</v>
      </c>
      <c r="B1282" s="119" t="s">
        <v>1326</v>
      </c>
      <c r="C1282" s="120">
        <v>7</v>
      </c>
      <c r="D1282" s="247" t="s">
        <v>871</v>
      </c>
    </row>
    <row r="1283" spans="1:6">
      <c r="A1283" s="170" t="e">
        <f>_xlfn.XLOOKUP(B1283 &amp; "-" &amp; TEXT(C1283,"00"),改定!N:N,改定!E:E)</f>
        <v>#N/A</v>
      </c>
      <c r="B1283" s="119" t="s">
        <v>1330</v>
      </c>
      <c r="C1283" s="120">
        <v>7</v>
      </c>
      <c r="D1283" s="234" t="s">
        <v>1332</v>
      </c>
    </row>
    <row r="1284" spans="1:6">
      <c r="A1284" s="170">
        <f>_xlfn.XLOOKUP(B1284 &amp; "-" &amp; TEXT(C1284,"00"),改定!N:N,改定!E:E)</f>
        <v>63345</v>
      </c>
      <c r="B1284" s="119" t="s">
        <v>226</v>
      </c>
      <c r="C1284" s="120">
        <v>6</v>
      </c>
      <c r="D1284" s="247" t="s">
        <v>536</v>
      </c>
    </row>
    <row r="1285" spans="1:6">
      <c r="A1285" s="170">
        <f>_xlfn.XLOOKUP(B1285 &amp; "-" &amp; TEXT(C1285,"00"),改定!N:N,改定!E:E)</f>
        <v>63345</v>
      </c>
      <c r="B1285" s="119" t="s">
        <v>226</v>
      </c>
      <c r="C1285" s="120">
        <v>6</v>
      </c>
      <c r="D1285" s="247" t="s">
        <v>1343</v>
      </c>
    </row>
    <row r="1286" spans="1:6">
      <c r="A1286" s="170">
        <f>_xlfn.XLOOKUP(B1286 &amp; "-" &amp; TEXT(C1286,"00"),改定!N:N,改定!E:E)</f>
        <v>63345</v>
      </c>
      <c r="B1286" s="119" t="s">
        <v>228</v>
      </c>
      <c r="C1286" s="120">
        <v>1</v>
      </c>
      <c r="D1286" s="234" t="s">
        <v>1334</v>
      </c>
    </row>
    <row r="1287" spans="1:6">
      <c r="A1287" s="170">
        <f>_xlfn.XLOOKUP(B1287 &amp; "-" &amp; TEXT(C1287,"00"),改定!N:N,改定!E:E)</f>
        <v>63345</v>
      </c>
      <c r="B1287" s="119" t="s">
        <v>228</v>
      </c>
      <c r="C1287" s="120">
        <v>1</v>
      </c>
      <c r="D1287" s="234" t="s">
        <v>1343</v>
      </c>
    </row>
    <row r="1288" spans="1:6">
      <c r="A1288" s="170">
        <f>_xlfn.XLOOKUP(B1288 &amp; "-" &amp; TEXT(C1288,"00"),改定!N:N,改定!E:E)</f>
        <v>63345</v>
      </c>
      <c r="B1288" s="119" t="s">
        <v>1320</v>
      </c>
      <c r="C1288" s="120">
        <v>1</v>
      </c>
      <c r="D1288" s="234" t="s">
        <v>1344</v>
      </c>
      <c r="F1288" s="248">
        <v>649</v>
      </c>
    </row>
    <row r="1289" spans="1:6">
      <c r="A1289" s="170">
        <f>_xlfn.XLOOKUP(B1289 &amp; "-" &amp; TEXT(C1289,"00"),改定!N:N,改定!E:E)</f>
        <v>63345</v>
      </c>
      <c r="B1289" s="119" t="s">
        <v>1337</v>
      </c>
      <c r="C1289" s="120">
        <v>6</v>
      </c>
      <c r="D1289" s="234" t="s">
        <v>1336</v>
      </c>
    </row>
    <row r="1290" spans="1:6">
      <c r="A1290" s="170">
        <f>_xlfn.XLOOKUP(B1290 &amp; "-" &amp; TEXT(C1290,"00"),改定!N:N,改定!E:E)</f>
        <v>63345</v>
      </c>
      <c r="B1290" s="119" t="s">
        <v>1337</v>
      </c>
      <c r="C1290" s="120">
        <v>6</v>
      </c>
      <c r="D1290" s="234" t="s">
        <v>1345</v>
      </c>
    </row>
    <row r="1291" spans="1:6">
      <c r="A1291" s="170">
        <f>_xlfn.XLOOKUP(B1291 &amp; "-" &amp; TEXT(C1291,"00"),改定!N:N,改定!E:E)</f>
        <v>63345</v>
      </c>
      <c r="B1291" s="119" t="s">
        <v>1337</v>
      </c>
      <c r="C1291" s="120">
        <v>6</v>
      </c>
      <c r="D1291" s="234" t="s">
        <v>1346</v>
      </c>
    </row>
    <row r="1292" spans="1:6">
      <c r="A1292" s="170">
        <f>_xlfn.XLOOKUP(B1292 &amp; "-" &amp; TEXT(C1292,"00"),改定!N:N,改定!E:E)</f>
        <v>63345</v>
      </c>
      <c r="B1292" s="119" t="s">
        <v>1337</v>
      </c>
      <c r="C1292" s="120">
        <v>6</v>
      </c>
      <c r="D1292" s="234" t="s">
        <v>1347</v>
      </c>
    </row>
    <row r="1293" spans="1:6">
      <c r="A1293" s="170">
        <f>_xlfn.XLOOKUP(B1293 &amp; "-" &amp; TEXT(C1293,"00"),改定!N:N,改定!E:E)</f>
        <v>62927</v>
      </c>
      <c r="B1293" s="119" t="s">
        <v>1359</v>
      </c>
      <c r="C1293" s="120">
        <v>5</v>
      </c>
    </row>
    <row r="1294" spans="1:6">
      <c r="A1294" s="170">
        <f>_xlfn.XLOOKUP(B1294 &amp; "-" &amp; TEXT(C1294,"00"),改定!N:N,改定!E:E)</f>
        <v>62927</v>
      </c>
      <c r="B1294" s="119" t="s">
        <v>1360</v>
      </c>
      <c r="C1294" s="120">
        <v>4</v>
      </c>
    </row>
    <row r="1295" spans="1:6">
      <c r="A1295" s="170">
        <f>_xlfn.XLOOKUP(B1295 &amp; "-" &amp; TEXT(C1295,"00"),改定!N:N,改定!E:E)</f>
        <v>62927</v>
      </c>
      <c r="B1295" s="119" t="s">
        <v>1361</v>
      </c>
      <c r="C1295" s="120">
        <v>4</v>
      </c>
    </row>
    <row r="1296" spans="1:6">
      <c r="A1296" s="170">
        <f>_xlfn.XLOOKUP(B1296 &amp; "-" &amp; TEXT(C1296,"00"),改定!N:N,改定!E:E)</f>
        <v>62927</v>
      </c>
      <c r="B1296" s="119" t="s">
        <v>808</v>
      </c>
      <c r="C1296" s="120">
        <v>8</v>
      </c>
    </row>
    <row r="1297" spans="1:8">
      <c r="A1297" s="170">
        <f>_xlfn.XLOOKUP(B1297 &amp; "-" &amp; TEXT(C1297,"00"),改定!N:N,改定!E:E)</f>
        <v>62927</v>
      </c>
      <c r="B1297" s="119" t="s">
        <v>1362</v>
      </c>
      <c r="C1297" s="120">
        <v>2</v>
      </c>
      <c r="D1297" s="234" t="s">
        <v>1363</v>
      </c>
      <c r="F1297" s="248">
        <v>1452</v>
      </c>
    </row>
    <row r="1298" spans="1:8">
      <c r="A1298" s="170">
        <f>_xlfn.XLOOKUP(B1298 &amp; "-" &amp; TEXT(C1298,"00"),改定!N:N,改定!E:E)</f>
        <v>62927</v>
      </c>
      <c r="B1298" s="119" t="s">
        <v>1362</v>
      </c>
      <c r="C1298" s="120">
        <v>2</v>
      </c>
      <c r="D1298" s="234" t="s">
        <v>1364</v>
      </c>
      <c r="F1298" s="248">
        <v>2036</v>
      </c>
    </row>
    <row r="1299" spans="1:8">
      <c r="A1299" s="170">
        <f>_xlfn.XLOOKUP(B1299 &amp; "-" &amp; TEXT(C1299,"00"),改定!N:N,改定!E:E)</f>
        <v>62927</v>
      </c>
      <c r="B1299" s="119" t="s">
        <v>1362</v>
      </c>
      <c r="C1299" s="120">
        <v>2</v>
      </c>
      <c r="D1299" s="234" t="s">
        <v>1365</v>
      </c>
      <c r="F1299" s="248">
        <v>1467</v>
      </c>
    </row>
    <row r="1300" spans="1:8">
      <c r="A1300" s="170">
        <f>_xlfn.XLOOKUP(B1300 &amp; "-" &amp; TEXT(C1300,"00"),改定!N:N,改定!E:E)</f>
        <v>62927</v>
      </c>
      <c r="B1300" s="119" t="s">
        <v>1362</v>
      </c>
      <c r="C1300" s="120">
        <v>2</v>
      </c>
      <c r="D1300" s="234" t="s">
        <v>1366</v>
      </c>
      <c r="F1300" s="248">
        <v>801</v>
      </c>
    </row>
    <row r="1301" spans="1:8">
      <c r="A1301" s="170">
        <f>_xlfn.XLOOKUP(B1301 &amp; "-" &amp; TEXT(C1301,"00"),改定!N:N,改定!E:E)</f>
        <v>62888</v>
      </c>
      <c r="B1301" s="119" t="s">
        <v>1301</v>
      </c>
      <c r="C1301" s="120">
        <v>0</v>
      </c>
      <c r="D1301" s="234" t="s">
        <v>1368</v>
      </c>
    </row>
    <row r="1302" spans="1:8">
      <c r="A1302" s="170">
        <f>_xlfn.XLOOKUP(B1302 &amp; "-" &amp; TEXT(C1302,"00"),改定!N:N,改定!E:E)</f>
        <v>63308</v>
      </c>
      <c r="B1302" s="119" t="s">
        <v>1386</v>
      </c>
      <c r="C1302" s="120">
        <v>1</v>
      </c>
      <c r="D1302" s="234" t="s">
        <v>1393</v>
      </c>
      <c r="E1302" s="248">
        <v>3</v>
      </c>
      <c r="G1302" s="121" t="s">
        <v>1395</v>
      </c>
    </row>
    <row r="1303" spans="1:8">
      <c r="A1303" s="170">
        <f>_xlfn.XLOOKUP(B1303 &amp; "-" &amp; TEXT(C1303,"00"),改定!N:N,改定!E:E)</f>
        <v>63308</v>
      </c>
      <c r="B1303" s="119" t="s">
        <v>1386</v>
      </c>
      <c r="C1303" s="120">
        <v>1</v>
      </c>
      <c r="D1303" s="234" t="s">
        <v>1394</v>
      </c>
      <c r="E1303" s="248">
        <v>4</v>
      </c>
      <c r="G1303" s="121" t="s">
        <v>1395</v>
      </c>
    </row>
    <row r="1304" spans="1:8">
      <c r="A1304" s="170">
        <f>_xlfn.XLOOKUP(B1304 &amp; "-" &amp; TEXT(C1304,"00"),改定!N:N,改定!E:E)</f>
        <v>63427</v>
      </c>
      <c r="B1304" s="119" t="s">
        <v>1284</v>
      </c>
      <c r="C1304" s="120">
        <v>1</v>
      </c>
      <c r="D1304" s="234" t="s">
        <v>407</v>
      </c>
      <c r="F1304" s="248">
        <v>7085</v>
      </c>
    </row>
    <row r="1305" spans="1:8">
      <c r="A1305" s="170">
        <f>_xlfn.XLOOKUP(B1305 &amp; "-" &amp; TEXT(C1305,"00"),改定!N:N,改定!E:E)</f>
        <v>63433</v>
      </c>
      <c r="B1305" s="119" t="s">
        <v>1275</v>
      </c>
      <c r="C1305" s="120">
        <v>1</v>
      </c>
      <c r="D1305" s="234" t="s">
        <v>809</v>
      </c>
      <c r="F1305" s="248">
        <v>12566</v>
      </c>
    </row>
    <row r="1306" spans="1:8">
      <c r="A1306" s="170">
        <f>_xlfn.XLOOKUP(B1306 &amp; "-" &amp; TEXT(C1306,"00"),改定!N:N,改定!E:E)</f>
        <v>63460</v>
      </c>
      <c r="B1306" s="119" t="s">
        <v>1400</v>
      </c>
      <c r="C1306" s="120">
        <v>1</v>
      </c>
      <c r="D1306" s="234" t="s">
        <v>1394</v>
      </c>
      <c r="F1306" s="248">
        <v>4</v>
      </c>
      <c r="G1306" s="121" t="s">
        <v>1395</v>
      </c>
    </row>
    <row r="1307" spans="1:8">
      <c r="A1307" s="170">
        <f>_xlfn.XLOOKUP(B1307 &amp; "-" &amp; TEXT(C1307,"00"),改定!N:N,改定!E:E)</f>
        <v>62887</v>
      </c>
      <c r="B1307" s="119" t="s">
        <v>1404</v>
      </c>
      <c r="C1307" s="120">
        <v>1</v>
      </c>
      <c r="D1307" s="234" t="s">
        <v>1406</v>
      </c>
      <c r="E1307" s="248">
        <v>699</v>
      </c>
      <c r="H1307" s="151" t="s">
        <v>1407</v>
      </c>
    </row>
    <row r="1308" spans="1:8">
      <c r="A1308" s="170">
        <f>_xlfn.XLOOKUP(B1308 &amp; "-" &amp; TEXT(C1308,"00"),改定!N:N,改定!E:E)</f>
        <v>55360</v>
      </c>
      <c r="B1308" s="119" t="s">
        <v>1408</v>
      </c>
      <c r="C1308" s="120">
        <v>0</v>
      </c>
      <c r="D1308" s="234" t="s">
        <v>1406</v>
      </c>
      <c r="F1308" s="248">
        <v>468</v>
      </c>
    </row>
    <row r="1309" spans="1:8">
      <c r="A1309" s="170">
        <f>_xlfn.XLOOKUP(B1309 &amp; "-" &amp; TEXT(C1309,"00"),改定!N:N,改定!E:E)</f>
        <v>61597</v>
      </c>
      <c r="B1309" s="119" t="s">
        <v>1408</v>
      </c>
      <c r="C1309" s="120">
        <v>1</v>
      </c>
      <c r="D1309" s="234" t="s">
        <v>1406</v>
      </c>
      <c r="F1309" s="248">
        <v>670</v>
      </c>
    </row>
    <row r="1310" spans="1:8">
      <c r="A1310" s="170">
        <f>_xlfn.XLOOKUP(B1310 &amp; "-" &amp; TEXT(C1310,"00"),改定!N:N,改定!E:E)</f>
        <v>62887</v>
      </c>
      <c r="B1310" s="119" t="s">
        <v>1408</v>
      </c>
      <c r="C1310" s="120">
        <v>2</v>
      </c>
      <c r="D1310" s="234" t="s">
        <v>1406</v>
      </c>
      <c r="E1310" s="248">
        <v>699</v>
      </c>
      <c r="H1310" s="151" t="s">
        <v>1407</v>
      </c>
    </row>
    <row r="1311" spans="1:8">
      <c r="A1311" s="170" t="str">
        <f>_xlfn.XLOOKUP(B1311 &amp; "-" &amp; TEXT(C1311,"00"),改定!N:N,改定!E:E)</f>
        <v>55368</v>
      </c>
      <c r="B1311" s="119" t="s">
        <v>1579</v>
      </c>
      <c r="C1311" s="120">
        <v>1</v>
      </c>
      <c r="D1311" s="234" t="s">
        <v>1585</v>
      </c>
      <c r="F1311" s="248">
        <v>2156</v>
      </c>
    </row>
    <row r="1312" spans="1:8">
      <c r="A1312" s="170" t="str">
        <f>_xlfn.XLOOKUP(B1312 &amp; "-" &amp; TEXT(C1312,"00"),改定!N:N,改定!E:E)</f>
        <v>55368</v>
      </c>
      <c r="B1312" s="119" t="s">
        <v>1579</v>
      </c>
      <c r="C1312" s="120">
        <v>1</v>
      </c>
      <c r="D1312" s="234" t="s">
        <v>1586</v>
      </c>
      <c r="F1312" s="248">
        <v>6</v>
      </c>
    </row>
    <row r="1313" spans="1:6">
      <c r="A1313" s="170" t="str">
        <f>_xlfn.XLOOKUP(B1313 &amp; "-" &amp; TEXT(C1313,"00"),改定!N:N,改定!E:E)</f>
        <v>55368</v>
      </c>
      <c r="B1313" s="119" t="s">
        <v>1579</v>
      </c>
      <c r="C1313" s="120">
        <v>1</v>
      </c>
      <c r="D1313" s="234" t="s">
        <v>1587</v>
      </c>
      <c r="F1313" s="248">
        <v>22</v>
      </c>
    </row>
    <row r="1314" spans="1:6">
      <c r="A1314" s="170" t="str">
        <f>_xlfn.XLOOKUP(B1314 &amp; "-" &amp; TEXT(C1314,"00"),改定!N:N,改定!E:E)</f>
        <v>55368</v>
      </c>
      <c r="B1314" s="119" t="s">
        <v>1579</v>
      </c>
      <c r="C1314" s="120">
        <v>1</v>
      </c>
      <c r="D1314" s="234" t="s">
        <v>1588</v>
      </c>
      <c r="F1314" s="248">
        <v>48</v>
      </c>
    </row>
    <row r="1315" spans="1:6">
      <c r="A1315" s="170" t="str">
        <f>_xlfn.XLOOKUP(B1315 &amp; "-" &amp; TEXT(C1315,"00"),改定!N:N,改定!E:E)</f>
        <v>55368</v>
      </c>
      <c r="B1315" s="119" t="s">
        <v>1579</v>
      </c>
      <c r="C1315" s="120">
        <v>1</v>
      </c>
      <c r="D1315" s="234" t="s">
        <v>1589</v>
      </c>
      <c r="F1315" s="248">
        <v>587</v>
      </c>
    </row>
    <row r="1316" spans="1:6">
      <c r="A1316" s="170" t="str">
        <f>_xlfn.XLOOKUP(B1316 &amp; "-" &amp; TEXT(C1316,"00"),改定!N:N,改定!E:E)</f>
        <v>60263</v>
      </c>
      <c r="B1316" s="119" t="s">
        <v>1579</v>
      </c>
      <c r="C1316" s="120">
        <v>2</v>
      </c>
      <c r="D1316" s="234" t="s">
        <v>1585</v>
      </c>
      <c r="F1316" s="248">
        <v>2740</v>
      </c>
    </row>
    <row r="1317" spans="1:6">
      <c r="A1317" s="170" t="str">
        <f>_xlfn.XLOOKUP(B1317 &amp; "-" &amp; TEXT(C1317,"00"),改定!N:N,改定!E:E)</f>
        <v>60263</v>
      </c>
      <c r="B1317" s="119" t="s">
        <v>1579</v>
      </c>
      <c r="C1317" s="120">
        <v>2</v>
      </c>
      <c r="D1317" s="234" t="s">
        <v>245</v>
      </c>
      <c r="F1317" s="248">
        <v>6</v>
      </c>
    </row>
    <row r="1318" spans="1:6">
      <c r="A1318" s="170" t="str">
        <f>_xlfn.XLOOKUP(B1318 &amp; "-" &amp; TEXT(C1318,"00"),改定!N:N,改定!E:E)</f>
        <v>60263</v>
      </c>
      <c r="B1318" s="119" t="s">
        <v>1579</v>
      </c>
      <c r="C1318" s="120">
        <v>2</v>
      </c>
      <c r="D1318" s="234" t="s">
        <v>234</v>
      </c>
      <c r="F1318" s="248">
        <v>633</v>
      </c>
    </row>
    <row r="1319" spans="1:6">
      <c r="A1319" s="170" t="str">
        <f>_xlfn.XLOOKUP(B1319 &amp; "-" &amp; TEXT(C1319,"00"),改定!N:N,改定!E:E)</f>
        <v>B008576</v>
      </c>
      <c r="B1319" s="119" t="s">
        <v>1593</v>
      </c>
      <c r="C1319" s="120">
        <v>0</v>
      </c>
      <c r="D1319" s="234" t="s">
        <v>232</v>
      </c>
    </row>
    <row r="1320" spans="1:6">
      <c r="A1320" s="170" t="str">
        <f>_xlfn.XLOOKUP(B1320 &amp; "-" &amp; TEXT(C1320,"00"),改定!N:N,改定!E:E)</f>
        <v>60393</v>
      </c>
      <c r="B1320" s="119" t="s">
        <v>1593</v>
      </c>
      <c r="C1320" s="120">
        <v>1</v>
      </c>
      <c r="D1320" s="234" t="s">
        <v>1393</v>
      </c>
      <c r="F1320" s="248">
        <v>3</v>
      </c>
    </row>
    <row r="1321" spans="1:6">
      <c r="A1321" s="170" t="str">
        <f>_xlfn.XLOOKUP(B1321 &amp; "-" &amp; TEXT(C1321,"00"),改定!N:N,改定!E:E)</f>
        <v>60393</v>
      </c>
      <c r="B1321" s="119" t="s">
        <v>1593</v>
      </c>
      <c r="C1321" s="120">
        <v>1</v>
      </c>
      <c r="D1321" s="234" t="s">
        <v>1388</v>
      </c>
      <c r="F1321" s="248">
        <v>4</v>
      </c>
    </row>
    <row r="1322" spans="1:6">
      <c r="A1322" s="170" t="str">
        <f>_xlfn.XLOOKUP(B1322 &amp; "-" &amp; TEXT(C1322,"00"),改定!N:N,改定!E:E)</f>
        <v>60393</v>
      </c>
      <c r="B1322" s="119" t="s">
        <v>1593</v>
      </c>
      <c r="C1322" s="120">
        <v>1</v>
      </c>
      <c r="D1322" s="234" t="s">
        <v>1598</v>
      </c>
      <c r="F1322" s="248">
        <v>8</v>
      </c>
    </row>
    <row r="1323" spans="1:6">
      <c r="A1323" s="170" t="str">
        <f>_xlfn.XLOOKUP(B1323 &amp; "-" &amp; TEXT(C1323,"00"),改定!N:N,改定!E:E)</f>
        <v>60393</v>
      </c>
      <c r="B1323" s="119" t="s">
        <v>1593</v>
      </c>
      <c r="C1323" s="120">
        <v>1</v>
      </c>
      <c r="D1323" s="234" t="s">
        <v>1153</v>
      </c>
      <c r="F1323" s="248">
        <v>708</v>
      </c>
    </row>
    <row r="1324" spans="1:6">
      <c r="A1324" s="170" t="str">
        <f>_xlfn.XLOOKUP(B1324 &amp; "-" &amp; TEXT(C1324,"00"),改定!N:N,改定!E:E)</f>
        <v>60393</v>
      </c>
      <c r="B1324" s="119" t="s">
        <v>1593</v>
      </c>
      <c r="C1324" s="120">
        <v>1</v>
      </c>
      <c r="D1324" s="234" t="s">
        <v>1589</v>
      </c>
      <c r="F1324" s="248">
        <v>1497</v>
      </c>
    </row>
    <row r="1325" spans="1:6">
      <c r="A1325" s="170" t="str">
        <f>_xlfn.XLOOKUP(B1325 &amp; "-" &amp; TEXT(C1325,"00"),改定!N:N,改定!E:E)</f>
        <v>60393</v>
      </c>
      <c r="B1325" s="119" t="s">
        <v>1601</v>
      </c>
      <c r="C1325" s="120">
        <v>1</v>
      </c>
      <c r="D1325" s="234" t="s">
        <v>232</v>
      </c>
      <c r="F1325" s="248">
        <v>6</v>
      </c>
    </row>
    <row r="1326" spans="1:6">
      <c r="A1326" s="170" t="str">
        <f>_xlfn.XLOOKUP(B1326 &amp; "-" &amp; TEXT(C1326,"00"),改定!N:N,改定!E:E)</f>
        <v>60393</v>
      </c>
      <c r="B1326" s="119" t="s">
        <v>1601</v>
      </c>
      <c r="C1326" s="120">
        <v>1</v>
      </c>
      <c r="D1326" s="234" t="s">
        <v>1585</v>
      </c>
      <c r="F1326" s="248">
        <v>2780</v>
      </c>
    </row>
    <row r="1327" spans="1:6">
      <c r="A1327" s="170" t="str">
        <f>_xlfn.XLOOKUP(B1327 &amp; "-" &amp; TEXT(C1327,"00"),改定!N:N,改定!E:E)</f>
        <v>60393</v>
      </c>
      <c r="B1327" s="119" t="s">
        <v>1601</v>
      </c>
      <c r="C1327" s="120">
        <v>1</v>
      </c>
      <c r="D1327" s="234" t="s">
        <v>245</v>
      </c>
      <c r="F1327" s="248">
        <v>6</v>
      </c>
    </row>
    <row r="1328" spans="1:6">
      <c r="A1328" s="170" t="str">
        <f>_xlfn.XLOOKUP(B1328 &amp; "-" &amp; TEXT(C1328,"00"),改定!N:N,改定!E:E)</f>
        <v>60393</v>
      </c>
      <c r="B1328" s="119" t="s">
        <v>1601</v>
      </c>
      <c r="C1328" s="120">
        <v>1</v>
      </c>
      <c r="D1328" s="234" t="s">
        <v>234</v>
      </c>
      <c r="F1328" s="248">
        <v>665</v>
      </c>
    </row>
    <row r="1329" spans="1:6">
      <c r="A1329" s="170" t="str">
        <f>_xlfn.XLOOKUP(B1329 &amp; "-" &amp; TEXT(C1329,"00"),改定!N:N,改定!E:E)</f>
        <v>54721</v>
      </c>
      <c r="B1329" s="119" t="s">
        <v>1724</v>
      </c>
      <c r="C1329" s="120">
        <v>1</v>
      </c>
      <c r="D1329" s="234" t="s">
        <v>234</v>
      </c>
      <c r="E1329" s="248">
        <v>7</v>
      </c>
    </row>
    <row r="1330" spans="1:6">
      <c r="A1330" s="170" t="str">
        <f>_xlfn.XLOOKUP(B1330 &amp; "-" &amp; TEXT(C1330,"00"),改定!N:N,改定!E:E)</f>
        <v>54721</v>
      </c>
      <c r="B1330" s="119" t="s">
        <v>1724</v>
      </c>
      <c r="C1330" s="120">
        <v>1</v>
      </c>
      <c r="D1330" s="234" t="s">
        <v>245</v>
      </c>
      <c r="E1330" s="248">
        <v>6</v>
      </c>
    </row>
    <row r="1331" spans="1:6">
      <c r="A1331" s="170" t="str">
        <f>_xlfn.XLOOKUP(B1331 &amp; "-" &amp; TEXT(C1331,"00"),改定!N:N,改定!E:E)</f>
        <v>55898</v>
      </c>
      <c r="B1331" s="119" t="s">
        <v>1724</v>
      </c>
      <c r="C1331" s="120">
        <v>2</v>
      </c>
      <c r="D1331" s="234" t="s">
        <v>234</v>
      </c>
    </row>
    <row r="1332" spans="1:6">
      <c r="A1332" s="170" t="str">
        <f>_xlfn.XLOOKUP(B1332 &amp; "-" &amp; TEXT(C1332,"00"),改定!N:N,改定!E:E)</f>
        <v>55898</v>
      </c>
      <c r="B1332" s="119" t="s">
        <v>1724</v>
      </c>
      <c r="C1332" s="120">
        <v>2</v>
      </c>
      <c r="D1332" s="234" t="s">
        <v>245</v>
      </c>
    </row>
    <row r="1333" spans="1:6">
      <c r="A1333" s="170" t="str">
        <f>_xlfn.XLOOKUP(B1333 &amp; "-" &amp; TEXT(C1333,"00"),改定!N:N,改定!E:E)</f>
        <v>55973</v>
      </c>
      <c r="B1333" s="119" t="s">
        <v>1724</v>
      </c>
      <c r="C1333" s="120">
        <v>3</v>
      </c>
      <c r="D1333" s="234" t="s">
        <v>234</v>
      </c>
      <c r="F1333" s="248">
        <v>7</v>
      </c>
    </row>
    <row r="1334" spans="1:6">
      <c r="A1334" s="170" t="str">
        <f>_xlfn.XLOOKUP(B1334 &amp; "-" &amp; TEXT(C1334,"00"),改定!N:N,改定!E:E)</f>
        <v>55973</v>
      </c>
      <c r="B1334" s="119" t="s">
        <v>1724</v>
      </c>
      <c r="C1334" s="120">
        <v>3</v>
      </c>
      <c r="D1334" s="234" t="s">
        <v>245</v>
      </c>
      <c r="F1334" s="248">
        <v>6</v>
      </c>
    </row>
    <row r="1335" spans="1:6">
      <c r="A1335" s="170" t="str">
        <f>_xlfn.XLOOKUP(B1335 &amp; "-" &amp; TEXT(C1335,"00"),改定!N:N,改定!E:E)</f>
        <v>56474</v>
      </c>
      <c r="B1335" s="119" t="s">
        <v>1724</v>
      </c>
      <c r="C1335" s="120">
        <v>4</v>
      </c>
      <c r="D1335" s="234" t="s">
        <v>234</v>
      </c>
      <c r="F1335" s="248">
        <v>246</v>
      </c>
    </row>
    <row r="1336" spans="1:6">
      <c r="A1336" s="170" t="str">
        <f>_xlfn.XLOOKUP(B1336 &amp; "-" &amp; TEXT(C1336,"00"),改定!N:N,改定!E:E)</f>
        <v>56474</v>
      </c>
      <c r="B1336" s="119" t="s">
        <v>1724</v>
      </c>
      <c r="C1336" s="120">
        <v>4</v>
      </c>
      <c r="D1336" s="234" t="s">
        <v>245</v>
      </c>
      <c r="F1336" s="248">
        <v>6</v>
      </c>
    </row>
    <row r="1337" spans="1:6">
      <c r="A1337" s="170" t="str">
        <f>_xlfn.XLOOKUP(B1337 &amp; "-" &amp; TEXT(C1337,"00"),改定!N:N,改定!E:E)</f>
        <v>60245</v>
      </c>
      <c r="B1337" s="119" t="s">
        <v>1724</v>
      </c>
      <c r="C1337" s="120">
        <v>5</v>
      </c>
      <c r="D1337" s="234" t="s">
        <v>234</v>
      </c>
      <c r="F1337" s="248">
        <v>505</v>
      </c>
    </row>
    <row r="1338" spans="1:6">
      <c r="A1338" s="170" t="str">
        <f>_xlfn.XLOOKUP(B1338 &amp; "-" &amp; TEXT(C1338,"00"),改定!N:N,改定!E:E)</f>
        <v>60245</v>
      </c>
      <c r="B1338" s="119" t="s">
        <v>1724</v>
      </c>
      <c r="C1338" s="120">
        <v>5</v>
      </c>
      <c r="D1338" s="234" t="s">
        <v>245</v>
      </c>
      <c r="F1338" s="248">
        <v>6</v>
      </c>
    </row>
    <row r="1339" spans="1:6">
      <c r="A1339" s="170" t="str">
        <f>_xlfn.XLOOKUP(B1339 &amp; "-" &amp; TEXT(C1339,"00"),改定!N:N,改定!E:E)</f>
        <v>60642</v>
      </c>
      <c r="B1339" s="119" t="s">
        <v>1724</v>
      </c>
      <c r="C1339" s="120">
        <v>6</v>
      </c>
      <c r="D1339" s="234" t="s">
        <v>234</v>
      </c>
      <c r="F1339" s="248">
        <v>922</v>
      </c>
    </row>
    <row r="1340" spans="1:6">
      <c r="A1340" s="170" t="str">
        <f>_xlfn.XLOOKUP(B1340 &amp; "-" &amp; TEXT(C1340,"00"),改定!N:N,改定!E:E)</f>
        <v>60642</v>
      </c>
      <c r="B1340" s="119" t="s">
        <v>1724</v>
      </c>
      <c r="C1340" s="120">
        <v>6</v>
      </c>
      <c r="D1340" s="234" t="s">
        <v>245</v>
      </c>
      <c r="F1340" s="248">
        <v>15</v>
      </c>
    </row>
    <row r="1341" spans="1:6">
      <c r="A1341" s="170" t="str">
        <f>_xlfn.XLOOKUP(B1341 &amp; "-" &amp; TEXT(C1341,"00"),改定!N:N,改定!E:E)</f>
        <v>61205</v>
      </c>
      <c r="B1341" s="119" t="s">
        <v>1751</v>
      </c>
      <c r="C1341" s="120">
        <v>0</v>
      </c>
      <c r="D1341" s="234" t="s">
        <v>234</v>
      </c>
      <c r="F1341" s="248">
        <v>1139</v>
      </c>
    </row>
    <row r="1342" spans="1:6">
      <c r="A1342" s="170" t="str">
        <f>_xlfn.XLOOKUP(B1342 &amp; "-" &amp; TEXT(C1342,"00"),改定!N:N,改定!E:E)</f>
        <v>61205</v>
      </c>
      <c r="B1342" s="119" t="s">
        <v>1751</v>
      </c>
      <c r="C1342" s="120">
        <v>0</v>
      </c>
      <c r="D1342" s="234" t="s">
        <v>245</v>
      </c>
      <c r="F1342" s="248">
        <v>69</v>
      </c>
    </row>
    <row r="1343" spans="1:6">
      <c r="A1343" s="170" t="str">
        <f>_xlfn.XLOOKUP(B1343 &amp; "-" &amp; TEXT(C1343,"00"),改定!N:N,改定!E:E)</f>
        <v>61591</v>
      </c>
      <c r="B1343" s="119" t="s">
        <v>1751</v>
      </c>
      <c r="C1343" s="120">
        <v>1</v>
      </c>
      <c r="D1343" s="234" t="s">
        <v>234</v>
      </c>
      <c r="F1343" s="248">
        <v>1139</v>
      </c>
    </row>
    <row r="1344" spans="1:6">
      <c r="A1344" s="170" t="str">
        <f>_xlfn.XLOOKUP(B1344 &amp; "-" &amp; TEXT(C1344,"00"),改定!N:N,改定!E:E)</f>
        <v>61591</v>
      </c>
      <c r="B1344" s="119" t="s">
        <v>1751</v>
      </c>
      <c r="C1344" s="120">
        <v>1</v>
      </c>
      <c r="D1344" s="234" t="s">
        <v>245</v>
      </c>
      <c r="F1344" s="248">
        <v>69</v>
      </c>
    </row>
    <row r="1345" spans="1:6">
      <c r="A1345" s="170" t="str">
        <f>_xlfn.XLOOKUP(B1345 &amp; "-" &amp; TEXT(C1345,"00"),改定!N:N,改定!E:E)</f>
        <v>62495</v>
      </c>
      <c r="B1345" s="119" t="s">
        <v>1751</v>
      </c>
      <c r="C1345" s="120">
        <v>2</v>
      </c>
      <c r="D1345" s="234" t="s">
        <v>234</v>
      </c>
      <c r="F1345" s="248">
        <v>1610</v>
      </c>
    </row>
    <row r="1346" spans="1:6">
      <c r="A1346" s="170" t="str">
        <f>_xlfn.XLOOKUP(B1346 &amp; "-" &amp; TEXT(C1346,"00"),改定!N:N,改定!E:E)</f>
        <v>62495</v>
      </c>
      <c r="B1346" s="119" t="s">
        <v>1751</v>
      </c>
      <c r="C1346" s="120">
        <v>2</v>
      </c>
      <c r="D1346" s="234" t="s">
        <v>245</v>
      </c>
      <c r="F1346" s="248">
        <v>221</v>
      </c>
    </row>
    <row r="1347" spans="1:6">
      <c r="A1347" s="170" t="str">
        <f>_xlfn.XLOOKUP(B1347 &amp; "-" &amp; TEXT(C1347,"00"),改定!N:N,改定!E:E)</f>
        <v>63514</v>
      </c>
      <c r="B1347" s="119" t="s">
        <v>1751</v>
      </c>
      <c r="C1347" s="120">
        <v>3</v>
      </c>
      <c r="D1347" s="234" t="s">
        <v>234</v>
      </c>
      <c r="F1347" s="248">
        <v>1868</v>
      </c>
    </row>
    <row r="1348" spans="1:6">
      <c r="A1348" s="170" t="str">
        <f>_xlfn.XLOOKUP(B1348 &amp; "-" &amp; TEXT(C1348,"00"),改定!N:N,改定!E:E)</f>
        <v>63514</v>
      </c>
      <c r="B1348" s="119" t="s">
        <v>1751</v>
      </c>
      <c r="C1348" s="120">
        <v>3</v>
      </c>
      <c r="D1348" s="234" t="s">
        <v>245</v>
      </c>
      <c r="F1348" s="248">
        <v>457</v>
      </c>
    </row>
    <row r="1349" spans="1:6">
      <c r="A1349" s="170" t="str">
        <f>_xlfn.XLOOKUP(B1349 &amp; "-" &amp; TEXT(C1349,"00"),改定!N:N,改定!E:E)</f>
        <v>63577</v>
      </c>
      <c r="B1349" s="119" t="s">
        <v>1386</v>
      </c>
      <c r="C1349" s="120">
        <v>2</v>
      </c>
      <c r="D1349" s="234" t="s">
        <v>1393</v>
      </c>
      <c r="F1349" s="248">
        <v>3</v>
      </c>
    </row>
    <row r="1350" spans="1:6">
      <c r="A1350" s="170" t="str">
        <f>_xlfn.XLOOKUP(B1350 &amp; "-" &amp; TEXT(C1350,"00"),改定!N:N,改定!E:E)</f>
        <v>63577</v>
      </c>
      <c r="B1350" s="119" t="s">
        <v>1386</v>
      </c>
      <c r="C1350" s="120">
        <v>2</v>
      </c>
      <c r="D1350" s="234" t="s">
        <v>1388</v>
      </c>
      <c r="F1350" s="248">
        <v>4</v>
      </c>
    </row>
    <row r="1351" spans="1:6">
      <c r="A1351" s="170" t="str">
        <f>_xlfn.XLOOKUP(B1351 &amp; "-" &amp; TEXT(C1351,"00"),改定!N:N,改定!E:E)</f>
        <v>63576</v>
      </c>
      <c r="B1351" s="119" t="s">
        <v>1831</v>
      </c>
      <c r="C1351" s="120">
        <v>2</v>
      </c>
      <c r="D1351" s="234" t="s">
        <v>1388</v>
      </c>
      <c r="F1351" s="248">
        <v>4</v>
      </c>
    </row>
    <row r="1352" spans="1:6">
      <c r="A1352" s="170" t="str">
        <f>_xlfn.XLOOKUP(B1352 &amp; "-" &amp; TEXT(C1352,"00"),改定!N:N,改定!E:E)</f>
        <v>B007078</v>
      </c>
      <c r="B1352" s="119" t="s">
        <v>1839</v>
      </c>
      <c r="C1352" s="120">
        <v>0</v>
      </c>
      <c r="D1352" s="142" t="s">
        <v>199</v>
      </c>
      <c r="E1352" s="253"/>
      <c r="F1352" s="253" t="s">
        <v>1907</v>
      </c>
    </row>
    <row r="1353" spans="1:6">
      <c r="A1353" s="170" t="str">
        <f>_xlfn.XLOOKUP(B1353 &amp; "-" &amp; TEXT(C1353,"00"),改定!N:N,改定!E:E)</f>
        <v>B007078</v>
      </c>
      <c r="B1353" s="119" t="s">
        <v>1839</v>
      </c>
      <c r="C1353" s="120">
        <v>0</v>
      </c>
      <c r="D1353" s="142" t="s">
        <v>1153</v>
      </c>
      <c r="E1353" s="253"/>
      <c r="F1353" s="253" t="s">
        <v>1907</v>
      </c>
    </row>
    <row r="1354" spans="1:6">
      <c r="A1354" s="170" t="str">
        <f>_xlfn.XLOOKUP(B1354 &amp; "-" &amp; TEXT(C1354,"00"),改定!N:N,改定!E:E)</f>
        <v>54648</v>
      </c>
      <c r="B1354" s="119" t="s">
        <v>1839</v>
      </c>
      <c r="C1354" s="120">
        <v>1</v>
      </c>
      <c r="D1354" s="142" t="s">
        <v>199</v>
      </c>
      <c r="F1354" s="248">
        <v>132</v>
      </c>
    </row>
    <row r="1355" spans="1:6">
      <c r="A1355" s="170" t="str">
        <f>_xlfn.XLOOKUP(B1355 &amp; "-" &amp; TEXT(C1355,"00"),改定!N:N,改定!E:E)</f>
        <v>54648</v>
      </c>
      <c r="B1355" s="119" t="s">
        <v>1839</v>
      </c>
      <c r="C1355" s="120">
        <v>1</v>
      </c>
      <c r="D1355" s="142" t="s">
        <v>1153</v>
      </c>
      <c r="F1355" s="248">
        <v>8</v>
      </c>
    </row>
    <row r="1356" spans="1:6">
      <c r="A1356" s="170" t="str">
        <f>_xlfn.XLOOKUP(B1356 &amp; "-" &amp; TEXT(C1356,"00"),改定!N:N,改定!E:E)</f>
        <v>55139</v>
      </c>
      <c r="B1356" s="119" t="s">
        <v>1839</v>
      </c>
      <c r="C1356" s="120">
        <v>2</v>
      </c>
      <c r="D1356" s="234" t="s">
        <v>1153</v>
      </c>
      <c r="F1356" s="248">
        <v>8</v>
      </c>
    </row>
    <row r="1357" spans="1:6">
      <c r="A1357" s="170" t="str">
        <f>_xlfn.XLOOKUP(B1357 &amp; "-" &amp; TEXT(C1357,"00"),改定!N:N,改定!E:E)</f>
        <v>54721</v>
      </c>
      <c r="B1357" s="119" t="s">
        <v>1839</v>
      </c>
      <c r="C1357" s="120">
        <v>3</v>
      </c>
      <c r="D1357" s="234" t="s">
        <v>199</v>
      </c>
      <c r="F1357" s="248">
        <v>153</v>
      </c>
    </row>
    <row r="1358" spans="1:6">
      <c r="A1358" s="170" t="str">
        <f>_xlfn.XLOOKUP(B1358 &amp; "-" &amp; TEXT(C1358,"00"),改定!N:N,改定!E:E)</f>
        <v>54721</v>
      </c>
      <c r="B1358" s="119" t="s">
        <v>1839</v>
      </c>
      <c r="C1358" s="120">
        <v>3</v>
      </c>
      <c r="D1358" s="234" t="s">
        <v>1153</v>
      </c>
      <c r="F1358" s="248">
        <v>8</v>
      </c>
    </row>
    <row r="1359" spans="1:6">
      <c r="A1359" s="170" t="str">
        <f>_xlfn.XLOOKUP(B1359 &amp; "-" &amp; TEXT(C1359,"00"),改定!N:N,改定!E:E)</f>
        <v>55521</v>
      </c>
      <c r="B1359" s="119" t="s">
        <v>1839</v>
      </c>
      <c r="C1359" s="120">
        <v>4</v>
      </c>
      <c r="D1359" s="234" t="s">
        <v>199</v>
      </c>
      <c r="F1359" s="248" t="s">
        <v>1907</v>
      </c>
    </row>
    <row r="1360" spans="1:6">
      <c r="A1360" s="170" t="str">
        <f>_xlfn.XLOOKUP(B1360 &amp; "-" &amp; TEXT(C1360,"00"),改定!N:N,改定!E:E)</f>
        <v>55521</v>
      </c>
      <c r="B1360" s="119" t="s">
        <v>1839</v>
      </c>
      <c r="C1360" s="120">
        <v>4</v>
      </c>
      <c r="D1360" s="234" t="s">
        <v>1153</v>
      </c>
      <c r="F1360" s="248" t="s">
        <v>1907</v>
      </c>
    </row>
    <row r="1361" spans="1:6">
      <c r="A1361" s="170" t="str">
        <f>_xlfn.XLOOKUP(B1361 &amp; "-" &amp; TEXT(C1361,"00"),改定!N:N,改定!E:E)</f>
        <v>60217</v>
      </c>
      <c r="B1361" s="119" t="s">
        <v>1839</v>
      </c>
      <c r="C1361" s="120">
        <v>5</v>
      </c>
      <c r="D1361" s="234" t="s">
        <v>199</v>
      </c>
      <c r="F1361" s="248">
        <v>1369</v>
      </c>
    </row>
    <row r="1362" spans="1:6">
      <c r="A1362" s="170" t="str">
        <f>_xlfn.XLOOKUP(B1362 &amp; "-" &amp; TEXT(C1362,"00"),改定!N:N,改定!E:E)</f>
        <v>60217</v>
      </c>
      <c r="B1362" s="119" t="s">
        <v>1839</v>
      </c>
      <c r="C1362" s="120">
        <v>5</v>
      </c>
      <c r="D1362" s="234" t="s">
        <v>1153</v>
      </c>
      <c r="F1362" s="248">
        <v>577</v>
      </c>
    </row>
    <row r="1363" spans="1:6">
      <c r="A1363" s="170" t="str">
        <f>_xlfn.XLOOKUP(B1363 &amp; "-" &amp; TEXT(C1363,"00"),改定!N:N,改定!E:E)</f>
        <v>62539</v>
      </c>
      <c r="B1363" s="119" t="s">
        <v>1839</v>
      </c>
      <c r="C1363" s="120">
        <v>6</v>
      </c>
      <c r="D1363" s="234" t="s">
        <v>199</v>
      </c>
      <c r="F1363" s="248">
        <v>2211</v>
      </c>
    </row>
    <row r="1364" spans="1:6">
      <c r="A1364" s="170" t="str">
        <f>_xlfn.XLOOKUP(B1364 &amp; "-" &amp; TEXT(C1364,"00"),改定!N:N,改定!E:E)</f>
        <v>62539</v>
      </c>
      <c r="B1364" s="119" t="s">
        <v>1839</v>
      </c>
      <c r="C1364" s="120">
        <v>6</v>
      </c>
      <c r="D1364" s="234" t="s">
        <v>1153</v>
      </c>
      <c r="F1364" s="248">
        <v>1469</v>
      </c>
    </row>
    <row r="1365" spans="1:6">
      <c r="A1365" s="170" t="str">
        <f>_xlfn.XLOOKUP(B1365 &amp; "-" &amp; TEXT(C1365,"00"),改定!N:N,改定!E:E)</f>
        <v xml:space="preserve">	62938</v>
      </c>
      <c r="B1365" s="119" t="s">
        <v>1839</v>
      </c>
      <c r="C1365" s="120">
        <v>7</v>
      </c>
      <c r="D1365" s="234" t="s">
        <v>199</v>
      </c>
      <c r="F1365" s="248">
        <v>2235</v>
      </c>
    </row>
    <row r="1366" spans="1:6">
      <c r="A1366" s="170" t="str">
        <f>_xlfn.XLOOKUP(B1366 &amp; "-" &amp; TEXT(C1366,"00"),改定!N:N,改定!E:E)</f>
        <v xml:space="preserve">	62938</v>
      </c>
      <c r="B1366" s="119" t="s">
        <v>1839</v>
      </c>
      <c r="C1366" s="120">
        <v>7</v>
      </c>
      <c r="D1366" s="234" t="s">
        <v>1153</v>
      </c>
      <c r="F1366" s="248" t="s">
        <v>1907</v>
      </c>
    </row>
    <row r="1367" spans="1:6">
      <c r="A1367" s="170" t="str">
        <f>_xlfn.XLOOKUP(B1367 &amp; "-" &amp; TEXT(C1367,"00"),改定!N:N,改定!E:E)</f>
        <v>61035</v>
      </c>
      <c r="B1367" s="119" t="s">
        <v>1841</v>
      </c>
      <c r="C1367" s="120">
        <v>0</v>
      </c>
      <c r="D1367" s="234" t="s">
        <v>199</v>
      </c>
      <c r="F1367" s="248" t="s">
        <v>1907</v>
      </c>
    </row>
    <row r="1368" spans="1:6">
      <c r="A1368" s="170" t="str">
        <f>_xlfn.XLOOKUP(B1368 &amp; "-" &amp; TEXT(C1368,"00"),改定!N:N,改定!E:E)</f>
        <v>61035</v>
      </c>
      <c r="B1368" s="119" t="s">
        <v>1841</v>
      </c>
      <c r="C1368" s="120">
        <v>0</v>
      </c>
      <c r="D1368" s="234" t="s">
        <v>1153</v>
      </c>
      <c r="F1368" s="248" t="s">
        <v>1907</v>
      </c>
    </row>
    <row r="1369" spans="1:6">
      <c r="A1369" s="170" t="str">
        <f>_xlfn.XLOOKUP(B1369 &amp; "-" &amp; TEXT(C1369,"00"),改定!N:N,改定!E:E)</f>
        <v>61445</v>
      </c>
      <c r="B1369" s="119" t="s">
        <v>1841</v>
      </c>
      <c r="C1369" s="120">
        <v>1</v>
      </c>
      <c r="D1369" s="234" t="s">
        <v>199</v>
      </c>
      <c r="F1369" s="248">
        <v>2100</v>
      </c>
    </row>
    <row r="1370" spans="1:6">
      <c r="A1370" s="170" t="str">
        <f>_xlfn.XLOOKUP(B1370 &amp; "-" &amp; TEXT(C1370,"00"),改定!N:N,改定!E:E)</f>
        <v>61445</v>
      </c>
      <c r="B1370" s="119" t="s">
        <v>1841</v>
      </c>
      <c r="C1370" s="120">
        <v>1</v>
      </c>
      <c r="D1370" s="234" t="s">
        <v>1153</v>
      </c>
      <c r="F1370" s="248">
        <v>1274</v>
      </c>
    </row>
    <row r="1371" spans="1:6">
      <c r="A1371" s="170" t="str">
        <f>_xlfn.XLOOKUP(B1371 &amp; "-" &amp; TEXT(C1371,"00"),改定!N:N,改定!E:E)</f>
        <v>62539</v>
      </c>
      <c r="B1371" s="119" t="s">
        <v>1841</v>
      </c>
      <c r="C1371" s="120">
        <v>2</v>
      </c>
      <c r="D1371" s="234" t="s">
        <v>199</v>
      </c>
      <c r="F1371" s="248">
        <v>1469</v>
      </c>
    </row>
    <row r="1372" spans="1:6">
      <c r="A1372" s="170" t="str">
        <f>_xlfn.XLOOKUP(B1372 &amp; "-" &amp; TEXT(C1372,"00"),改定!N:N,改定!E:E)</f>
        <v>62539</v>
      </c>
      <c r="B1372" s="119" t="s">
        <v>1841</v>
      </c>
      <c r="C1372" s="120">
        <v>2</v>
      </c>
      <c r="D1372" s="234" t="s">
        <v>1153</v>
      </c>
      <c r="F1372" s="248">
        <v>2211</v>
      </c>
    </row>
    <row r="1373" spans="1:6">
      <c r="A1373" s="170" t="str">
        <f>_xlfn.XLOOKUP(B1373 &amp; "-" &amp; TEXT(C1373,"00"),改定!N:N,改定!E:E)</f>
        <v>62938</v>
      </c>
      <c r="B1373" s="119" t="s">
        <v>1841</v>
      </c>
      <c r="C1373" s="120">
        <v>3</v>
      </c>
      <c r="D1373" s="234" t="s">
        <v>1913</v>
      </c>
      <c r="F1373" s="248">
        <v>2235</v>
      </c>
    </row>
    <row r="1374" spans="1:6">
      <c r="A1374" s="170" t="str">
        <f>_xlfn.XLOOKUP(B1374 &amp; "-" &amp; TEXT(C1374,"00"),改定!N:N,改定!E:E)</f>
        <v>62938</v>
      </c>
      <c r="B1374" s="119" t="s">
        <v>1841</v>
      </c>
      <c r="C1374" s="120">
        <v>3</v>
      </c>
      <c r="D1374" s="234" t="s">
        <v>1912</v>
      </c>
      <c r="F1374" s="248" t="s">
        <v>1907</v>
      </c>
    </row>
    <row r="1375" spans="1:6">
      <c r="A1375" s="170">
        <f>_xlfn.XLOOKUP(B1375 &amp; "-" &amp; TEXT(C1375,"00"),改定!N:N,改定!E:E)</f>
        <v>51442</v>
      </c>
      <c r="B1375" s="119" t="s">
        <v>1914</v>
      </c>
      <c r="C1375" s="120">
        <v>0</v>
      </c>
      <c r="D1375" s="234" t="s">
        <v>1913</v>
      </c>
      <c r="F1375" s="248" t="s">
        <v>1907</v>
      </c>
    </row>
    <row r="1376" spans="1:6">
      <c r="A1376" s="170">
        <f>_xlfn.XLOOKUP(B1376 &amp; "-" &amp; TEXT(C1376,"00"),改定!N:N,改定!E:E)</f>
        <v>51442</v>
      </c>
      <c r="B1376" s="119" t="s">
        <v>1914</v>
      </c>
      <c r="C1376" s="120">
        <v>0</v>
      </c>
      <c r="D1376" s="234" t="s">
        <v>1912</v>
      </c>
      <c r="F1376" s="248" t="s">
        <v>1907</v>
      </c>
    </row>
    <row r="1377" spans="1:6">
      <c r="A1377" s="170">
        <f>_xlfn.XLOOKUP(B1377 &amp; "-" &amp; TEXT(C1377,"00"),改定!N:N,改定!E:E)</f>
        <v>54055</v>
      </c>
      <c r="B1377" s="119" t="s">
        <v>1914</v>
      </c>
      <c r="C1377" s="120">
        <v>1</v>
      </c>
      <c r="D1377" s="234" t="s">
        <v>1913</v>
      </c>
      <c r="F1377" s="248">
        <v>8</v>
      </c>
    </row>
    <row r="1378" spans="1:6">
      <c r="A1378" s="170">
        <f>_xlfn.XLOOKUP(B1378 &amp; "-" &amp; TEXT(C1378,"00"),改定!N:N,改定!E:E)</f>
        <v>54055</v>
      </c>
      <c r="B1378" s="119" t="s">
        <v>1914</v>
      </c>
      <c r="C1378" s="120">
        <v>1</v>
      </c>
      <c r="D1378" s="234" t="s">
        <v>1912</v>
      </c>
      <c r="F1378" s="248">
        <v>7</v>
      </c>
    </row>
    <row r="1379" spans="1:6">
      <c r="A1379" s="170">
        <f>_xlfn.XLOOKUP(B1379 &amp; "-" &amp; TEXT(C1379,"00"),改定!N:N,改定!E:E)</f>
        <v>61727</v>
      </c>
      <c r="B1379" s="119" t="s">
        <v>1914</v>
      </c>
      <c r="C1379" s="120">
        <v>2</v>
      </c>
      <c r="D1379" s="234" t="s">
        <v>1913</v>
      </c>
      <c r="E1379" s="248">
        <v>2109</v>
      </c>
    </row>
    <row r="1380" spans="1:6">
      <c r="A1380" s="170">
        <f>_xlfn.XLOOKUP(B1380 &amp; "-" &amp; TEXT(C1380,"00"),改定!N:N,改定!E:E)</f>
        <v>61727</v>
      </c>
      <c r="B1380" s="119" t="s">
        <v>1914</v>
      </c>
      <c r="C1380" s="120">
        <v>2</v>
      </c>
      <c r="D1380" s="234" t="s">
        <v>1912</v>
      </c>
      <c r="E1380" s="248">
        <v>1296</v>
      </c>
    </row>
    <row r="1381" spans="1:6">
      <c r="A1381" s="170">
        <f>_xlfn.XLOOKUP(B1381 &amp; "-" &amp; TEXT(C1381,"00"),改定!N:N,改定!E:E)</f>
        <v>62317</v>
      </c>
      <c r="B1381" s="119" t="s">
        <v>1914</v>
      </c>
      <c r="C1381" s="120">
        <v>3</v>
      </c>
      <c r="D1381" s="234" t="s">
        <v>1913</v>
      </c>
    </row>
    <row r="1382" spans="1:6">
      <c r="A1382" s="170">
        <f>_xlfn.XLOOKUP(B1382 &amp; "-" &amp; TEXT(C1382,"00"),改定!N:N,改定!E:E)</f>
        <v>62317</v>
      </c>
      <c r="B1382" s="119" t="s">
        <v>1914</v>
      </c>
      <c r="C1382" s="120">
        <v>3</v>
      </c>
      <c r="D1382" s="234" t="s">
        <v>1912</v>
      </c>
    </row>
    <row r="1383" spans="1:6">
      <c r="A1383" s="170" t="str">
        <f>_xlfn.XLOOKUP(B1383 &amp; "-" &amp; TEXT(C1383,"00"),改定!N:N,改定!E:E)</f>
        <v>62602</v>
      </c>
      <c r="B1383" s="119" t="s">
        <v>1379</v>
      </c>
      <c r="C1383" s="120">
        <v>0</v>
      </c>
      <c r="D1383" s="234" t="s">
        <v>1921</v>
      </c>
      <c r="F1383" s="248">
        <v>5</v>
      </c>
    </row>
    <row r="1384" spans="1:6">
      <c r="A1384" s="170" t="str">
        <f>_xlfn.XLOOKUP(B1384 &amp; "-" &amp; TEXT(C1384,"00"),改定!N:N,改定!E:E)</f>
        <v>62602</v>
      </c>
      <c r="B1384" s="119" t="s">
        <v>1379</v>
      </c>
      <c r="C1384" s="120">
        <v>0</v>
      </c>
      <c r="D1384" s="234" t="s">
        <v>1922</v>
      </c>
      <c r="F1384" s="248">
        <v>2</v>
      </c>
    </row>
    <row r="1385" spans="1:6">
      <c r="A1385" s="170" t="str">
        <f>_xlfn.XLOOKUP(B1385 &amp; "-" &amp; TEXT(C1385,"00"),改定!N:N,改定!E:E)</f>
        <v>63187</v>
      </c>
      <c r="B1385" s="119" t="s">
        <v>1379</v>
      </c>
      <c r="C1385" s="120">
        <v>1</v>
      </c>
      <c r="D1385" s="234" t="s">
        <v>1921</v>
      </c>
      <c r="F1385" s="248" t="s">
        <v>1907</v>
      </c>
    </row>
    <row r="1386" spans="1:6">
      <c r="A1386" s="170" t="str">
        <f>_xlfn.XLOOKUP(B1386 &amp; "-" &amp; TEXT(C1386,"00"),改定!N:N,改定!E:E)</f>
        <v>63187</v>
      </c>
      <c r="B1386" s="119" t="s">
        <v>1379</v>
      </c>
      <c r="C1386" s="120">
        <v>1</v>
      </c>
      <c r="D1386" s="234" t="s">
        <v>1922</v>
      </c>
      <c r="F1386" s="248" t="s">
        <v>1907</v>
      </c>
    </row>
    <row r="1387" spans="1:6">
      <c r="A1387" s="170" t="str">
        <f>_xlfn.XLOOKUP(B1387 &amp; "-" &amp; TEXT(C1387,"00"),改定!N:N,改定!E:E)</f>
        <v>B008955</v>
      </c>
      <c r="B1387" s="119" t="s">
        <v>1923</v>
      </c>
      <c r="C1387" s="120">
        <v>0</v>
      </c>
      <c r="D1387" s="234" t="s">
        <v>1934</v>
      </c>
      <c r="F1387" s="248" t="s">
        <v>1907</v>
      </c>
    </row>
    <row r="1388" spans="1:6">
      <c r="A1388" s="170" t="str">
        <f>_xlfn.XLOOKUP(B1388 &amp; "-" &amp; TEXT(C1388,"00"),改定!N:N,改定!E:E)</f>
        <v>B008955</v>
      </c>
      <c r="B1388" s="119" t="s">
        <v>1923</v>
      </c>
      <c r="C1388" s="120">
        <v>0</v>
      </c>
      <c r="D1388" s="234" t="s">
        <v>1935</v>
      </c>
      <c r="F1388" s="248" t="s">
        <v>1907</v>
      </c>
    </row>
    <row r="1389" spans="1:6">
      <c r="A1389" s="170" t="str">
        <f>_xlfn.XLOOKUP(B1389 &amp; "-" &amp; TEXT(C1389,"00"),改定!N:N,改定!E:E)</f>
        <v>B008955</v>
      </c>
      <c r="B1389" s="119" t="s">
        <v>1923</v>
      </c>
      <c r="C1389" s="120">
        <v>0</v>
      </c>
      <c r="D1389" s="234" t="s">
        <v>1936</v>
      </c>
      <c r="F1389" s="248" t="s">
        <v>1907</v>
      </c>
    </row>
    <row r="1390" spans="1:6">
      <c r="A1390" s="170" t="str">
        <f>_xlfn.XLOOKUP(B1390 &amp; "-" &amp; TEXT(C1390,"00"),改定!N:N,改定!E:E)</f>
        <v>B008955</v>
      </c>
      <c r="B1390" s="119" t="s">
        <v>1923</v>
      </c>
      <c r="C1390" s="120">
        <v>0</v>
      </c>
      <c r="D1390" s="234" t="s">
        <v>1937</v>
      </c>
      <c r="F1390" s="248" t="s">
        <v>1907</v>
      </c>
    </row>
    <row r="1391" spans="1:6">
      <c r="A1391" s="170" t="str">
        <f>_xlfn.XLOOKUP(B1391 &amp; "-" &amp; TEXT(C1391,"00"),改定!N:N,改定!E:E)</f>
        <v>B008955</v>
      </c>
      <c r="B1391" s="119" t="s">
        <v>1923</v>
      </c>
      <c r="C1391" s="120">
        <v>0</v>
      </c>
      <c r="D1391" s="234" t="s">
        <v>1938</v>
      </c>
      <c r="F1391" s="248" t="s">
        <v>1907</v>
      </c>
    </row>
    <row r="1392" spans="1:6">
      <c r="A1392" s="170" t="str">
        <f>_xlfn.XLOOKUP(B1392 &amp; "-" &amp; TEXT(C1392,"00"),改定!N:N,改定!E:E)</f>
        <v>B008955</v>
      </c>
      <c r="B1392" s="119" t="s">
        <v>1923</v>
      </c>
      <c r="C1392" s="120">
        <v>0</v>
      </c>
      <c r="D1392" s="234" t="s">
        <v>1939</v>
      </c>
      <c r="F1392" s="248" t="s">
        <v>1907</v>
      </c>
    </row>
    <row r="1393" spans="1:6">
      <c r="A1393" s="170" t="str">
        <f>_xlfn.XLOOKUP(B1393 &amp; "-" &amp; TEXT(C1393,"00"),改定!N:N,改定!E:E)</f>
        <v>B008955</v>
      </c>
      <c r="B1393" s="119" t="s">
        <v>1923</v>
      </c>
      <c r="C1393" s="120">
        <v>0</v>
      </c>
      <c r="D1393" s="234" t="s">
        <v>1940</v>
      </c>
      <c r="F1393" s="248" t="s">
        <v>1907</v>
      </c>
    </row>
    <row r="1394" spans="1:6">
      <c r="A1394" s="170" t="str">
        <f>_xlfn.XLOOKUP(B1394 &amp; "-" &amp; TEXT(C1394,"00"),改定!N:N,改定!E:E)</f>
        <v>B008955</v>
      </c>
      <c r="B1394" s="119" t="s">
        <v>1923</v>
      </c>
      <c r="C1394" s="120">
        <v>0</v>
      </c>
      <c r="D1394" s="234" t="s">
        <v>1941</v>
      </c>
      <c r="F1394" s="248" t="s">
        <v>1907</v>
      </c>
    </row>
    <row r="1395" spans="1:6">
      <c r="A1395" s="170" t="str">
        <f>_xlfn.XLOOKUP(B1395 &amp; "-" &amp; TEXT(C1395,"00"),改定!N:N,改定!E:E)</f>
        <v>B008955</v>
      </c>
      <c r="B1395" s="119" t="s">
        <v>1923</v>
      </c>
      <c r="C1395" s="120">
        <v>0</v>
      </c>
      <c r="D1395" s="234" t="s">
        <v>1942</v>
      </c>
      <c r="F1395" s="248" t="s">
        <v>1907</v>
      </c>
    </row>
    <row r="1396" spans="1:6">
      <c r="A1396" s="170" t="str">
        <f>_xlfn.XLOOKUP(B1396 &amp; "-" &amp; TEXT(C1396,"00"),改定!N:N,改定!E:E)</f>
        <v>56003</v>
      </c>
      <c r="B1396" s="119" t="s">
        <v>1923</v>
      </c>
      <c r="C1396" s="145">
        <v>1</v>
      </c>
      <c r="D1396" s="234" t="s">
        <v>1934</v>
      </c>
      <c r="F1396" s="248">
        <v>4678</v>
      </c>
    </row>
    <row r="1397" spans="1:6">
      <c r="A1397" s="170" t="str">
        <f>_xlfn.XLOOKUP(B1397 &amp; "-" &amp; TEXT(C1397,"00"),改定!N:N,改定!E:E)</f>
        <v>56003</v>
      </c>
      <c r="B1397" s="119" t="s">
        <v>1923</v>
      </c>
      <c r="C1397" s="145">
        <v>1</v>
      </c>
      <c r="D1397" s="234" t="s">
        <v>1943</v>
      </c>
      <c r="F1397" s="248">
        <v>157</v>
      </c>
    </row>
    <row r="1398" spans="1:6">
      <c r="A1398" s="170" t="str">
        <f>_xlfn.XLOOKUP(B1398 &amp; "-" &amp; TEXT(C1398,"00"),改定!N:N,改定!E:E)</f>
        <v>56003</v>
      </c>
      <c r="B1398" s="119" t="s">
        <v>1923</v>
      </c>
      <c r="C1398" s="145">
        <v>1</v>
      </c>
      <c r="D1398" s="234" t="s">
        <v>1944</v>
      </c>
      <c r="F1398" s="248">
        <v>5415</v>
      </c>
    </row>
    <row r="1399" spans="1:6">
      <c r="A1399" s="170" t="str">
        <f>_xlfn.XLOOKUP(B1399 &amp; "-" &amp; TEXT(C1399,"00"),改定!N:N,改定!E:E)</f>
        <v>56003</v>
      </c>
      <c r="B1399" s="119" t="s">
        <v>1923</v>
      </c>
      <c r="C1399" s="145">
        <v>1</v>
      </c>
      <c r="D1399" s="234" t="s">
        <v>1945</v>
      </c>
      <c r="F1399" s="248">
        <v>6809</v>
      </c>
    </row>
    <row r="1400" spans="1:6">
      <c r="A1400" s="170" t="str">
        <f>_xlfn.XLOOKUP(B1400 &amp; "-" &amp; TEXT(C1400,"00"),改定!N:N,改定!E:E)</f>
        <v>56003</v>
      </c>
      <c r="B1400" s="119" t="s">
        <v>1923</v>
      </c>
      <c r="C1400" s="145">
        <v>1</v>
      </c>
      <c r="D1400" s="234" t="s">
        <v>1938</v>
      </c>
      <c r="F1400" s="248">
        <v>6996</v>
      </c>
    </row>
    <row r="1401" spans="1:6">
      <c r="A1401" s="170" t="str">
        <f>_xlfn.XLOOKUP(B1401 &amp; "-" &amp; TEXT(C1401,"00"),改定!N:N,改定!E:E)</f>
        <v>56003</v>
      </c>
      <c r="B1401" s="119" t="s">
        <v>1923</v>
      </c>
      <c r="C1401" s="145">
        <v>1</v>
      </c>
      <c r="D1401" s="234" t="s">
        <v>1946</v>
      </c>
      <c r="F1401" s="248">
        <v>435</v>
      </c>
    </row>
    <row r="1402" spans="1:6">
      <c r="A1402" s="170" t="str">
        <f>_xlfn.XLOOKUP(B1402 &amp; "-" &amp; TEXT(C1402,"00"),改定!N:N,改定!E:E)</f>
        <v>56003</v>
      </c>
      <c r="B1402" s="119" t="s">
        <v>1923</v>
      </c>
      <c r="C1402" s="145">
        <v>1</v>
      </c>
      <c r="D1402" s="234" t="s">
        <v>1947</v>
      </c>
      <c r="F1402" s="248">
        <v>6884</v>
      </c>
    </row>
    <row r="1403" spans="1:6">
      <c r="A1403" s="170" t="str">
        <f>_xlfn.XLOOKUP(B1403 &amp; "-" &amp; TEXT(C1403,"00"),改定!N:N,改定!E:E)</f>
        <v>56003</v>
      </c>
      <c r="B1403" s="119" t="s">
        <v>1923</v>
      </c>
      <c r="C1403" s="145">
        <v>1</v>
      </c>
      <c r="D1403" s="234" t="s">
        <v>1941</v>
      </c>
      <c r="F1403" s="248">
        <v>377</v>
      </c>
    </row>
    <row r="1404" spans="1:6">
      <c r="A1404" s="170" t="str">
        <f>_xlfn.XLOOKUP(B1404 &amp; "-" &amp; TEXT(C1404,"00"),改定!N:N,改定!E:E)</f>
        <v>56003</v>
      </c>
      <c r="B1404" s="119" t="s">
        <v>1923</v>
      </c>
      <c r="C1404" s="145">
        <v>1</v>
      </c>
      <c r="D1404" s="234" t="s">
        <v>1942</v>
      </c>
      <c r="F1404" s="248">
        <v>100</v>
      </c>
    </row>
    <row r="1405" spans="1:6">
      <c r="A1405" s="170" t="str">
        <f>_xlfn.XLOOKUP(B1405 &amp; "-" &amp; TEXT(C1405,"00"),改定!N:N,改定!E:E)</f>
        <v>56041</v>
      </c>
      <c r="B1405" s="119" t="s">
        <v>1923</v>
      </c>
      <c r="C1405" s="145">
        <v>2</v>
      </c>
      <c r="D1405" s="176" t="s">
        <v>825</v>
      </c>
      <c r="E1405" s="254">
        <v>4678</v>
      </c>
      <c r="F1405" s="248" t="s">
        <v>1907</v>
      </c>
    </row>
    <row r="1406" spans="1:6">
      <c r="A1406" s="170" t="str">
        <f>_xlfn.XLOOKUP(B1406 &amp; "-" &amp; TEXT(C1406,"00"),改定!N:N,改定!E:E)</f>
        <v>56041</v>
      </c>
      <c r="B1406" s="119" t="s">
        <v>1923</v>
      </c>
      <c r="C1406" s="145">
        <v>2</v>
      </c>
      <c r="D1406" s="176" t="s">
        <v>871</v>
      </c>
      <c r="E1406" s="254">
        <v>157</v>
      </c>
      <c r="F1406" s="248" t="s">
        <v>1907</v>
      </c>
    </row>
    <row r="1407" spans="1:6">
      <c r="A1407" s="170" t="str">
        <f>_xlfn.XLOOKUP(B1407 &amp; "-" &amp; TEXT(C1407,"00"),改定!N:N,改定!E:E)</f>
        <v>56041</v>
      </c>
      <c r="B1407" s="119" t="s">
        <v>1923</v>
      </c>
      <c r="C1407" s="145">
        <v>2</v>
      </c>
      <c r="D1407" s="176" t="s">
        <v>973</v>
      </c>
      <c r="E1407" s="254">
        <v>5415</v>
      </c>
      <c r="F1407" s="248" t="s">
        <v>1907</v>
      </c>
    </row>
    <row r="1408" spans="1:6">
      <c r="A1408" s="170" t="str">
        <f>_xlfn.XLOOKUP(B1408 &amp; "-" &amp; TEXT(C1408,"00"),改定!N:N,改定!E:E)</f>
        <v>56041</v>
      </c>
      <c r="B1408" s="119" t="s">
        <v>1923</v>
      </c>
      <c r="C1408" s="145">
        <v>2</v>
      </c>
      <c r="D1408" s="176" t="s">
        <v>536</v>
      </c>
      <c r="E1408" s="254">
        <v>6884</v>
      </c>
      <c r="F1408" s="248" t="s">
        <v>1907</v>
      </c>
    </row>
    <row r="1409" spans="1:6">
      <c r="A1409" s="170" t="str">
        <f>_xlfn.XLOOKUP(B1409 &amp; "-" &amp; TEXT(C1409,"00"),改定!N:N,改定!E:E)</f>
        <v>56041</v>
      </c>
      <c r="B1409" s="119" t="s">
        <v>1923</v>
      </c>
      <c r="C1409" s="145">
        <v>2</v>
      </c>
      <c r="D1409" s="176" t="s">
        <v>545</v>
      </c>
      <c r="E1409" s="254">
        <v>435</v>
      </c>
      <c r="F1409" s="248" t="s">
        <v>1907</v>
      </c>
    </row>
    <row r="1410" spans="1:6">
      <c r="A1410" s="170" t="str">
        <f>_xlfn.XLOOKUP(B1410 &amp; "-" &amp; TEXT(C1410,"00"),改定!N:N,改定!E:E)</f>
        <v>56041</v>
      </c>
      <c r="B1410" s="119" t="s">
        <v>1923</v>
      </c>
      <c r="C1410" s="145">
        <v>2</v>
      </c>
      <c r="D1410" s="176" t="s">
        <v>537</v>
      </c>
      <c r="E1410" s="254">
        <v>6809</v>
      </c>
      <c r="F1410" s="248" t="s">
        <v>1907</v>
      </c>
    </row>
    <row r="1411" spans="1:6">
      <c r="A1411" s="170" t="str">
        <f>_xlfn.XLOOKUP(B1411 &amp; "-" &amp; TEXT(C1411,"00"),改定!N:N,改定!E:E)</f>
        <v>56041</v>
      </c>
      <c r="B1411" s="119" t="s">
        <v>1923</v>
      </c>
      <c r="C1411" s="145">
        <v>2</v>
      </c>
      <c r="D1411" s="176" t="s">
        <v>546</v>
      </c>
      <c r="E1411" s="254">
        <v>100</v>
      </c>
      <c r="F1411" s="248" t="s">
        <v>1907</v>
      </c>
    </row>
    <row r="1412" spans="1:6">
      <c r="A1412" s="170" t="str">
        <f>_xlfn.XLOOKUP(B1412 &amp; "-" &amp; TEXT(C1412,"00"),改定!N:N,改定!E:E)</f>
        <v>56041</v>
      </c>
      <c r="B1412" s="119" t="s">
        <v>1923</v>
      </c>
      <c r="C1412" s="145">
        <v>2</v>
      </c>
      <c r="D1412" s="176" t="s">
        <v>515</v>
      </c>
      <c r="E1412" s="254">
        <v>6990</v>
      </c>
      <c r="F1412" s="248" t="s">
        <v>1907</v>
      </c>
    </row>
    <row r="1413" spans="1:6">
      <c r="A1413" s="170" t="str">
        <f>_xlfn.XLOOKUP(B1413 &amp; "-" &amp; TEXT(C1413,"00"),改定!N:N,改定!E:E)</f>
        <v>56041</v>
      </c>
      <c r="B1413" s="119" t="s">
        <v>1923</v>
      </c>
      <c r="C1413" s="145">
        <v>2</v>
      </c>
      <c r="D1413" s="176" t="s">
        <v>547</v>
      </c>
      <c r="E1413" s="254">
        <v>377</v>
      </c>
      <c r="F1413" s="248" t="s">
        <v>1907</v>
      </c>
    </row>
    <row r="1414" spans="1:6">
      <c r="A1414" s="170" t="str">
        <f>_xlfn.XLOOKUP(B1414 &amp; "-" &amp; TEXT(C1414,"00"),改定!N:N,改定!E:E)</f>
        <v>56084</v>
      </c>
      <c r="B1414" s="119" t="s">
        <v>1923</v>
      </c>
      <c r="C1414" s="120">
        <v>3</v>
      </c>
      <c r="D1414" s="176" t="s">
        <v>825</v>
      </c>
      <c r="E1414" s="254">
        <v>4841</v>
      </c>
      <c r="F1414" s="248" t="s">
        <v>1907</v>
      </c>
    </row>
    <row r="1415" spans="1:6">
      <c r="A1415" s="170" t="str">
        <f>_xlfn.XLOOKUP(B1415 &amp; "-" &amp; TEXT(C1415,"00"),改定!N:N,改定!E:E)</f>
        <v>56084</v>
      </c>
      <c r="B1415" s="119" t="s">
        <v>1923</v>
      </c>
      <c r="C1415" s="120">
        <v>3</v>
      </c>
      <c r="D1415" s="176" t="s">
        <v>871</v>
      </c>
      <c r="E1415" s="254">
        <v>172</v>
      </c>
      <c r="F1415" s="248" t="s">
        <v>1907</v>
      </c>
    </row>
    <row r="1416" spans="1:6">
      <c r="A1416" s="170" t="str">
        <f>_xlfn.XLOOKUP(B1416 &amp; "-" &amp; TEXT(C1416,"00"),改定!N:N,改定!E:E)</f>
        <v>56084</v>
      </c>
      <c r="B1416" s="119" t="s">
        <v>1923</v>
      </c>
      <c r="C1416" s="120">
        <v>3</v>
      </c>
      <c r="D1416" s="176" t="s">
        <v>973</v>
      </c>
      <c r="E1416" s="254">
        <v>5794</v>
      </c>
      <c r="F1416" s="248" t="s">
        <v>1907</v>
      </c>
    </row>
    <row r="1417" spans="1:6">
      <c r="A1417" s="170" t="str">
        <f>_xlfn.XLOOKUP(B1417 &amp; "-" &amp; TEXT(C1417,"00"),改定!N:N,改定!E:E)</f>
        <v>56084</v>
      </c>
      <c r="B1417" s="119" t="s">
        <v>1923</v>
      </c>
      <c r="C1417" s="120">
        <v>3</v>
      </c>
      <c r="D1417" s="176" t="s">
        <v>536</v>
      </c>
      <c r="E1417" s="254">
        <v>7055</v>
      </c>
      <c r="F1417" s="248" t="s">
        <v>1907</v>
      </c>
    </row>
    <row r="1418" spans="1:6">
      <c r="A1418" s="170" t="str">
        <f>_xlfn.XLOOKUP(B1418 &amp; "-" &amp; TEXT(C1418,"00"),改定!N:N,改定!E:E)</f>
        <v>56084</v>
      </c>
      <c r="B1418" s="119" t="s">
        <v>1923</v>
      </c>
      <c r="C1418" s="120">
        <v>3</v>
      </c>
      <c r="D1418" s="176" t="s">
        <v>545</v>
      </c>
      <c r="E1418" s="254">
        <v>462</v>
      </c>
      <c r="F1418" s="248" t="s">
        <v>1907</v>
      </c>
    </row>
    <row r="1419" spans="1:6">
      <c r="A1419" s="170" t="str">
        <f>_xlfn.XLOOKUP(B1419 &amp; "-" &amp; TEXT(C1419,"00"),改定!N:N,改定!E:E)</f>
        <v>56084</v>
      </c>
      <c r="B1419" s="119" t="s">
        <v>1923</v>
      </c>
      <c r="C1419" s="120">
        <v>3</v>
      </c>
      <c r="D1419" s="176" t="s">
        <v>537</v>
      </c>
      <c r="E1419" s="254">
        <v>7033</v>
      </c>
      <c r="F1419" s="248" t="s">
        <v>1907</v>
      </c>
    </row>
    <row r="1420" spans="1:6">
      <c r="A1420" s="170" t="str">
        <f>_xlfn.XLOOKUP(B1420 &amp; "-" &amp; TEXT(C1420,"00"),改定!N:N,改定!E:E)</f>
        <v>56084</v>
      </c>
      <c r="B1420" s="119" t="s">
        <v>1923</v>
      </c>
      <c r="C1420" s="120">
        <v>3</v>
      </c>
      <c r="D1420" s="176" t="s">
        <v>546</v>
      </c>
      <c r="E1420" s="254">
        <v>119</v>
      </c>
      <c r="F1420" s="248" t="s">
        <v>1907</v>
      </c>
    </row>
    <row r="1421" spans="1:6">
      <c r="A1421" s="170" t="str">
        <f>_xlfn.XLOOKUP(B1421 &amp; "-" &amp; TEXT(C1421,"00"),改定!N:N,改定!E:E)</f>
        <v>56084</v>
      </c>
      <c r="B1421" s="119" t="s">
        <v>1923</v>
      </c>
      <c r="C1421" s="120">
        <v>3</v>
      </c>
      <c r="D1421" s="176" t="s">
        <v>515</v>
      </c>
      <c r="E1421" s="254">
        <v>7245</v>
      </c>
      <c r="F1421" s="248" t="s">
        <v>1907</v>
      </c>
    </row>
    <row r="1422" spans="1:6">
      <c r="A1422" s="170" t="str">
        <f>_xlfn.XLOOKUP(B1422 &amp; "-" &amp; TEXT(C1422,"00"),改定!N:N,改定!E:E)</f>
        <v>56084</v>
      </c>
      <c r="B1422" s="119" t="s">
        <v>1923</v>
      </c>
      <c r="C1422" s="120">
        <v>3</v>
      </c>
      <c r="D1422" s="176" t="s">
        <v>547</v>
      </c>
      <c r="E1422" s="254">
        <v>398</v>
      </c>
      <c r="F1422" s="248" t="s">
        <v>1907</v>
      </c>
    </row>
    <row r="1423" spans="1:6">
      <c r="A1423" s="170" t="str">
        <f>_xlfn.XLOOKUP(B1423 &amp; "-" &amp; TEXT(C1423,"00"),改定!N:N,改定!E:E)</f>
        <v>56317</v>
      </c>
      <c r="B1423" s="119" t="s">
        <v>1923</v>
      </c>
      <c r="C1423" s="120">
        <v>4</v>
      </c>
      <c r="D1423" s="176" t="s">
        <v>825</v>
      </c>
      <c r="F1423" s="254">
        <v>4678</v>
      </c>
    </row>
    <row r="1424" spans="1:6">
      <c r="A1424" s="170" t="str">
        <f>_xlfn.XLOOKUP(B1424 &amp; "-" &amp; TEXT(C1424,"00"),改定!N:N,改定!E:E)</f>
        <v>56317</v>
      </c>
      <c r="B1424" s="119" t="s">
        <v>1923</v>
      </c>
      <c r="C1424" s="120">
        <v>4</v>
      </c>
      <c r="D1424" s="176" t="s">
        <v>871</v>
      </c>
      <c r="F1424" s="254">
        <v>157</v>
      </c>
    </row>
    <row r="1425" spans="1:6">
      <c r="A1425" s="170" t="str">
        <f>_xlfn.XLOOKUP(B1425 &amp; "-" &amp; TEXT(C1425,"00"),改定!N:N,改定!E:E)</f>
        <v>56317</v>
      </c>
      <c r="B1425" s="119" t="s">
        <v>1923</v>
      </c>
      <c r="C1425" s="120">
        <v>4</v>
      </c>
      <c r="D1425" s="176" t="s">
        <v>973</v>
      </c>
      <c r="F1425" s="254">
        <v>5415</v>
      </c>
    </row>
    <row r="1426" spans="1:6">
      <c r="A1426" s="170" t="str">
        <f>_xlfn.XLOOKUP(B1426 &amp; "-" &amp; TEXT(C1426,"00"),改定!N:N,改定!E:E)</f>
        <v>56317</v>
      </c>
      <c r="B1426" s="119" t="s">
        <v>1923</v>
      </c>
      <c r="C1426" s="120">
        <v>4</v>
      </c>
      <c r="D1426" s="176" t="s">
        <v>536</v>
      </c>
      <c r="F1426" s="254">
        <v>6884</v>
      </c>
    </row>
    <row r="1427" spans="1:6">
      <c r="A1427" s="170" t="str">
        <f>_xlfn.XLOOKUP(B1427 &amp; "-" &amp; TEXT(C1427,"00"),改定!N:N,改定!E:E)</f>
        <v>56317</v>
      </c>
      <c r="B1427" s="119" t="s">
        <v>1923</v>
      </c>
      <c r="C1427" s="120">
        <v>4</v>
      </c>
      <c r="D1427" s="176" t="s">
        <v>545</v>
      </c>
      <c r="F1427" s="254">
        <v>435</v>
      </c>
    </row>
    <row r="1428" spans="1:6">
      <c r="A1428" s="170" t="str">
        <f>_xlfn.XLOOKUP(B1428 &amp; "-" &amp; TEXT(C1428,"00"),改定!N:N,改定!E:E)</f>
        <v>56317</v>
      </c>
      <c r="B1428" s="119" t="s">
        <v>1923</v>
      </c>
      <c r="C1428" s="120">
        <v>4</v>
      </c>
      <c r="D1428" s="176" t="s">
        <v>537</v>
      </c>
      <c r="F1428" s="254">
        <v>6809</v>
      </c>
    </row>
    <row r="1429" spans="1:6">
      <c r="A1429" s="170" t="str">
        <f>_xlfn.XLOOKUP(B1429 &amp; "-" &amp; TEXT(C1429,"00"),改定!N:N,改定!E:E)</f>
        <v>56317</v>
      </c>
      <c r="B1429" s="119" t="s">
        <v>1923</v>
      </c>
      <c r="C1429" s="120">
        <v>4</v>
      </c>
      <c r="D1429" s="176" t="s">
        <v>546</v>
      </c>
      <c r="F1429" s="254">
        <v>100</v>
      </c>
    </row>
    <row r="1430" spans="1:6">
      <c r="A1430" s="170" t="str">
        <f>_xlfn.XLOOKUP(B1430 &amp; "-" &amp; TEXT(C1430,"00"),改定!N:N,改定!E:E)</f>
        <v>56317</v>
      </c>
      <c r="B1430" s="119" t="s">
        <v>1923</v>
      </c>
      <c r="C1430" s="120">
        <v>4</v>
      </c>
      <c r="D1430" s="176" t="s">
        <v>515</v>
      </c>
      <c r="F1430" s="254">
        <v>6996</v>
      </c>
    </row>
    <row r="1431" spans="1:6">
      <c r="A1431" s="170" t="str">
        <f>_xlfn.XLOOKUP(B1431 &amp; "-" &amp; TEXT(C1431,"00"),改定!N:N,改定!E:E)</f>
        <v>56317</v>
      </c>
      <c r="B1431" s="119" t="s">
        <v>1923</v>
      </c>
      <c r="C1431" s="120">
        <v>4</v>
      </c>
      <c r="D1431" s="176" t="s">
        <v>547</v>
      </c>
      <c r="F1431" s="254">
        <v>377</v>
      </c>
    </row>
    <row r="1432" spans="1:6">
      <c r="A1432" s="170" t="str">
        <f>_xlfn.XLOOKUP(B1432 &amp; "-" &amp; TEXT(C1432,"00"),改定!N:N,改定!E:E)</f>
        <v>60762</v>
      </c>
      <c r="B1432" s="119" t="s">
        <v>1923</v>
      </c>
      <c r="C1432" s="120">
        <v>5</v>
      </c>
      <c r="D1432" s="176" t="s">
        <v>825</v>
      </c>
      <c r="F1432" s="254">
        <v>5592</v>
      </c>
    </row>
    <row r="1433" spans="1:6">
      <c r="A1433" s="170" t="str">
        <f>_xlfn.XLOOKUP(B1433 &amp; "-" &amp; TEXT(C1433,"00"),改定!N:N,改定!E:E)</f>
        <v>60762</v>
      </c>
      <c r="B1433" s="119" t="s">
        <v>1923</v>
      </c>
      <c r="C1433" s="120">
        <v>5</v>
      </c>
      <c r="D1433" s="176" t="s">
        <v>871</v>
      </c>
      <c r="F1433" s="254">
        <v>232</v>
      </c>
    </row>
    <row r="1434" spans="1:6">
      <c r="A1434" s="170" t="str">
        <f>_xlfn.XLOOKUP(B1434 &amp; "-" &amp; TEXT(C1434,"00"),改定!N:N,改定!E:E)</f>
        <v>60762</v>
      </c>
      <c r="B1434" s="119" t="s">
        <v>1923</v>
      </c>
      <c r="C1434" s="120">
        <v>5</v>
      </c>
      <c r="D1434" s="176" t="s">
        <v>973</v>
      </c>
      <c r="F1434" s="254">
        <v>7380</v>
      </c>
    </row>
    <row r="1435" spans="1:6">
      <c r="A1435" s="170" t="str">
        <f>_xlfn.XLOOKUP(B1435 &amp; "-" &amp; TEXT(C1435,"00"),改定!N:N,改定!E:E)</f>
        <v>60762</v>
      </c>
      <c r="B1435" s="119" t="s">
        <v>1923</v>
      </c>
      <c r="C1435" s="120">
        <v>5</v>
      </c>
      <c r="D1435" s="176" t="s">
        <v>536</v>
      </c>
      <c r="F1435" s="254">
        <v>8010</v>
      </c>
    </row>
    <row r="1436" spans="1:6">
      <c r="A1436" s="170" t="str">
        <f>_xlfn.XLOOKUP(B1436 &amp; "-" &amp; TEXT(C1436,"00"),改定!N:N,改定!E:E)</f>
        <v>60762</v>
      </c>
      <c r="B1436" s="119" t="s">
        <v>1923</v>
      </c>
      <c r="C1436" s="120">
        <v>5</v>
      </c>
      <c r="D1436" s="176" t="s">
        <v>545</v>
      </c>
      <c r="F1436" s="254">
        <v>564</v>
      </c>
    </row>
    <row r="1437" spans="1:6">
      <c r="A1437" s="170" t="str">
        <f>_xlfn.XLOOKUP(B1437 &amp; "-" &amp; TEXT(C1437,"00"),改定!N:N,改定!E:E)</f>
        <v>60762</v>
      </c>
      <c r="B1437" s="119" t="s">
        <v>1923</v>
      </c>
      <c r="C1437" s="120">
        <v>5</v>
      </c>
      <c r="D1437" s="176" t="s">
        <v>537</v>
      </c>
      <c r="F1437" s="254">
        <v>7753</v>
      </c>
    </row>
    <row r="1438" spans="1:6">
      <c r="A1438" s="170" t="str">
        <f>_xlfn.XLOOKUP(B1438 &amp; "-" &amp; TEXT(C1438,"00"),改定!N:N,改定!E:E)</f>
        <v>60762</v>
      </c>
      <c r="B1438" s="119" t="s">
        <v>1923</v>
      </c>
      <c r="C1438" s="120">
        <v>5</v>
      </c>
      <c r="D1438" s="176" t="s">
        <v>546</v>
      </c>
      <c r="F1438" s="254">
        <v>146</v>
      </c>
    </row>
    <row r="1439" spans="1:6">
      <c r="A1439" s="170" t="str">
        <f>_xlfn.XLOOKUP(B1439 &amp; "-" &amp; TEXT(C1439,"00"),改定!N:N,改定!E:E)</f>
        <v>60762</v>
      </c>
      <c r="B1439" s="119" t="s">
        <v>1923</v>
      </c>
      <c r="C1439" s="120">
        <v>5</v>
      </c>
      <c r="D1439" s="176" t="s">
        <v>515</v>
      </c>
      <c r="F1439" s="254">
        <v>7879</v>
      </c>
    </row>
    <row r="1440" spans="1:6">
      <c r="A1440" s="170" t="str">
        <f>_xlfn.XLOOKUP(B1440 &amp; "-" &amp; TEXT(C1440,"00"),改定!N:N,改定!E:E)</f>
        <v>60762</v>
      </c>
      <c r="B1440" s="119" t="s">
        <v>1923</v>
      </c>
      <c r="C1440" s="120">
        <v>5</v>
      </c>
      <c r="D1440" s="176" t="s">
        <v>547</v>
      </c>
      <c r="F1440" s="254">
        <v>515</v>
      </c>
    </row>
    <row r="1441" spans="1:6">
      <c r="A1441" s="170" t="str">
        <f>_xlfn.XLOOKUP(B1441 &amp; "-" &amp; TEXT(C1441,"00"),改定!N:N,改定!E:E)</f>
        <v>61008</v>
      </c>
      <c r="B1441" s="119" t="s">
        <v>1923</v>
      </c>
      <c r="C1441" s="120">
        <v>6</v>
      </c>
      <c r="D1441" s="176" t="s">
        <v>825</v>
      </c>
      <c r="F1441" s="248" t="s">
        <v>1907</v>
      </c>
    </row>
    <row r="1442" spans="1:6">
      <c r="A1442" s="170" t="str">
        <f>_xlfn.XLOOKUP(B1442 &amp; "-" &amp; TEXT(C1442,"00"),改定!N:N,改定!E:E)</f>
        <v>61008</v>
      </c>
      <c r="B1442" s="119" t="s">
        <v>1923</v>
      </c>
      <c r="C1442" s="120">
        <v>6</v>
      </c>
      <c r="D1442" s="176" t="s">
        <v>871</v>
      </c>
      <c r="F1442" s="248" t="s">
        <v>1907</v>
      </c>
    </row>
    <row r="1443" spans="1:6">
      <c r="A1443" s="170" t="str">
        <f>_xlfn.XLOOKUP(B1443 &amp; "-" &amp; TEXT(C1443,"00"),改定!N:N,改定!E:E)</f>
        <v>61008</v>
      </c>
      <c r="B1443" s="119" t="s">
        <v>1923</v>
      </c>
      <c r="C1443" s="120">
        <v>6</v>
      </c>
      <c r="D1443" s="176" t="s">
        <v>973</v>
      </c>
      <c r="F1443" s="248" t="s">
        <v>1907</v>
      </c>
    </row>
    <row r="1444" spans="1:6">
      <c r="A1444" s="170" t="str">
        <f>_xlfn.XLOOKUP(B1444 &amp; "-" &amp; TEXT(C1444,"00"),改定!N:N,改定!E:E)</f>
        <v>61008</v>
      </c>
      <c r="B1444" s="119" t="s">
        <v>1923</v>
      </c>
      <c r="C1444" s="120">
        <v>6</v>
      </c>
      <c r="D1444" s="176" t="s">
        <v>536</v>
      </c>
      <c r="F1444" s="248" t="s">
        <v>1907</v>
      </c>
    </row>
    <row r="1445" spans="1:6">
      <c r="A1445" s="170" t="str">
        <f>_xlfn.XLOOKUP(B1445 &amp; "-" &amp; TEXT(C1445,"00"),改定!N:N,改定!E:E)</f>
        <v>61008</v>
      </c>
      <c r="B1445" s="119" t="s">
        <v>1923</v>
      </c>
      <c r="C1445" s="120">
        <v>6</v>
      </c>
      <c r="D1445" s="176" t="s">
        <v>545</v>
      </c>
      <c r="F1445" s="248" t="s">
        <v>1907</v>
      </c>
    </row>
    <row r="1446" spans="1:6">
      <c r="A1446" s="170" t="str">
        <f>_xlfn.XLOOKUP(B1446 &amp; "-" &amp; TEXT(C1446,"00"),改定!N:N,改定!E:E)</f>
        <v>61008</v>
      </c>
      <c r="B1446" s="119" t="s">
        <v>1923</v>
      </c>
      <c r="C1446" s="120">
        <v>6</v>
      </c>
      <c r="D1446" s="176" t="s">
        <v>537</v>
      </c>
      <c r="F1446" s="248" t="s">
        <v>1907</v>
      </c>
    </row>
    <row r="1447" spans="1:6">
      <c r="A1447" s="170" t="str">
        <f>_xlfn.XLOOKUP(B1447 &amp; "-" &amp; TEXT(C1447,"00"),改定!N:N,改定!E:E)</f>
        <v>61008</v>
      </c>
      <c r="B1447" s="119" t="s">
        <v>1923</v>
      </c>
      <c r="C1447" s="120">
        <v>6</v>
      </c>
      <c r="D1447" s="176" t="s">
        <v>546</v>
      </c>
      <c r="F1447" s="248" t="s">
        <v>1907</v>
      </c>
    </row>
    <row r="1448" spans="1:6">
      <c r="A1448" s="170" t="str">
        <f>_xlfn.XLOOKUP(B1448 &amp; "-" &amp; TEXT(C1448,"00"),改定!N:N,改定!E:E)</f>
        <v>61008</v>
      </c>
      <c r="B1448" s="119" t="s">
        <v>1923</v>
      </c>
      <c r="C1448" s="120">
        <v>6</v>
      </c>
      <c r="D1448" s="176" t="s">
        <v>515</v>
      </c>
      <c r="F1448" s="248" t="s">
        <v>1907</v>
      </c>
    </row>
    <row r="1449" spans="1:6">
      <c r="A1449" s="170" t="str">
        <f>_xlfn.XLOOKUP(B1449 &amp; "-" &amp; TEXT(C1449,"00"),改定!N:N,改定!E:E)</f>
        <v>61008</v>
      </c>
      <c r="B1449" s="119" t="s">
        <v>1923</v>
      </c>
      <c r="C1449" s="120">
        <v>6</v>
      </c>
      <c r="D1449" s="176" t="s">
        <v>547</v>
      </c>
      <c r="F1449" s="248" t="s">
        <v>1907</v>
      </c>
    </row>
    <row r="1450" spans="1:6">
      <c r="A1450" s="170" t="str">
        <f>_xlfn.XLOOKUP(B1450 &amp; "-" &amp; TEXT(C1450,"00"),改定!N:N,改定!E:E)</f>
        <v>61125</v>
      </c>
      <c r="B1450" s="119" t="s">
        <v>1923</v>
      </c>
      <c r="C1450" s="120">
        <v>7</v>
      </c>
      <c r="D1450" s="176" t="s">
        <v>825</v>
      </c>
      <c r="F1450" s="254">
        <v>6484</v>
      </c>
    </row>
    <row r="1451" spans="1:6">
      <c r="A1451" s="170" t="str">
        <f>_xlfn.XLOOKUP(B1451 &amp; "-" &amp; TEXT(C1451,"00"),改定!N:N,改定!E:E)</f>
        <v>61125</v>
      </c>
      <c r="B1451" s="119" t="s">
        <v>1923</v>
      </c>
      <c r="C1451" s="120">
        <v>7</v>
      </c>
      <c r="D1451" s="176" t="s">
        <v>871</v>
      </c>
      <c r="F1451" s="254">
        <v>305</v>
      </c>
    </row>
    <row r="1452" spans="1:6">
      <c r="A1452" s="170" t="str">
        <f>_xlfn.XLOOKUP(B1452 &amp; "-" &amp; TEXT(C1452,"00"),改定!N:N,改定!E:E)</f>
        <v>61125</v>
      </c>
      <c r="B1452" s="119" t="s">
        <v>1923</v>
      </c>
      <c r="C1452" s="120">
        <v>7</v>
      </c>
      <c r="D1452" s="176" t="s">
        <v>973</v>
      </c>
      <c r="F1452" s="254">
        <v>6183</v>
      </c>
    </row>
    <row r="1453" spans="1:6">
      <c r="A1453" s="170" t="str">
        <f>_xlfn.XLOOKUP(B1453 &amp; "-" &amp; TEXT(C1453,"00"),改定!N:N,改定!E:E)</f>
        <v>61125</v>
      </c>
      <c r="B1453" s="119" t="s">
        <v>1923</v>
      </c>
      <c r="C1453" s="120">
        <v>7</v>
      </c>
      <c r="D1453" s="176" t="s">
        <v>536</v>
      </c>
      <c r="F1453" s="254">
        <v>8942</v>
      </c>
    </row>
    <row r="1454" spans="1:6">
      <c r="A1454" s="170" t="str">
        <f>_xlfn.XLOOKUP(B1454 &amp; "-" &amp; TEXT(C1454,"00"),改定!N:N,改定!E:E)</f>
        <v>61125</v>
      </c>
      <c r="B1454" s="119" t="s">
        <v>1923</v>
      </c>
      <c r="C1454" s="120">
        <v>7</v>
      </c>
      <c r="D1454" s="176" t="s">
        <v>545</v>
      </c>
      <c r="F1454" s="254">
        <v>680</v>
      </c>
    </row>
    <row r="1455" spans="1:6">
      <c r="A1455" s="170" t="str">
        <f>_xlfn.XLOOKUP(B1455 &amp; "-" &amp; TEXT(C1455,"00"),改定!N:N,改定!E:E)</f>
        <v>61125</v>
      </c>
      <c r="B1455" s="119" t="s">
        <v>1923</v>
      </c>
      <c r="C1455" s="120">
        <v>7</v>
      </c>
      <c r="D1455" s="176" t="s">
        <v>537</v>
      </c>
      <c r="F1455" s="254">
        <v>8226</v>
      </c>
    </row>
    <row r="1456" spans="1:6">
      <c r="A1456" s="170" t="str">
        <f>_xlfn.XLOOKUP(B1456 &amp; "-" &amp; TEXT(C1456,"00"),改定!N:N,改定!E:E)</f>
        <v>61125</v>
      </c>
      <c r="B1456" s="119" t="s">
        <v>1923</v>
      </c>
      <c r="C1456" s="120">
        <v>7</v>
      </c>
      <c r="D1456" s="176" t="s">
        <v>546</v>
      </c>
      <c r="F1456" s="254">
        <v>228</v>
      </c>
    </row>
    <row r="1457" spans="1:6">
      <c r="A1457" s="170" t="str">
        <f>_xlfn.XLOOKUP(B1457 &amp; "-" &amp; TEXT(C1457,"00"),改定!N:N,改定!E:E)</f>
        <v>61125</v>
      </c>
      <c r="B1457" s="119" t="s">
        <v>1923</v>
      </c>
      <c r="C1457" s="120">
        <v>7</v>
      </c>
      <c r="D1457" s="176" t="s">
        <v>515</v>
      </c>
      <c r="F1457" s="254">
        <v>8289</v>
      </c>
    </row>
    <row r="1458" spans="1:6">
      <c r="A1458" s="170" t="str">
        <f>_xlfn.XLOOKUP(B1458 &amp; "-" &amp; TEXT(C1458,"00"),改定!N:N,改定!E:E)</f>
        <v>61125</v>
      </c>
      <c r="B1458" s="119" t="s">
        <v>1923</v>
      </c>
      <c r="C1458" s="120">
        <v>7</v>
      </c>
      <c r="D1458" s="176" t="s">
        <v>547</v>
      </c>
      <c r="F1458" s="254">
        <v>606</v>
      </c>
    </row>
    <row r="1459" spans="1:6">
      <c r="A1459" s="170" t="str">
        <f>_xlfn.XLOOKUP(B1459 &amp; "-" &amp; TEXT(C1459,"00"),改定!N:N,改定!E:E)</f>
        <v>63034</v>
      </c>
      <c r="B1459" s="119" t="s">
        <v>1960</v>
      </c>
      <c r="C1459" s="120">
        <v>0</v>
      </c>
      <c r="D1459" s="176" t="s">
        <v>825</v>
      </c>
      <c r="E1459" s="254">
        <v>7312</v>
      </c>
      <c r="F1459" s="254">
        <v>7312</v>
      </c>
    </row>
    <row r="1460" spans="1:6">
      <c r="A1460" s="170" t="str">
        <f>_xlfn.XLOOKUP(B1460 &amp; "-" &amp; TEXT(C1460,"00"),改定!N:N,改定!E:E)</f>
        <v>63034</v>
      </c>
      <c r="B1460" s="119" t="s">
        <v>1960</v>
      </c>
      <c r="C1460" s="120">
        <v>0</v>
      </c>
      <c r="D1460" s="176" t="s">
        <v>871</v>
      </c>
      <c r="E1460" s="254">
        <v>431</v>
      </c>
      <c r="F1460" s="254">
        <v>431</v>
      </c>
    </row>
    <row r="1461" spans="1:6">
      <c r="A1461" s="170" t="str">
        <f>_xlfn.XLOOKUP(B1461 &amp; "-" &amp; TEXT(C1461,"00"),改定!N:N,改定!E:E)</f>
        <v>63034</v>
      </c>
      <c r="B1461" s="119" t="s">
        <v>1960</v>
      </c>
      <c r="C1461" s="120">
        <v>0</v>
      </c>
      <c r="D1461" s="176" t="s">
        <v>973</v>
      </c>
      <c r="E1461" s="254">
        <v>12781</v>
      </c>
      <c r="F1461" s="254">
        <v>12781</v>
      </c>
    </row>
    <row r="1462" spans="1:6">
      <c r="A1462" s="170" t="str">
        <f>_xlfn.XLOOKUP(B1462 &amp; "-" &amp; TEXT(C1462,"00"),改定!N:N,改定!E:E)</f>
        <v>63034</v>
      </c>
      <c r="B1462" s="119" t="s">
        <v>1960</v>
      </c>
      <c r="C1462" s="120">
        <v>0</v>
      </c>
      <c r="D1462" s="176" t="s">
        <v>536</v>
      </c>
      <c r="E1462" s="254">
        <v>11317</v>
      </c>
      <c r="F1462" s="254" t="s">
        <v>517</v>
      </c>
    </row>
    <row r="1463" spans="1:6">
      <c r="A1463" s="170" t="str">
        <f>_xlfn.XLOOKUP(B1463 &amp; "-" &amp; TEXT(C1463,"00"),改定!N:N,改定!E:E)</f>
        <v>63034</v>
      </c>
      <c r="B1463" s="119" t="s">
        <v>1960</v>
      </c>
      <c r="C1463" s="120">
        <v>0</v>
      </c>
      <c r="D1463" s="176" t="s">
        <v>545</v>
      </c>
      <c r="E1463" s="254">
        <v>1140</v>
      </c>
      <c r="F1463" s="254">
        <v>1140</v>
      </c>
    </row>
    <row r="1464" spans="1:6">
      <c r="A1464" s="170" t="str">
        <f>_xlfn.XLOOKUP(B1464 &amp; "-" &amp; TEXT(C1464,"00"),改定!N:N,改定!E:E)</f>
        <v>63034</v>
      </c>
      <c r="B1464" s="119" t="s">
        <v>1960</v>
      </c>
      <c r="C1464" s="120">
        <v>0</v>
      </c>
      <c r="D1464" s="176" t="s">
        <v>537</v>
      </c>
      <c r="E1464" s="254">
        <v>10247</v>
      </c>
      <c r="F1464" s="254">
        <v>10247</v>
      </c>
    </row>
    <row r="1465" spans="1:6">
      <c r="A1465" s="170" t="str">
        <f>_xlfn.XLOOKUP(B1465 &amp; "-" &amp; TEXT(C1465,"00"),改定!N:N,改定!E:E)</f>
        <v>63034</v>
      </c>
      <c r="B1465" s="119" t="s">
        <v>1960</v>
      </c>
      <c r="C1465" s="120">
        <v>0</v>
      </c>
      <c r="D1465" s="176" t="s">
        <v>546</v>
      </c>
      <c r="E1465" s="254">
        <v>370</v>
      </c>
      <c r="F1465" s="254" t="s">
        <v>517</v>
      </c>
    </row>
    <row r="1466" spans="1:6">
      <c r="A1466" s="170" t="str">
        <f>_xlfn.XLOOKUP(B1466 &amp; "-" &amp; TEXT(C1466,"00"),改定!N:N,改定!E:E)</f>
        <v>63034</v>
      </c>
      <c r="B1466" s="119" t="s">
        <v>1960</v>
      </c>
      <c r="C1466" s="120">
        <v>0</v>
      </c>
      <c r="D1466" s="176" t="s">
        <v>515</v>
      </c>
      <c r="E1466" s="254">
        <v>11114</v>
      </c>
      <c r="F1466" s="254">
        <v>11114</v>
      </c>
    </row>
    <row r="1467" spans="1:6">
      <c r="A1467" s="170" t="str">
        <f>_xlfn.XLOOKUP(B1467 &amp; "-" &amp; TEXT(C1467,"00"),改定!N:N,改定!E:E)</f>
        <v>63034</v>
      </c>
      <c r="B1467" s="119" t="s">
        <v>1960</v>
      </c>
      <c r="C1467" s="120">
        <v>0</v>
      </c>
      <c r="D1467" s="176" t="s">
        <v>547</v>
      </c>
      <c r="E1467" s="254">
        <v>1342</v>
      </c>
      <c r="F1467" s="254">
        <v>1342</v>
      </c>
    </row>
    <row r="1468" spans="1:6">
      <c r="A1468" s="170" t="str">
        <f>_xlfn.XLOOKUP(B1468 &amp; "-" &amp; TEXT(C1468,"00"),改定!N:N,改定!E:E)</f>
        <v>54713</v>
      </c>
      <c r="B1468" s="119" t="s">
        <v>1972</v>
      </c>
      <c r="C1468" s="120">
        <v>0</v>
      </c>
      <c r="D1468" s="176" t="s">
        <v>922</v>
      </c>
      <c r="E1468" s="254">
        <v>2042</v>
      </c>
      <c r="F1468" s="254">
        <v>2042</v>
      </c>
    </row>
    <row r="1469" spans="1:6">
      <c r="A1469" s="170" t="str">
        <f>_xlfn.XLOOKUP(B1469 &amp; "-" &amp; TEXT(C1469,"00"),改定!N:N,改定!E:E)</f>
        <v>54713</v>
      </c>
      <c r="B1469" s="119" t="s">
        <v>1972</v>
      </c>
      <c r="C1469" s="120">
        <v>0</v>
      </c>
      <c r="D1469" s="176" t="s">
        <v>533</v>
      </c>
      <c r="E1469" s="254">
        <v>1202</v>
      </c>
      <c r="F1469" s="254">
        <v>1202</v>
      </c>
    </row>
    <row r="1470" spans="1:6">
      <c r="A1470" s="170" t="str">
        <f>_xlfn.XLOOKUP(B1470 &amp; "-" &amp; TEXT(C1470,"00"),改定!N:N,改定!E:E)</f>
        <v>54713</v>
      </c>
      <c r="B1470" s="119" t="s">
        <v>1972</v>
      </c>
      <c r="C1470" s="120">
        <v>0</v>
      </c>
      <c r="D1470" s="176" t="s">
        <v>812</v>
      </c>
      <c r="E1470" s="254" t="s">
        <v>517</v>
      </c>
      <c r="F1470" s="254" t="s">
        <v>517</v>
      </c>
    </row>
    <row r="1471" spans="1:6">
      <c r="A1471" s="170" t="str">
        <f>_xlfn.XLOOKUP(B1471 &amp; "-" &amp; TEXT(C1471,"00"),改定!N:N,改定!E:E)</f>
        <v>54713</v>
      </c>
      <c r="B1471" s="119" t="s">
        <v>1972</v>
      </c>
      <c r="C1471" s="120">
        <v>0</v>
      </c>
      <c r="D1471" s="176" t="s">
        <v>812</v>
      </c>
      <c r="E1471" s="254">
        <v>950</v>
      </c>
      <c r="F1471" s="254">
        <v>950</v>
      </c>
    </row>
    <row r="1472" spans="1:6">
      <c r="A1472" s="170" t="str">
        <f>_xlfn.XLOOKUP(B1472 &amp; "-" &amp; TEXT(C1472,"00"),改定!N:N,改定!E:E)</f>
        <v>54713</v>
      </c>
      <c r="B1472" s="119" t="s">
        <v>1972</v>
      </c>
      <c r="C1472" s="120">
        <v>0</v>
      </c>
      <c r="D1472" s="176" t="s">
        <v>842</v>
      </c>
      <c r="E1472" s="254">
        <v>713</v>
      </c>
      <c r="F1472" s="254">
        <v>713</v>
      </c>
    </row>
    <row r="1473" spans="1:6">
      <c r="A1473" s="170" t="str">
        <f>_xlfn.XLOOKUP(B1473 &amp; "-" &amp; TEXT(C1473,"00"),改定!N:N,改定!E:E)</f>
        <v>54713</v>
      </c>
      <c r="B1473" s="119" t="s">
        <v>1972</v>
      </c>
      <c r="C1473" s="120">
        <v>0</v>
      </c>
      <c r="D1473" s="176" t="s">
        <v>814</v>
      </c>
      <c r="E1473" s="254" t="s">
        <v>517</v>
      </c>
      <c r="F1473" s="254" t="s">
        <v>517</v>
      </c>
    </row>
    <row r="1474" spans="1:6">
      <c r="A1474" s="170" t="str">
        <f>_xlfn.XLOOKUP(B1474 &amp; "-" &amp; TEXT(C1474,"00"),改定!N:N,改定!E:E)</f>
        <v>54713</v>
      </c>
      <c r="B1474" s="119" t="s">
        <v>1972</v>
      </c>
      <c r="C1474" s="120">
        <v>0</v>
      </c>
      <c r="D1474" s="176" t="s">
        <v>814</v>
      </c>
      <c r="E1474" s="254">
        <v>1229</v>
      </c>
      <c r="F1474" s="254">
        <v>1229</v>
      </c>
    </row>
    <row r="1475" spans="1:6">
      <c r="A1475" s="170" t="str">
        <f>_xlfn.XLOOKUP(B1475 &amp; "-" &amp; TEXT(C1475,"00"),改定!N:N,改定!E:E)</f>
        <v>55446</v>
      </c>
      <c r="B1475" s="119" t="s">
        <v>1972</v>
      </c>
      <c r="C1475" s="120">
        <v>1</v>
      </c>
      <c r="D1475" s="176" t="s">
        <v>922</v>
      </c>
      <c r="E1475" s="254">
        <v>2042</v>
      </c>
      <c r="F1475" s="254">
        <v>2042</v>
      </c>
    </row>
    <row r="1476" spans="1:6">
      <c r="A1476" s="170" t="str">
        <f>_xlfn.XLOOKUP(B1476 &amp; "-" &amp; TEXT(C1476,"00"),改定!N:N,改定!E:E)</f>
        <v>55446</v>
      </c>
      <c r="B1476" s="119" t="s">
        <v>1972</v>
      </c>
      <c r="C1476" s="120">
        <v>1</v>
      </c>
      <c r="D1476" s="176" t="s">
        <v>533</v>
      </c>
      <c r="E1476" s="254" t="s">
        <v>517</v>
      </c>
      <c r="F1476" s="254" t="s">
        <v>517</v>
      </c>
    </row>
    <row r="1477" spans="1:6">
      <c r="A1477" s="170" t="str">
        <f>_xlfn.XLOOKUP(B1477 &amp; "-" &amp; TEXT(C1477,"00"),改定!N:N,改定!E:E)</f>
        <v>55446</v>
      </c>
      <c r="B1477" s="119" t="s">
        <v>1972</v>
      </c>
      <c r="C1477" s="120">
        <v>1</v>
      </c>
      <c r="D1477" s="176" t="s">
        <v>812</v>
      </c>
      <c r="E1477" s="254" t="s">
        <v>517</v>
      </c>
      <c r="F1477" s="254" t="s">
        <v>517</v>
      </c>
    </row>
    <row r="1478" spans="1:6">
      <c r="A1478" s="170" t="str">
        <f>_xlfn.XLOOKUP(B1478 &amp; "-" &amp; TEXT(C1478,"00"),改定!N:N,改定!E:E)</f>
        <v>55446</v>
      </c>
      <c r="B1478" s="119" t="s">
        <v>1972</v>
      </c>
      <c r="C1478" s="120">
        <v>1</v>
      </c>
      <c r="D1478" s="176" t="s">
        <v>842</v>
      </c>
      <c r="E1478" s="254" t="s">
        <v>517</v>
      </c>
      <c r="F1478" s="254" t="s">
        <v>517</v>
      </c>
    </row>
    <row r="1479" spans="1:6">
      <c r="A1479" s="170" t="str">
        <f>_xlfn.XLOOKUP(B1479 &amp; "-" &amp; TEXT(C1479,"00"),改定!N:N,改定!E:E)</f>
        <v>55446</v>
      </c>
      <c r="B1479" s="119" t="s">
        <v>1972</v>
      </c>
      <c r="C1479" s="120">
        <v>1</v>
      </c>
      <c r="D1479" s="176" t="s">
        <v>814</v>
      </c>
      <c r="E1479" s="254" t="s">
        <v>517</v>
      </c>
      <c r="F1479" s="254" t="s">
        <v>517</v>
      </c>
    </row>
    <row r="1480" spans="1:6">
      <c r="A1480" s="170" t="str">
        <f>_xlfn.XLOOKUP(B1480 &amp; "-" &amp; TEXT(C1480,"00"),改定!N:N,改定!E:E)</f>
        <v>60086</v>
      </c>
      <c r="B1480" s="119" t="s">
        <v>1972</v>
      </c>
      <c r="C1480" s="120">
        <v>2</v>
      </c>
      <c r="D1480" s="176" t="s">
        <v>533</v>
      </c>
      <c r="E1480" s="254">
        <v>1310</v>
      </c>
      <c r="F1480" s="254">
        <v>1310</v>
      </c>
    </row>
    <row r="1481" spans="1:6">
      <c r="A1481" s="170" t="str">
        <f>_xlfn.XLOOKUP(B1481 &amp; "-" &amp; TEXT(C1481,"00"),改定!N:N,改定!E:E)</f>
        <v>60086</v>
      </c>
      <c r="B1481" s="119" t="s">
        <v>1972</v>
      </c>
      <c r="C1481" s="120">
        <v>2</v>
      </c>
      <c r="D1481" s="176" t="s">
        <v>812</v>
      </c>
      <c r="E1481" s="254">
        <v>1196</v>
      </c>
      <c r="F1481" s="254">
        <v>1196</v>
      </c>
    </row>
    <row r="1482" spans="1:6">
      <c r="A1482" s="170" t="str">
        <f>_xlfn.XLOOKUP(B1482 &amp; "-" &amp; TEXT(C1482,"00"),改定!N:N,改定!E:E)</f>
        <v>60086</v>
      </c>
      <c r="B1482" s="119" t="s">
        <v>1972</v>
      </c>
      <c r="C1482" s="120">
        <v>2</v>
      </c>
      <c r="D1482" s="176" t="s">
        <v>842</v>
      </c>
      <c r="E1482" s="254">
        <v>748</v>
      </c>
      <c r="F1482" s="254">
        <v>748</v>
      </c>
    </row>
    <row r="1483" spans="1:6">
      <c r="A1483" s="170" t="str">
        <f>_xlfn.XLOOKUP(B1483 &amp; "-" &amp; TEXT(C1483,"00"),改定!N:N,改定!E:E)</f>
        <v>60086</v>
      </c>
      <c r="B1483" s="119" t="s">
        <v>1972</v>
      </c>
      <c r="C1483" s="120">
        <v>2</v>
      </c>
      <c r="D1483" s="176" t="s">
        <v>814</v>
      </c>
      <c r="E1483" s="254">
        <v>1563</v>
      </c>
      <c r="F1483" s="254">
        <v>1562</v>
      </c>
    </row>
    <row r="1484" spans="1:6">
      <c r="A1484" s="170" t="str">
        <f>_xlfn.XLOOKUP(B1484 &amp; "-" &amp; TEXT(C1484,"00"),改定!N:N,改定!E:E)</f>
        <v>60031</v>
      </c>
      <c r="B1484" s="119" t="s">
        <v>1972</v>
      </c>
      <c r="C1484" s="120">
        <v>3</v>
      </c>
      <c r="D1484" s="176" t="s">
        <v>533</v>
      </c>
      <c r="E1484" s="254">
        <v>1344</v>
      </c>
      <c r="F1484" s="254">
        <v>1344</v>
      </c>
    </row>
    <row r="1485" spans="1:6">
      <c r="A1485" s="170" t="str">
        <f>_xlfn.XLOOKUP(B1485 &amp; "-" &amp; TEXT(C1485,"00"),改定!N:N,改定!E:E)</f>
        <v>60031</v>
      </c>
      <c r="B1485" s="119" t="s">
        <v>1972</v>
      </c>
      <c r="C1485" s="120">
        <v>3</v>
      </c>
      <c r="D1485" s="176" t="s">
        <v>812</v>
      </c>
      <c r="E1485" s="254">
        <v>1234</v>
      </c>
      <c r="F1485" s="254">
        <v>1234</v>
      </c>
    </row>
    <row r="1486" spans="1:6">
      <c r="A1486" s="170" t="str">
        <f>_xlfn.XLOOKUP(B1486 &amp; "-" &amp; TEXT(C1486,"00"),改定!N:N,改定!E:E)</f>
        <v>60031</v>
      </c>
      <c r="B1486" s="119" t="s">
        <v>1972</v>
      </c>
      <c r="C1486" s="120">
        <v>3</v>
      </c>
      <c r="D1486" s="176" t="s">
        <v>842</v>
      </c>
      <c r="E1486" s="254">
        <v>756</v>
      </c>
      <c r="F1486" s="254">
        <v>756</v>
      </c>
    </row>
    <row r="1487" spans="1:6">
      <c r="A1487" s="170" t="str">
        <f>_xlfn.XLOOKUP(B1487 &amp; "-" &amp; TEXT(C1487,"00"),改定!N:N,改定!E:E)</f>
        <v>60031</v>
      </c>
      <c r="B1487" s="119" t="s">
        <v>1972</v>
      </c>
      <c r="C1487" s="120">
        <v>3</v>
      </c>
      <c r="D1487" s="176" t="s">
        <v>814</v>
      </c>
      <c r="E1487" s="254">
        <v>1624</v>
      </c>
      <c r="F1487" s="254">
        <v>1624</v>
      </c>
    </row>
    <row r="1488" spans="1:6">
      <c r="A1488" s="170" t="str">
        <f>_xlfn.XLOOKUP(B1488 &amp; "-" &amp; TEXT(C1488,"00"),改定!N:N,改定!E:E)</f>
        <v>61205</v>
      </c>
      <c r="B1488" s="119" t="s">
        <v>1974</v>
      </c>
      <c r="C1488" s="120">
        <v>0</v>
      </c>
      <c r="D1488" s="176" t="s">
        <v>533</v>
      </c>
      <c r="E1488" s="254">
        <v>1414</v>
      </c>
      <c r="F1488" s="254">
        <v>1414</v>
      </c>
    </row>
    <row r="1489" spans="1:6">
      <c r="A1489" s="170" t="str">
        <f>_xlfn.XLOOKUP(B1489 &amp; "-" &amp; TEXT(C1489,"00"),改定!N:N,改定!E:E)</f>
        <v>61205</v>
      </c>
      <c r="B1489" s="119" t="s">
        <v>1974</v>
      </c>
      <c r="C1489" s="120">
        <v>0</v>
      </c>
      <c r="D1489" s="176" t="s">
        <v>812</v>
      </c>
      <c r="E1489" s="254">
        <v>1358</v>
      </c>
      <c r="F1489" s="254">
        <v>1358</v>
      </c>
    </row>
    <row r="1490" spans="1:6">
      <c r="A1490" s="170" t="str">
        <f>_xlfn.XLOOKUP(B1490 &amp; "-" &amp; TEXT(C1490,"00"),改定!N:N,改定!E:E)</f>
        <v>61205</v>
      </c>
      <c r="B1490" s="119" t="s">
        <v>1974</v>
      </c>
      <c r="C1490" s="120">
        <v>0</v>
      </c>
      <c r="D1490" s="176" t="s">
        <v>842</v>
      </c>
      <c r="E1490" s="254">
        <v>786</v>
      </c>
      <c r="F1490" s="254">
        <v>786</v>
      </c>
    </row>
    <row r="1491" spans="1:6">
      <c r="A1491" s="170" t="str">
        <f>_xlfn.XLOOKUP(B1491 &amp; "-" &amp; TEXT(C1491,"00"),改定!N:N,改定!E:E)</f>
        <v>61205</v>
      </c>
      <c r="B1491" s="119" t="s">
        <v>1974</v>
      </c>
      <c r="C1491" s="120">
        <v>0</v>
      </c>
      <c r="D1491" s="176" t="s">
        <v>814</v>
      </c>
      <c r="E1491" s="254">
        <v>1833</v>
      </c>
      <c r="F1491" s="254">
        <v>1833</v>
      </c>
    </row>
    <row r="1492" spans="1:6">
      <c r="A1492" s="170" t="str">
        <f>_xlfn.XLOOKUP(B1492 &amp; "-" &amp; TEXT(C1492,"00"),改定!N:N,改定!E:E)</f>
        <v xml:space="preserve">	61591</v>
      </c>
      <c r="B1492" s="119" t="s">
        <v>1974</v>
      </c>
      <c r="C1492" s="120">
        <v>1</v>
      </c>
      <c r="D1492" s="176" t="s">
        <v>533</v>
      </c>
      <c r="E1492" s="254">
        <v>1414</v>
      </c>
      <c r="F1492" s="254">
        <v>1414</v>
      </c>
    </row>
    <row r="1493" spans="1:6">
      <c r="A1493" s="170" t="str">
        <f>_xlfn.XLOOKUP(B1493 &amp; "-" &amp; TEXT(C1493,"00"),改定!N:N,改定!E:E)</f>
        <v xml:space="preserve">	61591</v>
      </c>
      <c r="B1493" s="119" t="s">
        <v>1974</v>
      </c>
      <c r="C1493" s="120">
        <v>1</v>
      </c>
      <c r="D1493" s="176" t="s">
        <v>812</v>
      </c>
      <c r="E1493" s="254">
        <v>1358</v>
      </c>
      <c r="F1493" s="254">
        <v>1358</v>
      </c>
    </row>
    <row r="1494" spans="1:6">
      <c r="A1494" s="170" t="str">
        <f>_xlfn.XLOOKUP(B1494 &amp; "-" &amp; TEXT(C1494,"00"),改定!N:N,改定!E:E)</f>
        <v xml:space="preserve">	61591</v>
      </c>
      <c r="B1494" s="119" t="s">
        <v>1974</v>
      </c>
      <c r="C1494" s="120">
        <v>1</v>
      </c>
      <c r="D1494" s="176" t="s">
        <v>842</v>
      </c>
      <c r="E1494" s="254">
        <v>786</v>
      </c>
      <c r="F1494" s="254">
        <v>786</v>
      </c>
    </row>
    <row r="1495" spans="1:6">
      <c r="A1495" s="170" t="str">
        <f>_xlfn.XLOOKUP(B1495 &amp; "-" &amp; TEXT(C1495,"00"),改定!N:N,改定!E:E)</f>
        <v xml:space="preserve">	61591</v>
      </c>
      <c r="B1495" s="119" t="s">
        <v>1974</v>
      </c>
      <c r="C1495" s="120">
        <v>1</v>
      </c>
      <c r="D1495" s="176" t="s">
        <v>814</v>
      </c>
      <c r="E1495" s="254">
        <v>1833</v>
      </c>
      <c r="F1495" s="254">
        <v>1833</v>
      </c>
    </row>
    <row r="1496" spans="1:6">
      <c r="A1496" s="170" t="str">
        <f>_xlfn.XLOOKUP(B1496 &amp; "-" &amp; TEXT(C1496,"00"),改定!N:N,改定!E:E)</f>
        <v>61086</v>
      </c>
      <c r="B1496" s="119" t="s">
        <v>2000</v>
      </c>
      <c r="C1496" s="120">
        <v>1</v>
      </c>
      <c r="D1496" s="176" t="s">
        <v>1969</v>
      </c>
      <c r="E1496" s="254">
        <v>6</v>
      </c>
      <c r="F1496" s="254">
        <v>6</v>
      </c>
    </row>
    <row r="1497" spans="1:6">
      <c r="A1497" s="170" t="str">
        <f>_xlfn.XLOOKUP(B1497 &amp; "-" &amp; TEXT(C1497,"00"),改定!N:N,改定!E:E)</f>
        <v>61807</v>
      </c>
      <c r="B1497" s="119" t="s">
        <v>2000</v>
      </c>
      <c r="C1497" s="120">
        <v>2</v>
      </c>
      <c r="D1497" s="176" t="s">
        <v>1969</v>
      </c>
      <c r="E1497" s="254">
        <v>6</v>
      </c>
      <c r="F1497" s="254">
        <v>6</v>
      </c>
    </row>
    <row r="1498" spans="1:6">
      <c r="A1498" s="170" t="str">
        <f>_xlfn.XLOOKUP(B1498 &amp; "-" &amp; TEXT(C1498,"00"),改定!N:N,改定!E:E)</f>
        <v xml:space="preserve">	55857</v>
      </c>
      <c r="B1498" s="119" t="s">
        <v>2002</v>
      </c>
      <c r="C1498" s="120">
        <v>1</v>
      </c>
      <c r="D1498" s="234" t="s">
        <v>1971</v>
      </c>
      <c r="E1498" s="254">
        <v>2106</v>
      </c>
      <c r="F1498" s="254">
        <v>2105</v>
      </c>
    </row>
    <row r="1499" spans="1:6">
      <c r="A1499" s="170" t="str">
        <f>_xlfn.XLOOKUP(B1499 &amp; "-" &amp; TEXT(C1499,"00"),改定!N:N,改定!E:E)</f>
        <v xml:space="preserve">	61698</v>
      </c>
      <c r="B1499" s="119" t="s">
        <v>2002</v>
      </c>
      <c r="C1499" s="120">
        <v>3</v>
      </c>
      <c r="D1499" s="234" t="s">
        <v>1971</v>
      </c>
      <c r="E1499" s="254">
        <v>2424</v>
      </c>
      <c r="F1499" s="254">
        <v>2424</v>
      </c>
    </row>
    <row r="1500" spans="1:6">
      <c r="A1500" s="170" t="str">
        <f>_xlfn.XLOOKUP(B1500 &amp; "-" &amp; TEXT(C1500,"00"),改定!N:N,改定!E:E)</f>
        <v>61205</v>
      </c>
      <c r="B1500" s="119" t="s">
        <v>2004</v>
      </c>
      <c r="C1500" s="120">
        <v>0</v>
      </c>
      <c r="D1500" s="234" t="s">
        <v>1971</v>
      </c>
      <c r="E1500" s="254">
        <v>3112</v>
      </c>
      <c r="F1500" s="254">
        <v>3110</v>
      </c>
    </row>
    <row r="1501" spans="1:6">
      <c r="A1501" s="170" t="str">
        <f>_xlfn.XLOOKUP(B1501 &amp; "-" &amp; TEXT(C1501,"00"),改定!N:N,改定!E:E)</f>
        <v>61591</v>
      </c>
      <c r="B1501" s="119" t="s">
        <v>2004</v>
      </c>
      <c r="C1501" s="120">
        <v>1</v>
      </c>
      <c r="D1501" s="234" t="s">
        <v>1971</v>
      </c>
      <c r="E1501" s="254">
        <v>3112</v>
      </c>
      <c r="F1501" s="254">
        <v>3110</v>
      </c>
    </row>
    <row r="1502" spans="1:6">
      <c r="A1502" s="170" t="str">
        <f>_xlfn.XLOOKUP(B1502 &amp; "-" &amp; TEXT(C1502,"00"),改定!N:N,改定!E:E)</f>
        <v>61727</v>
      </c>
      <c r="B1502" s="119" t="s">
        <v>1968</v>
      </c>
      <c r="C1502" s="120">
        <v>1</v>
      </c>
      <c r="D1502" s="234" t="s">
        <v>2030</v>
      </c>
      <c r="E1502" s="248">
        <v>2109</v>
      </c>
    </row>
    <row r="1503" spans="1:6">
      <c r="A1503" s="170" t="str">
        <f>_xlfn.XLOOKUP(B1503 &amp; "-" &amp; TEXT(C1503,"00"),改定!N:N,改定!E:E)</f>
        <v>62317</v>
      </c>
      <c r="B1503" s="119" t="s">
        <v>1968</v>
      </c>
      <c r="C1503" s="120">
        <v>2</v>
      </c>
      <c r="D1503" s="234" t="s">
        <v>2030</v>
      </c>
      <c r="E1503" s="254">
        <v>2253</v>
      </c>
      <c r="F1503" s="254">
        <v>2253</v>
      </c>
    </row>
    <row r="1504" spans="1:6">
      <c r="A1504" s="170" t="str">
        <f>_xlfn.XLOOKUP(B1504 &amp; "-" &amp; TEXT(C1504,"00"),改定!N:N,改定!E:E)</f>
        <v xml:space="preserve">	63173</v>
      </c>
      <c r="B1504" s="119" t="s">
        <v>2038</v>
      </c>
      <c r="C1504" s="120">
        <v>0</v>
      </c>
      <c r="D1504" s="176" t="s">
        <v>1997</v>
      </c>
      <c r="E1504" s="254">
        <v>1868</v>
      </c>
    </row>
    <row r="1505" spans="1:6">
      <c r="A1505" s="170" t="str">
        <f>_xlfn.XLOOKUP(B1505 &amp; "-" &amp; TEXT(C1505,"00"),改定!N:N,改定!E:E)</f>
        <v>63514</v>
      </c>
      <c r="B1505" s="119" t="s">
        <v>2038</v>
      </c>
      <c r="C1505" s="120">
        <v>1</v>
      </c>
      <c r="D1505" s="176" t="s">
        <v>1997</v>
      </c>
      <c r="E1505" s="254">
        <v>1868</v>
      </c>
    </row>
    <row r="1506" spans="1:6">
      <c r="A1506" s="170" t="str">
        <f>_xlfn.XLOOKUP(B1506 &amp; "-" &amp; TEXT(C1506,"00"),改定!N:N,改定!E:E)</f>
        <v xml:space="preserve">	63173</v>
      </c>
      <c r="B1506" s="119" t="s">
        <v>2044</v>
      </c>
      <c r="C1506" s="120">
        <v>0</v>
      </c>
      <c r="D1506" s="234" t="s">
        <v>2043</v>
      </c>
      <c r="E1506" s="254">
        <v>1868</v>
      </c>
    </row>
    <row r="1507" spans="1:6">
      <c r="A1507" s="170" t="str">
        <f>_xlfn.XLOOKUP(B1507 &amp; "-" &amp; TEXT(C1507,"00"),改定!N:N,改定!E:E)</f>
        <v>63514</v>
      </c>
      <c r="B1507" s="119" t="s">
        <v>2044</v>
      </c>
      <c r="C1507" s="120">
        <v>1</v>
      </c>
      <c r="D1507" s="234" t="s">
        <v>2043</v>
      </c>
      <c r="E1507" s="254">
        <v>1868</v>
      </c>
    </row>
    <row r="1508" spans="1:6">
      <c r="A1508" s="170" t="str">
        <f>_xlfn.XLOOKUP(B1508 &amp; "-" &amp; TEXT(C1508,"00"),改定!N:N,改定!E:E)</f>
        <v>63312</v>
      </c>
      <c r="B1508" s="119" t="s">
        <v>2046</v>
      </c>
      <c r="C1508" s="120">
        <v>0</v>
      </c>
      <c r="D1508" s="234" t="s">
        <v>2049</v>
      </c>
      <c r="E1508" s="248">
        <v>457</v>
      </c>
    </row>
    <row r="1509" spans="1:6">
      <c r="A1509" s="170" t="str">
        <f>_xlfn.XLOOKUP(B1509 &amp; "-" &amp; TEXT(C1509,"00"),改定!N:N,改定!E:E)</f>
        <v>63514</v>
      </c>
      <c r="B1509" s="119" t="s">
        <v>2046</v>
      </c>
      <c r="C1509" s="120">
        <v>1</v>
      </c>
      <c r="D1509" s="234" t="s">
        <v>2049</v>
      </c>
      <c r="E1509" s="248">
        <v>457</v>
      </c>
    </row>
    <row r="1510" spans="1:6">
      <c r="A1510" s="170" t="str">
        <f>_xlfn.XLOOKUP(B1510 &amp; "-" &amp; TEXT(C1510,"00"),改定!N:N,改定!E:E)</f>
        <v>63312</v>
      </c>
      <c r="B1510" s="119" t="s">
        <v>2050</v>
      </c>
      <c r="C1510" s="120">
        <v>0</v>
      </c>
      <c r="D1510" s="234" t="s">
        <v>2049</v>
      </c>
      <c r="E1510" s="248">
        <v>457</v>
      </c>
    </row>
    <row r="1511" spans="1:6">
      <c r="A1511" s="170" t="str">
        <f>_xlfn.XLOOKUP(B1511 &amp; "-" &amp; TEXT(C1511,"00"),改定!N:N,改定!E:E)</f>
        <v>63514</v>
      </c>
      <c r="B1511" s="119" t="s">
        <v>2050</v>
      </c>
      <c r="C1511" s="120">
        <v>1</v>
      </c>
      <c r="D1511" s="234" t="s">
        <v>2049</v>
      </c>
      <c r="E1511" s="248">
        <v>457</v>
      </c>
    </row>
    <row r="1512" spans="1:6">
      <c r="A1512" s="170" t="str">
        <f>_xlfn.XLOOKUP(B1512 &amp; "-" &amp; TEXT(C1512,"00"),改定!N:N,改定!E:E)</f>
        <v xml:space="preserve">	55360</v>
      </c>
      <c r="B1512" s="119" t="s">
        <v>2051</v>
      </c>
      <c r="C1512" s="120">
        <v>0</v>
      </c>
      <c r="D1512" s="234" t="s">
        <v>2056</v>
      </c>
      <c r="E1512" s="248">
        <v>468</v>
      </c>
    </row>
    <row r="1513" spans="1:6">
      <c r="A1513" s="170" t="str">
        <f>_xlfn.XLOOKUP(B1513 &amp; "-" &amp; TEXT(C1513,"00"),改定!N:N,改定!E:E)</f>
        <v>61467</v>
      </c>
      <c r="B1513" s="119" t="s">
        <v>2051</v>
      </c>
      <c r="C1513" s="120">
        <v>1</v>
      </c>
      <c r="D1513" s="234" t="s">
        <v>2056</v>
      </c>
      <c r="E1513" s="248" t="s">
        <v>1907</v>
      </c>
      <c r="F1513" s="248" t="s">
        <v>1907</v>
      </c>
    </row>
    <row r="1514" spans="1:6">
      <c r="A1514" s="170" t="str">
        <f>_xlfn.XLOOKUP(B1514 &amp; "-" &amp; TEXT(C1514,"00"),改定!N:N,改定!E:E)</f>
        <v>B007886</v>
      </c>
      <c r="B1514" s="119" t="s">
        <v>2062</v>
      </c>
      <c r="C1514" s="120">
        <v>0</v>
      </c>
      <c r="D1514" s="234" t="s">
        <v>2073</v>
      </c>
      <c r="F1514" s="248">
        <v>1</v>
      </c>
    </row>
    <row r="1515" spans="1:6">
      <c r="A1515" s="170" t="str">
        <f>_xlfn.XLOOKUP(B1515 &amp; "-" &amp; TEXT(C1515,"00"),改定!N:N,改定!E:E)</f>
        <v>B007886</v>
      </c>
      <c r="B1515" s="119" t="s">
        <v>2062</v>
      </c>
      <c r="C1515" s="120">
        <v>0</v>
      </c>
      <c r="D1515" s="234" t="s">
        <v>245</v>
      </c>
      <c r="F1515" s="248">
        <v>1</v>
      </c>
    </row>
    <row r="1516" spans="1:6">
      <c r="A1516" s="170" t="str">
        <f>_xlfn.XLOOKUP(B1516 &amp; "-" &amp; TEXT(C1516,"00"),改定!N:N,改定!E:E)</f>
        <v>55653</v>
      </c>
      <c r="B1516" s="119" t="s">
        <v>2064</v>
      </c>
      <c r="C1516" s="120">
        <v>1</v>
      </c>
      <c r="D1516" s="234" t="s">
        <v>2073</v>
      </c>
      <c r="F1516" s="248">
        <v>104</v>
      </c>
    </row>
    <row r="1517" spans="1:6">
      <c r="A1517" s="170" t="str">
        <f>_xlfn.XLOOKUP(B1517 &amp; "-" &amp; TEXT(C1517,"00"),改定!N:N,改定!E:E)</f>
        <v>55653</v>
      </c>
      <c r="B1517" s="119" t="s">
        <v>2064</v>
      </c>
      <c r="C1517" s="120">
        <v>1</v>
      </c>
      <c r="D1517" s="234" t="s">
        <v>245</v>
      </c>
      <c r="F1517" s="248">
        <v>6</v>
      </c>
    </row>
    <row r="1518" spans="1:6">
      <c r="A1518" s="170" t="str">
        <f>_xlfn.XLOOKUP(B1518 &amp; "-" &amp; TEXT(C1518,"00"),改定!N:N,改定!E:E)</f>
        <v>62290</v>
      </c>
      <c r="B1518" s="119" t="s">
        <v>2064</v>
      </c>
      <c r="C1518" s="120">
        <v>2</v>
      </c>
      <c r="D1518" s="234" t="s">
        <v>2073</v>
      </c>
    </row>
    <row r="1519" spans="1:6">
      <c r="A1519" s="170" t="str">
        <f>_xlfn.XLOOKUP(B1519 &amp; "-" &amp; TEXT(C1519,"00"),改定!N:N,改定!E:E)</f>
        <v>62290</v>
      </c>
      <c r="B1519" s="119" t="s">
        <v>2064</v>
      </c>
      <c r="C1519" s="120">
        <v>2</v>
      </c>
      <c r="D1519" s="234" t="s">
        <v>245</v>
      </c>
    </row>
    <row r="1520" spans="1:6">
      <c r="A1520" s="170">
        <f>_xlfn.XLOOKUP(B1520 &amp; "-" &amp; TEXT(C1520,"00"),改定!N:N,改定!E:E)</f>
        <v>0</v>
      </c>
    </row>
    <row r="1521" spans="1:1">
      <c r="A1521" s="170">
        <f>_xlfn.XLOOKUP(B1521 &amp; "-" &amp; TEXT(C1521,"00"),改定!N:N,改定!E:E)</f>
        <v>0</v>
      </c>
    </row>
    <row r="1522" spans="1:1">
      <c r="A1522" s="170">
        <f>_xlfn.XLOOKUP(B1522 &amp; "-" &amp; TEXT(C1522,"00"),改定!N:N,改定!E:E)</f>
        <v>0</v>
      </c>
    </row>
    <row r="1523" spans="1:1">
      <c r="A1523" s="170">
        <f>_xlfn.XLOOKUP(B1523 &amp; "-" &amp; TEXT(C1523,"00"),改定!N:N,改定!E:E)</f>
        <v>0</v>
      </c>
    </row>
    <row r="1524" spans="1:1">
      <c r="A1524" s="170">
        <f>_xlfn.XLOOKUP(B1524 &amp; "-" &amp; TEXT(C1524,"00"),改定!N:N,改定!E:E)</f>
        <v>0</v>
      </c>
    </row>
    <row r="1525" spans="1:1">
      <c r="A1525" s="170">
        <f>_xlfn.XLOOKUP(B1525 &amp; "-" &amp; TEXT(C1525,"00"),改定!N:N,改定!E:E)</f>
        <v>0</v>
      </c>
    </row>
    <row r="1526" spans="1:1">
      <c r="A1526" s="170">
        <f>_xlfn.XLOOKUP(B1526 &amp; "-" &amp; TEXT(C1526,"00"),改定!N:N,改定!E:E)</f>
        <v>0</v>
      </c>
    </row>
    <row r="1527" spans="1:1">
      <c r="A1527" s="170">
        <f>_xlfn.XLOOKUP(B1527 &amp; "-" &amp; TEXT(C1527,"00"),改定!N:N,改定!E:E)</f>
        <v>0</v>
      </c>
    </row>
    <row r="1528" spans="1:1">
      <c r="A1528" s="170">
        <f>_xlfn.XLOOKUP(B1528 &amp; "-" &amp; TEXT(C1528,"00"),改定!N:N,改定!E:E)</f>
        <v>0</v>
      </c>
    </row>
    <row r="1529" spans="1:1">
      <c r="A1529" s="170">
        <f>_xlfn.XLOOKUP(B1529 &amp; "-" &amp; TEXT(C1529,"00"),改定!N:N,改定!E:E)</f>
        <v>0</v>
      </c>
    </row>
    <row r="1530" spans="1:1">
      <c r="A1530" s="170">
        <f>_xlfn.XLOOKUP(B1530 &amp; "-" &amp; TEXT(C1530,"00"),改定!N:N,改定!E:E)</f>
        <v>0</v>
      </c>
    </row>
    <row r="1531" spans="1:1">
      <c r="A1531" s="170">
        <f>_xlfn.XLOOKUP(B1531 &amp; "-" &amp; TEXT(C1531,"00"),改定!N:N,改定!E:E)</f>
        <v>0</v>
      </c>
    </row>
    <row r="1532" spans="1:1">
      <c r="A1532" s="170">
        <f>_xlfn.XLOOKUP(B1532 &amp; "-" &amp; TEXT(C1532,"00"),改定!N:N,改定!E:E)</f>
        <v>0</v>
      </c>
    </row>
    <row r="1533" spans="1:1">
      <c r="A1533" s="170">
        <f>_xlfn.XLOOKUP(B1533 &amp; "-" &amp; TEXT(C1533,"00"),改定!N:N,改定!E:E)</f>
        <v>0</v>
      </c>
    </row>
    <row r="1534" spans="1:1">
      <c r="A1534" s="170">
        <f>_xlfn.XLOOKUP(B1534 &amp; "-" &amp; TEXT(C1534,"00"),改定!N:N,改定!E:E)</f>
        <v>0</v>
      </c>
    </row>
    <row r="1535" spans="1:1">
      <c r="A1535" s="170">
        <f>_xlfn.XLOOKUP(B1535 &amp; "-" &amp; TEXT(C1535,"00"),改定!N:N,改定!E:E)</f>
        <v>0</v>
      </c>
    </row>
    <row r="1536" spans="1:1">
      <c r="A1536" s="170">
        <f>_xlfn.XLOOKUP(B1536 &amp; "-" &amp; TEXT(C1536,"00"),改定!N:N,改定!E:E)</f>
        <v>0</v>
      </c>
    </row>
    <row r="1537" spans="1:1">
      <c r="A1537" s="170">
        <f>_xlfn.XLOOKUP(B1537 &amp; "-" &amp; TEXT(C1537,"00"),改定!N:N,改定!E:E)</f>
        <v>0</v>
      </c>
    </row>
    <row r="1538" spans="1:1">
      <c r="A1538" s="170">
        <f>_xlfn.XLOOKUP(B1538 &amp; "-" &amp; TEXT(C1538,"00"),改定!N:N,改定!E:E)</f>
        <v>0</v>
      </c>
    </row>
    <row r="1539" spans="1:1">
      <c r="A1539" s="170">
        <f>_xlfn.XLOOKUP(B1539 &amp; "-" &amp; TEXT(C1539,"00"),改定!N:N,改定!E:E)</f>
        <v>0</v>
      </c>
    </row>
    <row r="1540" spans="1:1">
      <c r="A1540" s="170">
        <f>_xlfn.XLOOKUP(B1540 &amp; "-" &amp; TEXT(C1540,"00"),改定!N:N,改定!E:E)</f>
        <v>0</v>
      </c>
    </row>
    <row r="1541" spans="1:1">
      <c r="A1541" s="170">
        <f>_xlfn.XLOOKUP(B1541 &amp; "-" &amp; TEXT(C1541,"00"),改定!N:N,改定!E:E)</f>
        <v>0</v>
      </c>
    </row>
    <row r="1542" spans="1:1">
      <c r="A1542" s="170">
        <f>_xlfn.XLOOKUP(B1542 &amp; "-" &amp; TEXT(C1542,"00"),改定!N:N,改定!E:E)</f>
        <v>0</v>
      </c>
    </row>
    <row r="1543" spans="1:1">
      <c r="A1543" s="170">
        <f>_xlfn.XLOOKUP(B1543 &amp; "-" &amp; TEXT(C1543,"00"),改定!N:N,改定!E:E)</f>
        <v>0</v>
      </c>
    </row>
    <row r="1544" spans="1:1">
      <c r="A1544" s="170">
        <f>_xlfn.XLOOKUP(B1544 &amp; "-" &amp; TEXT(C1544,"00"),改定!N:N,改定!E:E)</f>
        <v>0</v>
      </c>
    </row>
    <row r="1545" spans="1:1">
      <c r="A1545" s="170">
        <f>_xlfn.XLOOKUP(B1545 &amp; "-" &amp; TEXT(C1545,"00"),改定!N:N,改定!E:E)</f>
        <v>0</v>
      </c>
    </row>
    <row r="1546" spans="1:1">
      <c r="A1546" s="170">
        <f>_xlfn.XLOOKUP(B1546 &amp; "-" &amp; TEXT(C1546,"00"),改定!N:N,改定!E:E)</f>
        <v>0</v>
      </c>
    </row>
    <row r="1547" spans="1:1">
      <c r="A1547" s="170">
        <f>_xlfn.XLOOKUP(B1547 &amp; "-" &amp; TEXT(C1547,"00"),改定!N:N,改定!E:E)</f>
        <v>0</v>
      </c>
    </row>
    <row r="1548" spans="1:1">
      <c r="A1548" s="170">
        <f>_xlfn.XLOOKUP(B1548 &amp; "-" &amp; TEXT(C1548,"00"),改定!N:N,改定!E:E)</f>
        <v>0</v>
      </c>
    </row>
  </sheetData>
  <autoFilter ref="A1:R1548" xr:uid="{6B6F3FAF-CA73-438B-8BC3-5C3841A3CDA0}"/>
  <mergeCells count="18">
    <mergeCell ref="H1263:H1264"/>
    <mergeCell ref="H1266:H1267"/>
    <mergeCell ref="H1245:H1246"/>
    <mergeCell ref="H1247:H1248"/>
    <mergeCell ref="H1254:H1255"/>
    <mergeCell ref="H1256:H1257"/>
    <mergeCell ref="H1261:H1262"/>
    <mergeCell ref="H448:H449"/>
    <mergeCell ref="H251:H256"/>
    <mergeCell ref="H291:H292"/>
    <mergeCell ref="H294:H295"/>
    <mergeCell ref="H301:H303"/>
    <mergeCell ref="H1225:H1230"/>
    <mergeCell ref="H1092:H1097"/>
    <mergeCell ref="H1182:H1183"/>
    <mergeCell ref="H1188:H1189"/>
    <mergeCell ref="H1220:H1221"/>
    <mergeCell ref="H1222:H1223"/>
  </mergeCells>
  <phoneticPr fontId="1"/>
  <conditionalFormatting sqref="D196:D201">
    <cfRule type="duplicateValues" dxfId="0" priority="2"/>
  </conditionalFormatting>
  <pageMargins left="0.35433070866141736" right="0.27559055118110237" top="0.55118110236220474" bottom="0.47244094488188981" header="0.51181102362204722" footer="0.51181102362204722"/>
  <pageSetup paperSize="9" scale="50"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C6A4D-2D0B-4604-9B7F-08111E9C87FC}">
  <dimension ref="A1:B7"/>
  <sheetViews>
    <sheetView workbookViewId="0">
      <selection activeCell="B4" sqref="B4"/>
    </sheetView>
  </sheetViews>
  <sheetFormatPr defaultRowHeight="13.5"/>
  <cols>
    <col min="1" max="1" width="11.75" style="171" bestFit="1" customWidth="1"/>
    <col min="2" max="2" width="11.75" bestFit="1" customWidth="1"/>
  </cols>
  <sheetData>
    <row r="1" spans="1:2">
      <c r="A1" s="171" t="s">
        <v>2091</v>
      </c>
      <c r="B1" t="s">
        <v>2095</v>
      </c>
    </row>
    <row r="2" spans="1:2">
      <c r="A2" s="171">
        <v>1</v>
      </c>
      <c r="B2" t="s">
        <v>2096</v>
      </c>
    </row>
    <row r="3" spans="1:2">
      <c r="A3" s="171">
        <v>2</v>
      </c>
      <c r="B3" t="s">
        <v>2097</v>
      </c>
    </row>
    <row r="4" spans="1:2">
      <c r="A4" s="171">
        <v>3</v>
      </c>
      <c r="B4" t="s">
        <v>2083</v>
      </c>
    </row>
    <row r="5" spans="1:2">
      <c r="A5" s="171">
        <v>4</v>
      </c>
      <c r="B5" t="s">
        <v>2098</v>
      </c>
    </row>
    <row r="6" spans="1:2">
      <c r="A6" s="171">
        <v>5</v>
      </c>
      <c r="B6" t="s">
        <v>2083</v>
      </c>
    </row>
    <row r="7" spans="1:2">
      <c r="A7" s="171">
        <v>6</v>
      </c>
      <c r="B7" t="s">
        <v>2086</v>
      </c>
    </row>
  </sheetData>
  <phoneticPr fontId="1"/>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C3AFF-5BE4-40F1-9901-F8722475CBEC}">
  <dimension ref="A1:P35"/>
  <sheetViews>
    <sheetView workbookViewId="0">
      <selection activeCell="P23" sqref="P23"/>
    </sheetView>
  </sheetViews>
  <sheetFormatPr defaultRowHeight="13.5"/>
  <cols>
    <col min="1" max="1" width="10.75" customWidth="1"/>
    <col min="3" max="3" width="9" style="171"/>
    <col min="11" max="11" width="5.25" bestFit="1" customWidth="1"/>
  </cols>
  <sheetData>
    <row r="1" spans="1:7">
      <c r="A1" t="s">
        <v>2092</v>
      </c>
      <c r="B1" t="s">
        <v>2093</v>
      </c>
      <c r="C1" s="171" t="s">
        <v>2094</v>
      </c>
    </row>
    <row r="2" spans="1:7">
      <c r="A2" s="171" t="s">
        <v>2077</v>
      </c>
      <c r="B2" t="s">
        <v>2084</v>
      </c>
      <c r="C2">
        <v>50</v>
      </c>
      <c r="D2" t="str" cm="1">
        <f t="array" ref="D2:D8">_xlfn.UNIQUE(A2:A14)</f>
        <v>001</v>
      </c>
      <c r="E2" t="str" cm="1">
        <f t="array" ref="E2">_xlfn.TEXTJOIN(",",TRUE,IF(A:A=D2,B:B,""))</f>
        <v>A,B,C,D,A,B,C,D</v>
      </c>
    </row>
    <row r="3" spans="1:7">
      <c r="A3" s="171" t="s">
        <v>2077</v>
      </c>
      <c r="B3" t="s">
        <v>2085</v>
      </c>
      <c r="C3">
        <v>80</v>
      </c>
      <c r="D3" t="str">
        <v>002</v>
      </c>
      <c r="E3" t="str" cm="1">
        <f t="array" ref="E3">_xlfn.TEXTJOIN(",",TRUE,IF(A:A=D3,B:B,""))</f>
        <v>A,B,C,A,B,C</v>
      </c>
    </row>
    <row r="4" spans="1:7">
      <c r="A4" s="171" t="s">
        <v>2077</v>
      </c>
      <c r="B4" t="s">
        <v>2087</v>
      </c>
      <c r="C4">
        <v>1</v>
      </c>
      <c r="D4" t="str">
        <v>003</v>
      </c>
      <c r="E4" t="str" cm="1">
        <f t="array" ref="E4">_xlfn.TEXTJOIN(",",TRUE,IF(A:A=D4,B:B,""))</f>
        <v>A,A</v>
      </c>
    </row>
    <row r="5" spans="1:7">
      <c r="A5" s="171" t="s">
        <v>2077</v>
      </c>
      <c r="B5" t="s">
        <v>2088</v>
      </c>
      <c r="C5">
        <v>1</v>
      </c>
      <c r="D5" t="str">
        <v>004</v>
      </c>
      <c r="E5" t="str" cm="1">
        <f t="array" ref="E5">_xlfn.TEXTJOIN(",",TRUE,IF(A:A=D5,B:B,""))</f>
        <v>B,C,B,C</v>
      </c>
      <c r="G5" t="e" cm="1">
        <f t="array" ref="G5">_xlfn.IFS(ture,TRUE)</f>
        <v>#NAME?</v>
      </c>
    </row>
    <row r="6" spans="1:7">
      <c r="A6" s="171" t="s">
        <v>2078</v>
      </c>
      <c r="B6" t="s">
        <v>2084</v>
      </c>
      <c r="C6">
        <v>80</v>
      </c>
      <c r="D6" t="str">
        <v>005</v>
      </c>
      <c r="E6" t="str" cm="1">
        <f t="array" ref="E6">_xlfn.TEXTJOIN(",",TRUE,IF(A:A=D6,B:B,""))</f>
        <v>A,A</v>
      </c>
    </row>
    <row r="7" spans="1:7">
      <c r="A7" s="171" t="s">
        <v>2078</v>
      </c>
      <c r="B7" t="s">
        <v>2085</v>
      </c>
      <c r="C7">
        <v>80</v>
      </c>
      <c r="D7" t="str">
        <v>006</v>
      </c>
      <c r="E7" t="str" cm="1">
        <f t="array" ref="E7">_xlfn.TEXTJOIN(",",TRUE,IF(A:A=D7,B:B,""))</f>
        <v>C,C</v>
      </c>
    </row>
    <row r="8" spans="1:7">
      <c r="A8" s="171" t="s">
        <v>2078</v>
      </c>
      <c r="B8" t="s">
        <v>2087</v>
      </c>
      <c r="C8">
        <v>1</v>
      </c>
      <c r="D8">
        <v>0</v>
      </c>
    </row>
    <row r="9" spans="1:7">
      <c r="A9" s="171" t="s">
        <v>2079</v>
      </c>
      <c r="B9" t="s">
        <v>2084</v>
      </c>
      <c r="C9">
        <v>50</v>
      </c>
    </row>
    <row r="10" spans="1:7">
      <c r="A10" s="171" t="s">
        <v>2080</v>
      </c>
      <c r="B10" t="s">
        <v>2085</v>
      </c>
      <c r="C10">
        <v>120</v>
      </c>
    </row>
    <row r="11" spans="1:7">
      <c r="A11" s="171" t="s">
        <v>2080</v>
      </c>
      <c r="B11" t="s">
        <v>2087</v>
      </c>
      <c r="C11">
        <v>1</v>
      </c>
    </row>
    <row r="12" spans="1:7">
      <c r="A12" s="171" t="s">
        <v>2081</v>
      </c>
      <c r="B12" t="s">
        <v>2084</v>
      </c>
      <c r="C12">
        <v>60</v>
      </c>
    </row>
    <row r="13" spans="1:7">
      <c r="A13" s="171" t="s">
        <v>2082</v>
      </c>
      <c r="B13" t="s">
        <v>2087</v>
      </c>
      <c r="C13">
        <v>10</v>
      </c>
    </row>
    <row r="22" spans="1:16">
      <c r="A22" s="260" t="s">
        <v>2092</v>
      </c>
      <c r="B22" s="261" t="s">
        <v>2093</v>
      </c>
      <c r="J22" t="s">
        <v>251</v>
      </c>
      <c r="K22" t="s">
        <v>2108</v>
      </c>
      <c r="L22" t="s">
        <v>553</v>
      </c>
      <c r="N22" t="s">
        <v>251</v>
      </c>
      <c r="O22" t="s">
        <v>2108</v>
      </c>
      <c r="P22" t="s">
        <v>2109</v>
      </c>
    </row>
    <row r="23" spans="1:16">
      <c r="A23" s="264" t="s">
        <v>2077</v>
      </c>
      <c r="B23" s="262" t="s">
        <v>2084</v>
      </c>
      <c r="J23" s="132" t="s">
        <v>2077</v>
      </c>
      <c r="K23">
        <v>1</v>
      </c>
      <c r="L23" t="s">
        <v>2084</v>
      </c>
      <c r="N23" s="132" t="s">
        <v>2077</v>
      </c>
      <c r="O23">
        <v>1</v>
      </c>
      <c r="P23" t="str" cm="1">
        <f t="array" ref="P23">_xlfn.TEXTJOIN(",", TRUE, _xlfn._xlws.FILTER(適用号機!D:D, (適用号機!B:B=改定!F782)*(適用号機!C:C=改定!G782), ""))</f>
        <v>L5E,L5E2,L6F,L8EV,L8EV2,L9ER,L9ER2,L9EV,L9EV2</v>
      </c>
    </row>
    <row r="24" spans="1:16">
      <c r="A24" s="265" t="s">
        <v>2077</v>
      </c>
      <c r="B24" s="263" t="s">
        <v>2085</v>
      </c>
      <c r="J24" s="132" t="s">
        <v>2077</v>
      </c>
      <c r="K24">
        <v>1</v>
      </c>
      <c r="L24" t="s">
        <v>2085</v>
      </c>
      <c r="N24" s="132" t="s">
        <v>2077</v>
      </c>
      <c r="O24">
        <v>2</v>
      </c>
      <c r="P24" t="str" cm="1">
        <f t="array" ref="P24">_xlfn.TEXTJOIN(",", TRUE, _xlfn._xlws.FILTER(L24:L36, (J24:J36=N24)*(K24:K36=O24), ""))</f>
        <v>A,B</v>
      </c>
    </row>
    <row r="25" spans="1:16">
      <c r="A25" s="264" t="s">
        <v>2077</v>
      </c>
      <c r="B25" s="262" t="s">
        <v>2087</v>
      </c>
      <c r="J25" s="132" t="s">
        <v>2077</v>
      </c>
      <c r="K25">
        <v>1</v>
      </c>
      <c r="L25" t="s">
        <v>2087</v>
      </c>
      <c r="N25" s="132" t="s">
        <v>2077</v>
      </c>
      <c r="O25">
        <v>3</v>
      </c>
      <c r="P25" t="str" cm="1">
        <f t="array" ref="P25">_xlfn.TEXTJOIN(",", TRUE, _xlfn._xlws.FILTER(L25:L37, (J25:J37=N25)*(K25:K37=O25), ""))</f>
        <v>D,A,B</v>
      </c>
    </row>
    <row r="26" spans="1:16">
      <c r="A26" s="265" t="s">
        <v>2077</v>
      </c>
      <c r="B26" s="263" t="s">
        <v>2088</v>
      </c>
      <c r="J26" s="132" t="s">
        <v>2077</v>
      </c>
      <c r="K26">
        <v>2</v>
      </c>
      <c r="L26" t="s">
        <v>2084</v>
      </c>
      <c r="N26" s="132" t="s">
        <v>2078</v>
      </c>
      <c r="O26">
        <v>1</v>
      </c>
      <c r="P26" t="str" cm="1">
        <f t="array" ref="P26">_xlfn.TEXTJOIN(",", TRUE, _xlfn._xlws.FILTER(L26:L38, (J26:J38=N26)*(K26:K38=O26), ""))</f>
        <v>B</v>
      </c>
    </row>
    <row r="27" spans="1:16">
      <c r="A27" s="264" t="s">
        <v>2078</v>
      </c>
      <c r="B27" s="262" t="s">
        <v>2084</v>
      </c>
      <c r="J27" s="132" t="s">
        <v>2077</v>
      </c>
      <c r="K27">
        <v>2</v>
      </c>
      <c r="L27" t="s">
        <v>2085</v>
      </c>
      <c r="N27" s="132" t="s">
        <v>2078</v>
      </c>
      <c r="O27">
        <v>2</v>
      </c>
      <c r="P27" t="str" cm="1">
        <f t="array" ref="P27">_xlfn.TEXTJOIN(",", TRUE, _xlfn._xlws.FILTER(L27:L39, (J27:J39=N27)*(K27:K39=O27), ""))</f>
        <v>C,D</v>
      </c>
    </row>
    <row r="28" spans="1:16">
      <c r="A28" s="265" t="s">
        <v>2078</v>
      </c>
      <c r="B28" s="263" t="s">
        <v>2085</v>
      </c>
      <c r="J28" s="132" t="s">
        <v>2077</v>
      </c>
      <c r="K28">
        <v>3</v>
      </c>
      <c r="L28" t="s">
        <v>2088</v>
      </c>
      <c r="N28" s="132" t="s">
        <v>2078</v>
      </c>
      <c r="O28">
        <v>3</v>
      </c>
      <c r="P28" t="str" cm="1">
        <f t="array" ref="P28">_xlfn.TEXTJOIN(",", TRUE, _xlfn._xlws.FILTER(L28:L40, (J28:J40=N28)*(K28:K40=O28), ""))</f>
        <v>D,A</v>
      </c>
    </row>
    <row r="29" spans="1:16">
      <c r="A29" s="264" t="s">
        <v>2078</v>
      </c>
      <c r="B29" s="262" t="s">
        <v>2087</v>
      </c>
      <c r="J29" s="132" t="s">
        <v>2077</v>
      </c>
      <c r="K29">
        <v>3</v>
      </c>
      <c r="L29" t="s">
        <v>2084</v>
      </c>
      <c r="N29" s="132"/>
    </row>
    <row r="30" spans="1:16">
      <c r="A30" s="265" t="s">
        <v>2079</v>
      </c>
      <c r="B30" s="263" t="s">
        <v>2084</v>
      </c>
      <c r="J30" s="132" t="s">
        <v>2077</v>
      </c>
      <c r="K30">
        <v>3</v>
      </c>
      <c r="L30" t="s">
        <v>2085</v>
      </c>
      <c r="N30" s="132"/>
    </row>
    <row r="31" spans="1:16">
      <c r="A31" s="264" t="s">
        <v>2080</v>
      </c>
      <c r="B31" s="262" t="s">
        <v>2085</v>
      </c>
      <c r="J31" s="132" t="s">
        <v>2078</v>
      </c>
      <c r="K31">
        <v>1</v>
      </c>
      <c r="L31" t="s">
        <v>2085</v>
      </c>
    </row>
    <row r="32" spans="1:16">
      <c r="A32" s="265" t="s">
        <v>2080</v>
      </c>
      <c r="B32" s="263" t="s">
        <v>2087</v>
      </c>
      <c r="J32" s="132" t="s">
        <v>2078</v>
      </c>
      <c r="K32">
        <v>2</v>
      </c>
      <c r="L32" t="s">
        <v>2087</v>
      </c>
    </row>
    <row r="33" spans="1:14">
      <c r="A33" s="264" t="s">
        <v>2081</v>
      </c>
      <c r="B33" s="262" t="s">
        <v>2084</v>
      </c>
      <c r="J33" s="132" t="s">
        <v>2078</v>
      </c>
      <c r="K33">
        <v>2</v>
      </c>
      <c r="L33" t="s">
        <v>2088</v>
      </c>
      <c r="N33" s="132"/>
    </row>
    <row r="34" spans="1:14">
      <c r="A34" s="265" t="s">
        <v>2082</v>
      </c>
      <c r="B34" s="263" t="s">
        <v>2087</v>
      </c>
      <c r="J34" s="132" t="s">
        <v>2078</v>
      </c>
      <c r="K34">
        <v>3</v>
      </c>
      <c r="L34" t="s">
        <v>2088</v>
      </c>
      <c r="N34" s="132"/>
    </row>
    <row r="35" spans="1:14">
      <c r="J35" s="132" t="s">
        <v>2078</v>
      </c>
      <c r="K35">
        <v>3</v>
      </c>
      <c r="L35" t="s">
        <v>2084</v>
      </c>
    </row>
  </sheetData>
  <phoneticPr fontId="1"/>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AA76F-ABD3-4F4F-8CD1-C0307E17D07C}">
  <sheetPr codeName="Sheet4"/>
  <dimension ref="A1:Y188"/>
  <sheetViews>
    <sheetView topLeftCell="A6" zoomScale="70" zoomScaleNormal="70" workbookViewId="0">
      <selection activeCell="C19" sqref="C19"/>
    </sheetView>
  </sheetViews>
  <sheetFormatPr defaultColWidth="15.5" defaultRowHeight="24" customHeight="1"/>
  <cols>
    <col min="1" max="1" width="5.875" style="4" customWidth="1"/>
    <col min="2" max="2" width="15.5" style="11"/>
    <col min="3" max="3" width="17" style="4" bestFit="1" customWidth="1"/>
    <col min="4" max="4" width="20" style="4" customWidth="1"/>
    <col min="5" max="7" width="10" style="4" customWidth="1"/>
    <col min="8" max="8" width="31.375" style="4" bestFit="1" customWidth="1"/>
    <col min="9" max="9" width="22" style="4" customWidth="1"/>
    <col min="10" max="10" width="29.625" style="4" bestFit="1" customWidth="1"/>
    <col min="11" max="11" width="22" style="4" customWidth="1"/>
    <col min="12" max="16" width="21.125" style="4" customWidth="1"/>
    <col min="17" max="17" width="11.125" style="4" customWidth="1"/>
    <col min="18" max="18" width="16.75" style="11" bestFit="1" customWidth="1"/>
    <col min="19" max="19" width="24.5" style="14" customWidth="1"/>
    <col min="20" max="20" width="43.375" style="4" customWidth="1"/>
    <col min="21" max="21" width="26.75" style="4" customWidth="1"/>
    <col min="22" max="16384" width="15.5" style="4"/>
  </cols>
  <sheetData>
    <row r="1" spans="2:19" ht="24" customHeight="1">
      <c r="C1" s="5" t="s">
        <v>550</v>
      </c>
      <c r="K1" s="9"/>
      <c r="S1" s="82"/>
    </row>
    <row r="2" spans="2:19" ht="24" customHeight="1">
      <c r="B2" s="13" t="s">
        <v>1</v>
      </c>
      <c r="C2" s="3" t="s">
        <v>551</v>
      </c>
      <c r="D2" s="192" t="s">
        <v>552</v>
      </c>
      <c r="E2" s="193"/>
      <c r="F2" s="193"/>
      <c r="G2" s="194"/>
      <c r="H2" s="2" t="s">
        <v>553</v>
      </c>
      <c r="I2" s="2" t="s">
        <v>554</v>
      </c>
      <c r="J2" s="2" t="s">
        <v>555</v>
      </c>
      <c r="K2" s="2" t="s">
        <v>556</v>
      </c>
      <c r="L2" s="16"/>
      <c r="M2" s="16"/>
      <c r="N2" s="16"/>
      <c r="O2" s="16"/>
      <c r="P2" s="16"/>
      <c r="Q2" s="14"/>
      <c r="R2" s="41"/>
      <c r="S2" s="82"/>
    </row>
    <row r="3" spans="2:19" ht="30" customHeight="1">
      <c r="B3" s="12" t="s">
        <v>10</v>
      </c>
      <c r="C3" s="3" t="s">
        <v>557</v>
      </c>
      <c r="D3" s="192" t="s">
        <v>558</v>
      </c>
      <c r="E3" s="193"/>
      <c r="F3" s="193"/>
      <c r="G3" s="194"/>
      <c r="H3" s="3" t="s">
        <v>559</v>
      </c>
      <c r="I3" s="3">
        <v>2</v>
      </c>
      <c r="J3" s="3">
        <v>20</v>
      </c>
      <c r="K3" s="3">
        <v>16</v>
      </c>
      <c r="Q3" s="14"/>
      <c r="R3" s="41"/>
      <c r="S3" s="4"/>
    </row>
    <row r="4" spans="2:19" ht="30" customHeight="1">
      <c r="B4" s="6" t="s">
        <v>6</v>
      </c>
      <c r="C4" s="3" t="s">
        <v>560</v>
      </c>
      <c r="D4" s="192" t="s">
        <v>561</v>
      </c>
      <c r="E4" s="193"/>
      <c r="F4" s="193"/>
      <c r="G4" s="194"/>
      <c r="H4" s="3" t="s">
        <v>559</v>
      </c>
      <c r="I4" s="3">
        <v>2</v>
      </c>
      <c r="J4" s="3">
        <v>20</v>
      </c>
      <c r="K4" s="3">
        <v>16</v>
      </c>
      <c r="Q4" s="14"/>
      <c r="R4" s="41"/>
      <c r="S4" s="4"/>
    </row>
    <row r="5" spans="2:19" ht="30" customHeight="1">
      <c r="B5" s="12" t="s">
        <v>10</v>
      </c>
      <c r="C5" s="3" t="s">
        <v>562</v>
      </c>
      <c r="D5" s="192" t="s">
        <v>563</v>
      </c>
      <c r="E5" s="193"/>
      <c r="F5" s="193"/>
      <c r="G5" s="194"/>
      <c r="H5" s="3" t="s">
        <v>564</v>
      </c>
      <c r="I5" s="3">
        <v>1</v>
      </c>
      <c r="J5" s="3">
        <v>6</v>
      </c>
      <c r="K5" s="3">
        <v>1</v>
      </c>
      <c r="Q5" s="14"/>
      <c r="R5" s="41"/>
      <c r="S5" s="4"/>
    </row>
    <row r="6" spans="2:19" ht="30" customHeight="1">
      <c r="B6" s="6" t="s">
        <v>6</v>
      </c>
      <c r="C6" s="3" t="s">
        <v>565</v>
      </c>
      <c r="D6" s="192" t="s">
        <v>566</v>
      </c>
      <c r="E6" s="193"/>
      <c r="F6" s="193"/>
      <c r="G6" s="194"/>
      <c r="H6" s="3" t="s">
        <v>567</v>
      </c>
      <c r="I6" s="3">
        <v>1</v>
      </c>
      <c r="J6" s="3">
        <v>17</v>
      </c>
      <c r="K6" s="3">
        <v>0</v>
      </c>
      <c r="Q6" s="14"/>
      <c r="R6" s="41"/>
      <c r="S6" s="4"/>
    </row>
    <row r="7" spans="2:19" ht="30" customHeight="1">
      <c r="B7" s="12" t="s">
        <v>10</v>
      </c>
      <c r="C7" s="3" t="s">
        <v>568</v>
      </c>
      <c r="D7" s="192" t="s">
        <v>569</v>
      </c>
      <c r="E7" s="193"/>
      <c r="F7" s="193"/>
      <c r="G7" s="194"/>
      <c r="H7" s="3" t="s">
        <v>570</v>
      </c>
      <c r="I7" s="3">
        <v>1</v>
      </c>
      <c r="J7" s="3">
        <v>0</v>
      </c>
      <c r="K7" s="3">
        <v>16</v>
      </c>
      <c r="Q7" s="14"/>
      <c r="R7" s="41"/>
      <c r="S7" s="4"/>
    </row>
    <row r="8" spans="2:19" ht="30" customHeight="1">
      <c r="B8" s="6" t="s">
        <v>6</v>
      </c>
      <c r="C8" s="3" t="s">
        <v>571</v>
      </c>
      <c r="D8" s="192" t="s">
        <v>572</v>
      </c>
      <c r="E8" s="193"/>
      <c r="F8" s="193"/>
      <c r="G8" s="194"/>
      <c r="H8" s="3" t="s">
        <v>570</v>
      </c>
      <c r="I8" s="3">
        <v>1</v>
      </c>
      <c r="J8" s="3">
        <v>0</v>
      </c>
      <c r="K8" s="3">
        <v>16</v>
      </c>
      <c r="Q8" s="14"/>
      <c r="R8" s="41"/>
      <c r="S8" s="4"/>
    </row>
    <row r="9" spans="2:19" ht="30" customHeight="1">
      <c r="B9" s="6" t="s">
        <v>6</v>
      </c>
      <c r="C9" s="3" t="s">
        <v>573</v>
      </c>
      <c r="D9" s="192" t="s">
        <v>572</v>
      </c>
      <c r="E9" s="193"/>
      <c r="F9" s="193"/>
      <c r="G9" s="194"/>
      <c r="H9" s="3" t="s">
        <v>574</v>
      </c>
      <c r="I9" s="3">
        <v>1</v>
      </c>
      <c r="J9" s="3">
        <v>0</v>
      </c>
      <c r="K9" s="3">
        <v>16</v>
      </c>
      <c r="Q9" s="14"/>
      <c r="R9" s="41"/>
      <c r="S9" s="4"/>
    </row>
    <row r="10" spans="2:19" ht="30" customHeight="1">
      <c r="B10" s="6" t="s">
        <v>6</v>
      </c>
      <c r="C10" s="3" t="s">
        <v>575</v>
      </c>
      <c r="D10" s="192" t="s">
        <v>576</v>
      </c>
      <c r="E10" s="193"/>
      <c r="F10" s="193"/>
      <c r="G10" s="194"/>
      <c r="H10" s="3" t="s">
        <v>577</v>
      </c>
      <c r="I10" s="3">
        <v>1</v>
      </c>
      <c r="J10" s="3">
        <v>6</v>
      </c>
      <c r="K10" s="3">
        <v>1</v>
      </c>
      <c r="Q10" s="14"/>
      <c r="R10" s="41"/>
      <c r="S10" s="4"/>
    </row>
    <row r="11" spans="2:19" ht="30" customHeight="1">
      <c r="B11" s="12" t="s">
        <v>10</v>
      </c>
      <c r="C11" s="3" t="s">
        <v>578</v>
      </c>
      <c r="D11" s="192" t="s">
        <v>579</v>
      </c>
      <c r="E11" s="193"/>
      <c r="F11" s="193"/>
      <c r="G11" s="194"/>
      <c r="H11" s="3" t="s">
        <v>580</v>
      </c>
      <c r="I11" s="3">
        <v>3</v>
      </c>
      <c r="J11" s="3">
        <v>33</v>
      </c>
      <c r="K11" s="3">
        <v>3</v>
      </c>
      <c r="Q11" s="14"/>
      <c r="R11" s="41"/>
      <c r="S11" s="4"/>
    </row>
    <row r="12" spans="2:19" ht="30" customHeight="1">
      <c r="B12" s="6" t="s">
        <v>6</v>
      </c>
      <c r="C12" s="3" t="s">
        <v>581</v>
      </c>
      <c r="D12" s="192" t="s">
        <v>582</v>
      </c>
      <c r="E12" s="193"/>
      <c r="F12" s="193"/>
      <c r="G12" s="194"/>
      <c r="H12" s="3" t="s">
        <v>583</v>
      </c>
      <c r="I12" s="3">
        <v>3</v>
      </c>
      <c r="J12" s="3">
        <v>33</v>
      </c>
      <c r="K12" s="3">
        <v>3</v>
      </c>
      <c r="Q12" s="14"/>
      <c r="R12" s="41"/>
      <c r="S12" s="4"/>
    </row>
    <row r="13" spans="2:19" ht="30" customHeight="1">
      <c r="B13" s="6" t="s">
        <v>6</v>
      </c>
      <c r="C13" s="3" t="s">
        <v>584</v>
      </c>
      <c r="D13" s="192" t="s">
        <v>585</v>
      </c>
      <c r="E13" s="193"/>
      <c r="F13" s="193"/>
      <c r="G13" s="194"/>
      <c r="H13" s="3" t="s">
        <v>586</v>
      </c>
      <c r="I13" s="3">
        <v>1</v>
      </c>
      <c r="J13" s="3">
        <v>5</v>
      </c>
      <c r="K13" s="3">
        <v>0</v>
      </c>
      <c r="Q13" s="14"/>
      <c r="R13" s="41"/>
      <c r="S13" s="4"/>
    </row>
    <row r="14" spans="2:19" ht="30" customHeight="1">
      <c r="B14" s="12" t="s">
        <v>10</v>
      </c>
      <c r="C14" s="3" t="s">
        <v>587</v>
      </c>
      <c r="D14" s="192" t="s">
        <v>588</v>
      </c>
      <c r="E14" s="193"/>
      <c r="F14" s="193"/>
      <c r="G14" s="194"/>
      <c r="H14" s="3" t="s">
        <v>589</v>
      </c>
      <c r="I14" s="3">
        <v>1</v>
      </c>
      <c r="J14" s="3">
        <v>0</v>
      </c>
      <c r="K14" s="3">
        <v>6</v>
      </c>
      <c r="Q14" s="14"/>
      <c r="R14" s="41"/>
      <c r="S14" s="4"/>
    </row>
    <row r="15" spans="2:19" ht="30" customHeight="1">
      <c r="B15" s="6" t="s">
        <v>6</v>
      </c>
      <c r="C15" s="3" t="s">
        <v>590</v>
      </c>
      <c r="D15" s="192" t="s">
        <v>591</v>
      </c>
      <c r="E15" s="193"/>
      <c r="F15" s="193"/>
      <c r="G15" s="194"/>
      <c r="H15" s="3" t="s">
        <v>589</v>
      </c>
      <c r="I15" s="3">
        <v>1</v>
      </c>
      <c r="J15" s="3">
        <v>0</v>
      </c>
      <c r="K15" s="3">
        <v>6</v>
      </c>
      <c r="Q15" s="14"/>
      <c r="R15" s="41"/>
      <c r="S15" s="4"/>
    </row>
    <row r="16" spans="2:19" ht="30" customHeight="1">
      <c r="B16" s="6" t="s">
        <v>6</v>
      </c>
      <c r="C16" s="3" t="s">
        <v>592</v>
      </c>
      <c r="D16" s="192" t="s">
        <v>591</v>
      </c>
      <c r="E16" s="193"/>
      <c r="F16" s="193"/>
      <c r="G16" s="194"/>
      <c r="H16" s="3" t="s">
        <v>593</v>
      </c>
      <c r="I16" s="3">
        <v>1</v>
      </c>
      <c r="J16" s="3">
        <v>0</v>
      </c>
      <c r="K16" s="3">
        <v>6</v>
      </c>
      <c r="Q16" s="14"/>
      <c r="R16" s="41"/>
      <c r="S16" s="4"/>
    </row>
    <row r="17" spans="2:19" ht="30" customHeight="1">
      <c r="B17" s="12" t="s">
        <v>10</v>
      </c>
      <c r="C17" s="3" t="s">
        <v>594</v>
      </c>
      <c r="D17" s="192" t="s">
        <v>595</v>
      </c>
      <c r="E17" s="193"/>
      <c r="F17" s="193"/>
      <c r="G17" s="194"/>
      <c r="H17" s="3" t="s">
        <v>596</v>
      </c>
      <c r="I17" s="3">
        <v>1</v>
      </c>
      <c r="J17" s="3">
        <v>13</v>
      </c>
      <c r="K17" s="3">
        <v>4</v>
      </c>
      <c r="Q17" s="14"/>
      <c r="R17" s="41"/>
      <c r="S17" s="4"/>
    </row>
    <row r="18" spans="2:19" ht="30" customHeight="1">
      <c r="B18" s="6" t="s">
        <v>6</v>
      </c>
      <c r="C18" s="3" t="s">
        <v>597</v>
      </c>
      <c r="D18" s="192" t="s">
        <v>598</v>
      </c>
      <c r="E18" s="193"/>
      <c r="F18" s="193"/>
      <c r="G18" s="194"/>
      <c r="H18" s="3" t="s">
        <v>596</v>
      </c>
      <c r="I18" s="3">
        <v>1</v>
      </c>
      <c r="J18" s="3">
        <v>13</v>
      </c>
      <c r="K18" s="3">
        <v>4</v>
      </c>
      <c r="Q18" s="14"/>
      <c r="R18" s="41"/>
      <c r="S18" s="4"/>
    </row>
    <row r="19" spans="2:19" ht="30" customHeight="1">
      <c r="B19" s="12" t="s">
        <v>10</v>
      </c>
      <c r="C19" s="3" t="s">
        <v>12</v>
      </c>
      <c r="D19" s="192" t="s">
        <v>599</v>
      </c>
      <c r="E19" s="193"/>
      <c r="F19" s="193"/>
      <c r="G19" s="194"/>
      <c r="H19" s="3" t="s">
        <v>600</v>
      </c>
      <c r="I19" s="3">
        <v>1</v>
      </c>
      <c r="J19" s="3">
        <v>6</v>
      </c>
      <c r="K19" s="3">
        <v>1</v>
      </c>
      <c r="Q19" s="14"/>
      <c r="R19" s="41"/>
      <c r="S19" s="4"/>
    </row>
    <row r="20" spans="2:19" ht="30" customHeight="1">
      <c r="B20" s="12" t="s">
        <v>10</v>
      </c>
      <c r="C20" s="3" t="s">
        <v>14</v>
      </c>
      <c r="D20" s="192" t="s">
        <v>599</v>
      </c>
      <c r="E20" s="193"/>
      <c r="F20" s="193"/>
      <c r="G20" s="194"/>
      <c r="H20" s="3" t="s">
        <v>601</v>
      </c>
      <c r="I20" s="3">
        <v>1</v>
      </c>
      <c r="J20" s="3">
        <v>6</v>
      </c>
      <c r="K20" s="3">
        <v>1</v>
      </c>
      <c r="Q20" s="14"/>
      <c r="R20" s="41"/>
      <c r="S20" s="4"/>
    </row>
    <row r="21" spans="2:19" ht="30" customHeight="1">
      <c r="B21" s="6" t="s">
        <v>6</v>
      </c>
      <c r="C21" s="3" t="s">
        <v>17</v>
      </c>
      <c r="D21" s="192" t="s">
        <v>602</v>
      </c>
      <c r="E21" s="193"/>
      <c r="F21" s="193"/>
      <c r="G21" s="194"/>
      <c r="H21" s="3" t="s">
        <v>600</v>
      </c>
      <c r="I21" s="3">
        <v>1</v>
      </c>
      <c r="J21" s="3">
        <v>6</v>
      </c>
      <c r="K21" s="3">
        <v>1</v>
      </c>
      <c r="Q21" s="14"/>
      <c r="R21" s="41"/>
      <c r="S21" s="4"/>
    </row>
    <row r="22" spans="2:19" ht="30" customHeight="1">
      <c r="B22" s="6" t="s">
        <v>6</v>
      </c>
      <c r="C22" s="3" t="s">
        <v>18</v>
      </c>
      <c r="D22" s="192" t="s">
        <v>602</v>
      </c>
      <c r="E22" s="193"/>
      <c r="F22" s="193"/>
      <c r="G22" s="194"/>
      <c r="H22" s="3" t="s">
        <v>601</v>
      </c>
      <c r="I22" s="3">
        <v>1</v>
      </c>
      <c r="J22" s="3">
        <v>6</v>
      </c>
      <c r="K22" s="3">
        <v>1</v>
      </c>
      <c r="Q22" s="14"/>
      <c r="R22" s="41"/>
      <c r="S22" s="4"/>
    </row>
    <row r="23" spans="2:19" ht="30" customHeight="1">
      <c r="B23" s="6" t="s">
        <v>10</v>
      </c>
      <c r="C23" s="3" t="s">
        <v>603</v>
      </c>
      <c r="D23" s="192" t="s">
        <v>604</v>
      </c>
      <c r="E23" s="193"/>
      <c r="F23" s="193"/>
      <c r="G23" s="194"/>
      <c r="H23" s="3" t="s">
        <v>605</v>
      </c>
      <c r="I23" s="3">
        <v>2</v>
      </c>
      <c r="J23" s="3">
        <v>5</v>
      </c>
      <c r="K23" s="3">
        <v>1</v>
      </c>
      <c r="Q23" s="14"/>
      <c r="R23" s="41"/>
      <c r="S23" s="4"/>
    </row>
    <row r="24" spans="2:19" ht="30" customHeight="1">
      <c r="B24" s="6" t="s">
        <v>6</v>
      </c>
      <c r="C24" s="3" t="s">
        <v>606</v>
      </c>
      <c r="D24" s="192" t="s">
        <v>607</v>
      </c>
      <c r="E24" s="193"/>
      <c r="F24" s="193"/>
      <c r="G24" s="194"/>
      <c r="H24" s="3" t="s">
        <v>608</v>
      </c>
      <c r="I24" s="3">
        <v>1</v>
      </c>
      <c r="J24" s="3">
        <v>7</v>
      </c>
      <c r="K24" s="3">
        <v>1</v>
      </c>
      <c r="Q24" s="14"/>
      <c r="R24" s="41"/>
      <c r="S24" s="4"/>
    </row>
    <row r="25" spans="2:19" ht="30" customHeight="1">
      <c r="B25" s="6" t="s">
        <v>6</v>
      </c>
      <c r="C25" s="3" t="s">
        <v>609</v>
      </c>
      <c r="D25" s="192" t="s">
        <v>607</v>
      </c>
      <c r="E25" s="193"/>
      <c r="F25" s="193"/>
      <c r="G25" s="194"/>
      <c r="H25" s="3" t="s">
        <v>610</v>
      </c>
      <c r="I25" s="3">
        <v>2</v>
      </c>
      <c r="J25" s="3">
        <v>2</v>
      </c>
      <c r="K25" s="3">
        <v>0</v>
      </c>
      <c r="Q25" s="14"/>
      <c r="R25" s="41"/>
      <c r="S25" s="4"/>
    </row>
    <row r="26" spans="2:19" ht="30" customHeight="1">
      <c r="B26" s="6" t="s">
        <v>6</v>
      </c>
      <c r="C26" s="3" t="s">
        <v>611</v>
      </c>
      <c r="D26" s="192" t="s">
        <v>607</v>
      </c>
      <c r="E26" s="193"/>
      <c r="F26" s="193"/>
      <c r="G26" s="194"/>
      <c r="H26" s="3" t="s">
        <v>610</v>
      </c>
      <c r="I26" s="3">
        <v>2</v>
      </c>
      <c r="J26" s="3">
        <v>2</v>
      </c>
      <c r="K26" s="3">
        <v>0</v>
      </c>
      <c r="L26" s="195"/>
      <c r="M26" s="196"/>
      <c r="N26" s="196"/>
      <c r="O26" s="196"/>
      <c r="P26" s="196"/>
      <c r="Q26" s="196"/>
      <c r="R26" s="4"/>
      <c r="S26" s="4"/>
    </row>
    <row r="27" spans="2:19" ht="30" customHeight="1">
      <c r="B27" s="6" t="s">
        <v>6</v>
      </c>
      <c r="C27" s="3" t="s">
        <v>612</v>
      </c>
      <c r="D27" s="192" t="s">
        <v>607</v>
      </c>
      <c r="E27" s="193"/>
      <c r="F27" s="193"/>
      <c r="G27" s="194"/>
      <c r="H27" s="3" t="s">
        <v>613</v>
      </c>
      <c r="I27" s="3">
        <v>2</v>
      </c>
      <c r="J27" s="3">
        <v>2</v>
      </c>
      <c r="K27" s="3">
        <v>0</v>
      </c>
      <c r="L27" s="195"/>
      <c r="M27" s="196"/>
      <c r="N27" s="196"/>
      <c r="O27" s="196"/>
      <c r="P27" s="196"/>
      <c r="Q27" s="196"/>
      <c r="R27" s="4"/>
      <c r="S27" s="4"/>
    </row>
    <row r="28" spans="2:19" ht="30" customHeight="1">
      <c r="B28" s="6" t="s">
        <v>6</v>
      </c>
      <c r="C28" s="3" t="s">
        <v>614</v>
      </c>
      <c r="D28" s="192" t="s">
        <v>615</v>
      </c>
      <c r="E28" s="193"/>
      <c r="F28" s="193"/>
      <c r="G28" s="194"/>
      <c r="H28" s="3" t="s">
        <v>616</v>
      </c>
      <c r="I28" s="3">
        <v>2</v>
      </c>
      <c r="J28" s="3">
        <v>4</v>
      </c>
      <c r="K28" s="3">
        <v>1</v>
      </c>
      <c r="L28" s="44"/>
      <c r="M28" s="44"/>
      <c r="N28" s="44"/>
      <c r="O28" s="44"/>
      <c r="P28" s="44"/>
      <c r="Q28" s="44"/>
      <c r="R28" s="4"/>
      <c r="S28" s="4"/>
    </row>
    <row r="29" spans="2:19" ht="30" customHeight="1">
      <c r="B29" s="6" t="s">
        <v>49</v>
      </c>
      <c r="C29" s="3" t="s">
        <v>617</v>
      </c>
      <c r="D29" s="192" t="s">
        <v>615</v>
      </c>
      <c r="E29" s="193"/>
      <c r="F29" s="193"/>
      <c r="G29" s="194"/>
      <c r="H29" s="3" t="s">
        <v>618</v>
      </c>
      <c r="I29" s="3">
        <v>2</v>
      </c>
      <c r="J29" s="3">
        <v>4</v>
      </c>
      <c r="K29" s="3">
        <v>1</v>
      </c>
      <c r="L29" s="44"/>
      <c r="M29" s="44"/>
      <c r="N29" s="44"/>
      <c r="O29" s="44"/>
      <c r="P29" s="44"/>
      <c r="Q29" s="44"/>
      <c r="R29" s="4"/>
      <c r="S29" s="4"/>
    </row>
    <row r="30" spans="2:19" ht="30" customHeight="1">
      <c r="B30" s="6" t="s">
        <v>49</v>
      </c>
      <c r="C30" s="3" t="s">
        <v>619</v>
      </c>
      <c r="D30" s="192" t="s">
        <v>607</v>
      </c>
      <c r="E30" s="193"/>
      <c r="F30" s="193"/>
      <c r="G30" s="194"/>
      <c r="H30" s="3" t="s">
        <v>620</v>
      </c>
      <c r="I30" s="3">
        <v>2</v>
      </c>
      <c r="J30" s="3">
        <v>2</v>
      </c>
      <c r="K30" s="3">
        <v>0</v>
      </c>
      <c r="L30" s="44"/>
      <c r="M30" s="44"/>
      <c r="N30" s="44"/>
      <c r="O30" s="44"/>
      <c r="P30" s="44"/>
      <c r="Q30" s="44"/>
      <c r="R30" s="4"/>
      <c r="S30" s="4"/>
    </row>
    <row r="31" spans="2:19" ht="30" customHeight="1">
      <c r="B31" s="6" t="s">
        <v>49</v>
      </c>
      <c r="C31" s="3" t="s">
        <v>621</v>
      </c>
      <c r="D31" s="192" t="s">
        <v>607</v>
      </c>
      <c r="E31" s="193"/>
      <c r="F31" s="193"/>
      <c r="G31" s="194"/>
      <c r="H31" s="3" t="s">
        <v>622</v>
      </c>
      <c r="I31" s="3">
        <v>2</v>
      </c>
      <c r="J31" s="3">
        <v>2</v>
      </c>
      <c r="K31" s="3">
        <v>0</v>
      </c>
      <c r="L31" s="44"/>
      <c r="M31" s="44"/>
      <c r="N31" s="44"/>
      <c r="O31" s="44"/>
      <c r="P31" s="44"/>
      <c r="Q31" s="44"/>
      <c r="R31" s="4"/>
      <c r="S31" s="4"/>
    </row>
    <row r="32" spans="2:19" ht="30" customHeight="1">
      <c r="B32" s="12" t="s">
        <v>10</v>
      </c>
      <c r="C32" s="3" t="s">
        <v>623</v>
      </c>
      <c r="D32" s="192" t="s">
        <v>624</v>
      </c>
      <c r="E32" s="193"/>
      <c r="F32" s="193"/>
      <c r="G32" s="194"/>
      <c r="H32" s="3" t="s">
        <v>625</v>
      </c>
      <c r="I32" s="3">
        <v>1</v>
      </c>
      <c r="J32" s="3">
        <v>3</v>
      </c>
      <c r="K32" s="3">
        <v>2</v>
      </c>
      <c r="Q32" s="14"/>
      <c r="R32" s="41"/>
      <c r="S32" s="4"/>
    </row>
    <row r="33" spans="2:19" ht="30" customHeight="1">
      <c r="B33" s="6" t="s">
        <v>6</v>
      </c>
      <c r="C33" s="3" t="s">
        <v>626</v>
      </c>
      <c r="D33" s="192" t="s">
        <v>627</v>
      </c>
      <c r="E33" s="193"/>
      <c r="F33" s="193"/>
      <c r="G33" s="194"/>
      <c r="H33" s="3" t="s">
        <v>625</v>
      </c>
      <c r="I33" s="3">
        <v>1</v>
      </c>
      <c r="J33" s="3">
        <v>3</v>
      </c>
      <c r="K33" s="3">
        <v>2</v>
      </c>
      <c r="Q33" s="14"/>
      <c r="R33" s="41"/>
      <c r="S33" s="4"/>
    </row>
    <row r="34" spans="2:19" ht="30" customHeight="1">
      <c r="B34" s="12" t="s">
        <v>10</v>
      </c>
      <c r="C34" s="3" t="s">
        <v>628</v>
      </c>
      <c r="D34" s="192" t="s">
        <v>629</v>
      </c>
      <c r="E34" s="193"/>
      <c r="F34" s="193"/>
      <c r="G34" s="194"/>
      <c r="H34" s="3" t="s">
        <v>596</v>
      </c>
      <c r="I34" s="3">
        <v>1</v>
      </c>
      <c r="J34" s="3">
        <v>7</v>
      </c>
      <c r="K34" s="3">
        <v>8</v>
      </c>
      <c r="Q34" s="14"/>
      <c r="R34" s="41"/>
      <c r="S34" s="4"/>
    </row>
    <row r="35" spans="2:19" ht="35.25" customHeight="1">
      <c r="B35" s="6" t="s">
        <v>6</v>
      </c>
      <c r="C35" s="3" t="s">
        <v>630</v>
      </c>
      <c r="D35" s="192" t="s">
        <v>631</v>
      </c>
      <c r="E35" s="193"/>
      <c r="F35" s="193"/>
      <c r="G35" s="194"/>
      <c r="H35" s="3" t="s">
        <v>596</v>
      </c>
      <c r="I35" s="3">
        <v>1</v>
      </c>
      <c r="J35" s="3">
        <v>7</v>
      </c>
      <c r="K35" s="3">
        <v>8</v>
      </c>
      <c r="Q35" s="14"/>
      <c r="R35" s="41"/>
      <c r="S35" s="4"/>
    </row>
    <row r="36" spans="2:19" ht="30" customHeight="1">
      <c r="B36" s="12" t="s">
        <v>10</v>
      </c>
      <c r="C36" s="3" t="s">
        <v>632</v>
      </c>
      <c r="D36" s="192" t="s">
        <v>633</v>
      </c>
      <c r="E36" s="193"/>
      <c r="F36" s="193"/>
      <c r="G36" s="194"/>
      <c r="H36" s="3" t="s">
        <v>596</v>
      </c>
      <c r="I36" s="3">
        <v>1</v>
      </c>
      <c r="J36" s="3">
        <v>7</v>
      </c>
      <c r="K36" s="3">
        <v>8</v>
      </c>
      <c r="Q36" s="14"/>
      <c r="R36" s="41"/>
      <c r="S36" s="4"/>
    </row>
    <row r="37" spans="2:19" ht="30" customHeight="1">
      <c r="B37" s="6" t="s">
        <v>6</v>
      </c>
      <c r="C37" s="7" t="s">
        <v>634</v>
      </c>
      <c r="D37" s="192" t="s">
        <v>635</v>
      </c>
      <c r="E37" s="193"/>
      <c r="F37" s="193"/>
      <c r="G37" s="194"/>
      <c r="H37" s="3" t="s">
        <v>596</v>
      </c>
      <c r="I37" s="3">
        <v>1</v>
      </c>
      <c r="J37" s="3">
        <v>7</v>
      </c>
      <c r="K37" s="3">
        <v>8</v>
      </c>
      <c r="Q37" s="14"/>
      <c r="R37" s="41"/>
      <c r="S37" s="4"/>
    </row>
    <row r="38" spans="2:19" ht="30" customHeight="1">
      <c r="B38" s="6" t="s">
        <v>6</v>
      </c>
      <c r="C38" s="7" t="s">
        <v>636</v>
      </c>
      <c r="D38" s="192" t="s">
        <v>637</v>
      </c>
      <c r="E38" s="193"/>
      <c r="F38" s="193"/>
      <c r="G38" s="194"/>
      <c r="H38" s="3" t="s">
        <v>596</v>
      </c>
      <c r="I38" s="3">
        <v>1</v>
      </c>
      <c r="J38" s="3">
        <v>13</v>
      </c>
      <c r="K38" s="3">
        <v>4</v>
      </c>
      <c r="L38" s="14"/>
      <c r="M38" s="14"/>
      <c r="N38" s="14"/>
      <c r="O38" s="14"/>
      <c r="P38" s="14"/>
      <c r="Q38" s="41"/>
      <c r="R38" s="4"/>
      <c r="S38" s="4"/>
    </row>
    <row r="39" spans="2:19" ht="30" customHeight="1">
      <c r="B39" s="12"/>
      <c r="C39" s="3" t="s">
        <v>638</v>
      </c>
      <c r="D39" s="192" t="s">
        <v>639</v>
      </c>
      <c r="E39" s="193"/>
      <c r="F39" s="193"/>
      <c r="G39" s="194"/>
      <c r="H39" s="3" t="s">
        <v>640</v>
      </c>
      <c r="I39" s="3">
        <v>1</v>
      </c>
      <c r="J39" s="3">
        <v>3</v>
      </c>
      <c r="K39" s="3">
        <v>2</v>
      </c>
      <c r="Q39" s="14"/>
      <c r="R39" s="41"/>
      <c r="S39" s="4"/>
    </row>
    <row r="40" spans="2:19" ht="30" customHeight="1">
      <c r="B40" s="12" t="s">
        <v>10</v>
      </c>
      <c r="C40" s="3" t="s">
        <v>641</v>
      </c>
      <c r="D40" s="192" t="s">
        <v>642</v>
      </c>
      <c r="E40" s="193"/>
      <c r="F40" s="193"/>
      <c r="G40" s="194"/>
      <c r="H40" s="3" t="s">
        <v>643</v>
      </c>
      <c r="I40" s="3">
        <v>1</v>
      </c>
      <c r="J40" s="3">
        <v>7</v>
      </c>
      <c r="K40" s="3">
        <v>8</v>
      </c>
      <c r="Q40" s="14"/>
      <c r="R40" s="41"/>
      <c r="S40" s="4"/>
    </row>
    <row r="41" spans="2:19" ht="30" customHeight="1">
      <c r="B41" s="6" t="s">
        <v>6</v>
      </c>
      <c r="C41" s="3" t="s">
        <v>644</v>
      </c>
      <c r="D41" s="192" t="s">
        <v>645</v>
      </c>
      <c r="E41" s="193"/>
      <c r="F41" s="193"/>
      <c r="G41" s="194"/>
      <c r="H41" s="3" t="s">
        <v>643</v>
      </c>
      <c r="I41" s="3">
        <v>1</v>
      </c>
      <c r="J41" s="3">
        <v>7</v>
      </c>
      <c r="K41" s="3">
        <v>8</v>
      </c>
      <c r="Q41" s="14"/>
      <c r="R41" s="41"/>
      <c r="S41" s="4"/>
    </row>
    <row r="42" spans="2:19" ht="30" customHeight="1">
      <c r="B42" s="6" t="s">
        <v>6</v>
      </c>
      <c r="C42" s="3" t="s">
        <v>646</v>
      </c>
      <c r="D42" s="192" t="s">
        <v>645</v>
      </c>
      <c r="E42" s="193"/>
      <c r="F42" s="193"/>
      <c r="G42" s="194"/>
      <c r="H42" s="3" t="s">
        <v>647</v>
      </c>
      <c r="I42" s="3">
        <v>1</v>
      </c>
      <c r="J42" s="3">
        <v>7</v>
      </c>
      <c r="K42" s="3">
        <v>8</v>
      </c>
      <c r="Q42" s="14"/>
      <c r="R42" s="41"/>
      <c r="S42" s="4"/>
    </row>
    <row r="43" spans="2:19" ht="30" customHeight="1">
      <c r="B43" s="6" t="s">
        <v>6</v>
      </c>
      <c r="C43" s="3" t="s">
        <v>648</v>
      </c>
      <c r="D43" s="192" t="s">
        <v>572</v>
      </c>
      <c r="E43" s="193"/>
      <c r="F43" s="193"/>
      <c r="G43" s="194"/>
      <c r="H43" s="2" t="s">
        <v>649</v>
      </c>
      <c r="I43" s="3">
        <v>1</v>
      </c>
      <c r="J43" s="3">
        <v>0</v>
      </c>
      <c r="K43" s="3">
        <v>16</v>
      </c>
      <c r="Q43" s="14"/>
      <c r="R43" s="41"/>
      <c r="S43" s="4"/>
    </row>
    <row r="44" spans="2:19" ht="30" customHeight="1">
      <c r="B44" s="12"/>
      <c r="C44" s="3" t="s">
        <v>650</v>
      </c>
      <c r="D44" s="192" t="s">
        <v>651</v>
      </c>
      <c r="E44" s="193"/>
      <c r="F44" s="193"/>
      <c r="G44" s="194"/>
      <c r="H44" s="3" t="s">
        <v>652</v>
      </c>
      <c r="I44" s="3"/>
      <c r="J44" s="3"/>
      <c r="K44" s="3"/>
      <c r="Q44" s="14"/>
      <c r="R44" s="41"/>
      <c r="S44" s="4"/>
    </row>
    <row r="45" spans="2:19" ht="30" customHeight="1">
      <c r="B45" s="6" t="s">
        <v>6</v>
      </c>
      <c r="C45" s="3" t="s">
        <v>653</v>
      </c>
      <c r="D45" s="192" t="s">
        <v>654</v>
      </c>
      <c r="E45" s="193"/>
      <c r="F45" s="193"/>
      <c r="G45" s="194"/>
      <c r="H45" s="3"/>
      <c r="I45" s="3">
        <v>3</v>
      </c>
      <c r="J45" s="3">
        <v>31</v>
      </c>
      <c r="K45" s="3">
        <v>33</v>
      </c>
      <c r="Q45" s="14"/>
      <c r="R45" s="41"/>
      <c r="S45" s="4"/>
    </row>
    <row r="46" spans="2:19" ht="30" customHeight="1">
      <c r="B46" s="6" t="s">
        <v>6</v>
      </c>
      <c r="C46" s="3" t="s">
        <v>655</v>
      </c>
      <c r="D46" s="192" t="s">
        <v>656</v>
      </c>
      <c r="E46" s="193"/>
      <c r="F46" s="193"/>
      <c r="G46" s="194"/>
      <c r="H46" s="3"/>
      <c r="I46" s="3">
        <v>3</v>
      </c>
      <c r="J46" s="3">
        <v>40</v>
      </c>
      <c r="K46" s="3">
        <v>24</v>
      </c>
      <c r="L46" s="40"/>
      <c r="M46" s="40"/>
      <c r="N46" s="40"/>
      <c r="O46" s="40"/>
      <c r="P46" s="40"/>
      <c r="Q46" s="14"/>
      <c r="R46" s="41"/>
      <c r="S46" s="4"/>
    </row>
    <row r="47" spans="2:19" ht="30" customHeight="1">
      <c r="B47" s="6" t="s">
        <v>47</v>
      </c>
      <c r="C47" s="3" t="s">
        <v>657</v>
      </c>
      <c r="D47" s="192" t="s">
        <v>658</v>
      </c>
      <c r="E47" s="193"/>
      <c r="F47" s="193"/>
      <c r="G47" s="194"/>
      <c r="H47" s="3"/>
      <c r="I47" s="3">
        <v>3</v>
      </c>
      <c r="J47" s="3">
        <v>48</v>
      </c>
      <c r="K47" s="3">
        <v>40</v>
      </c>
      <c r="Q47" s="14"/>
      <c r="R47" s="41"/>
      <c r="S47" s="4"/>
    </row>
    <row r="48" spans="2:19" ht="30" customHeight="1">
      <c r="B48" s="6" t="s">
        <v>6</v>
      </c>
      <c r="C48" s="3" t="s">
        <v>659</v>
      </c>
      <c r="D48" s="192" t="s">
        <v>660</v>
      </c>
      <c r="E48" s="193"/>
      <c r="F48" s="193"/>
      <c r="G48" s="194"/>
      <c r="H48" s="2" t="s">
        <v>661</v>
      </c>
      <c r="I48" s="3"/>
      <c r="J48" s="3"/>
      <c r="K48" s="3"/>
      <c r="Q48" s="14"/>
      <c r="R48" s="41"/>
      <c r="S48" s="4"/>
    </row>
    <row r="49" spans="2:25" ht="24" customHeight="1" thickBot="1">
      <c r="C49" s="1" t="s">
        <v>662</v>
      </c>
    </row>
    <row r="50" spans="2:25" ht="56.25" customHeight="1" thickBot="1">
      <c r="C50" s="202" t="s">
        <v>663</v>
      </c>
      <c r="D50" s="203"/>
      <c r="E50" s="203"/>
      <c r="F50" s="203"/>
      <c r="G50" s="203"/>
      <c r="H50" s="203"/>
      <c r="I50" s="203"/>
      <c r="J50" s="203"/>
      <c r="K50" s="204"/>
    </row>
    <row r="51" spans="2:25" ht="24" customHeight="1">
      <c r="C51" s="5"/>
    </row>
    <row r="52" spans="2:25" ht="24" customHeight="1">
      <c r="D52" s="5" t="s">
        <v>0</v>
      </c>
      <c r="E52" s="5"/>
      <c r="F52" s="5"/>
      <c r="G52" s="5"/>
      <c r="K52" s="1"/>
    </row>
    <row r="53" spans="2:25" ht="30" customHeight="1">
      <c r="B53" s="13" t="s">
        <v>1</v>
      </c>
      <c r="C53" s="2" t="s">
        <v>2</v>
      </c>
      <c r="D53" s="2" t="s">
        <v>3</v>
      </c>
      <c r="E53" s="8" t="s">
        <v>253</v>
      </c>
      <c r="F53" s="8" t="s">
        <v>4</v>
      </c>
      <c r="G53" s="8" t="s">
        <v>252</v>
      </c>
      <c r="H53" s="2" t="s">
        <v>254</v>
      </c>
      <c r="I53" s="2" t="s">
        <v>255</v>
      </c>
      <c r="J53" s="2" t="s">
        <v>256</v>
      </c>
      <c r="K53" s="2" t="s">
        <v>5</v>
      </c>
      <c r="L53" s="10" t="s">
        <v>664</v>
      </c>
      <c r="M53" s="10" t="s">
        <v>665</v>
      </c>
      <c r="N53" s="10" t="s">
        <v>666</v>
      </c>
      <c r="O53" s="10" t="s">
        <v>667</v>
      </c>
      <c r="P53" s="10" t="s">
        <v>257</v>
      </c>
      <c r="Q53" s="2" t="s">
        <v>258</v>
      </c>
      <c r="R53" s="6" t="s">
        <v>259</v>
      </c>
      <c r="T53" s="1"/>
    </row>
    <row r="54" spans="2:25" ht="30" customHeight="1">
      <c r="B54" s="20" t="s">
        <v>6</v>
      </c>
      <c r="C54" s="51" t="s">
        <v>7</v>
      </c>
      <c r="D54" s="22" t="s">
        <v>8</v>
      </c>
      <c r="E54" s="22"/>
      <c r="F54" s="22"/>
      <c r="G54" s="22"/>
      <c r="H54" s="22" t="s">
        <v>260</v>
      </c>
      <c r="I54" s="22" t="s">
        <v>47</v>
      </c>
      <c r="J54" s="22" t="s">
        <v>47</v>
      </c>
      <c r="K54" s="2"/>
      <c r="L54" s="2"/>
      <c r="M54" s="2"/>
      <c r="N54" s="2"/>
      <c r="O54" s="2"/>
      <c r="P54" s="2"/>
      <c r="Q54" s="2" t="s">
        <v>47</v>
      </c>
      <c r="R54" s="6"/>
      <c r="T54" s="1"/>
    </row>
    <row r="55" spans="2:25" ht="24.95" customHeight="1">
      <c r="B55" s="20" t="s">
        <v>10</v>
      </c>
      <c r="C55" s="197" t="s">
        <v>11</v>
      </c>
      <c r="D55" s="22" t="s">
        <v>12</v>
      </c>
      <c r="E55" s="23">
        <v>1.7</v>
      </c>
      <c r="F55" s="22"/>
      <c r="G55" s="22"/>
      <c r="H55" s="22" t="s">
        <v>47</v>
      </c>
      <c r="I55" s="22" t="s">
        <v>47</v>
      </c>
      <c r="J55" s="22" t="s">
        <v>47</v>
      </c>
      <c r="K55" s="22" t="s">
        <v>13</v>
      </c>
      <c r="L55" s="23"/>
      <c r="M55" s="23"/>
      <c r="N55" s="23"/>
      <c r="O55" s="23"/>
      <c r="P55" s="23"/>
      <c r="Q55" s="24">
        <v>1.7</v>
      </c>
      <c r="R55" s="42"/>
      <c r="T55" s="14"/>
      <c r="U55" s="14"/>
      <c r="V55" s="14"/>
      <c r="W55" s="14"/>
      <c r="X55" s="14"/>
      <c r="Y55" s="14"/>
    </row>
    <row r="56" spans="2:25" ht="24.95" customHeight="1">
      <c r="B56" s="20" t="s">
        <v>10</v>
      </c>
      <c r="C56" s="198"/>
      <c r="D56" s="22" t="s">
        <v>14</v>
      </c>
      <c r="E56" s="23">
        <v>1.7</v>
      </c>
      <c r="F56" s="22"/>
      <c r="G56" s="22"/>
      <c r="H56" s="22" t="s">
        <v>47</v>
      </c>
      <c r="I56" s="22" t="s">
        <v>47</v>
      </c>
      <c r="J56" s="22" t="s">
        <v>47</v>
      </c>
      <c r="K56" s="22" t="s">
        <v>16</v>
      </c>
      <c r="L56" s="23"/>
      <c r="M56" s="23"/>
      <c r="N56" s="23"/>
      <c r="O56" s="23"/>
      <c r="P56" s="23"/>
      <c r="Q56" s="24">
        <v>1.4</v>
      </c>
      <c r="R56" s="42"/>
      <c r="T56" s="14"/>
      <c r="U56" s="14"/>
      <c r="V56" s="14"/>
      <c r="W56" s="14"/>
      <c r="X56" s="14"/>
      <c r="Y56" s="14"/>
    </row>
    <row r="57" spans="2:25" ht="24.95" customHeight="1">
      <c r="B57" s="20" t="s">
        <v>10</v>
      </c>
      <c r="C57" s="198"/>
      <c r="D57" s="22" t="s">
        <v>17</v>
      </c>
      <c r="E57" s="23">
        <v>1.33</v>
      </c>
      <c r="F57" s="22"/>
      <c r="G57" s="22"/>
      <c r="H57" s="22" t="s">
        <v>47</v>
      </c>
      <c r="I57" s="22" t="s">
        <v>47</v>
      </c>
      <c r="J57" s="22" t="s">
        <v>47</v>
      </c>
      <c r="K57" s="22" t="s">
        <v>13</v>
      </c>
      <c r="L57" s="23"/>
      <c r="M57" s="23"/>
      <c r="N57" s="23"/>
      <c r="O57" s="23"/>
      <c r="P57" s="23"/>
      <c r="Q57" s="24">
        <v>1.33</v>
      </c>
      <c r="R57" s="42"/>
      <c r="T57" s="14"/>
      <c r="U57" s="14"/>
      <c r="V57" s="14"/>
      <c r="W57" s="14"/>
      <c r="X57" s="14"/>
      <c r="Y57" s="14"/>
    </row>
    <row r="58" spans="2:25" ht="24.95" customHeight="1">
      <c r="B58" s="20" t="s">
        <v>10</v>
      </c>
      <c r="C58" s="198"/>
      <c r="D58" s="22" t="s">
        <v>18</v>
      </c>
      <c r="E58" s="23">
        <v>1.33</v>
      </c>
      <c r="F58" s="22"/>
      <c r="G58" s="22"/>
      <c r="H58" s="22" t="s">
        <v>47</v>
      </c>
      <c r="I58" s="22" t="s">
        <v>47</v>
      </c>
      <c r="J58" s="22" t="s">
        <v>47</v>
      </c>
      <c r="K58" s="22" t="s">
        <v>16</v>
      </c>
      <c r="L58" s="23"/>
      <c r="M58" s="23"/>
      <c r="N58" s="23"/>
      <c r="O58" s="23"/>
      <c r="P58" s="23"/>
      <c r="Q58" s="24">
        <v>1.33</v>
      </c>
      <c r="R58" s="42"/>
      <c r="T58" s="14"/>
      <c r="U58" s="14"/>
      <c r="V58" s="14"/>
      <c r="W58" s="14"/>
      <c r="X58" s="14"/>
      <c r="Y58" s="14"/>
    </row>
    <row r="59" spans="2:25" ht="24.95" customHeight="1">
      <c r="B59" s="20" t="s">
        <v>6</v>
      </c>
      <c r="C59" s="198"/>
      <c r="D59" s="22" t="s">
        <v>19</v>
      </c>
      <c r="E59" s="23">
        <v>1.65</v>
      </c>
      <c r="F59" s="22"/>
      <c r="G59" s="22"/>
      <c r="H59" s="22" t="s">
        <v>47</v>
      </c>
      <c r="I59" s="22" t="s">
        <v>47</v>
      </c>
      <c r="J59" s="22" t="s">
        <v>47</v>
      </c>
      <c r="K59" s="22" t="s">
        <v>20</v>
      </c>
      <c r="L59" s="23"/>
      <c r="M59" s="23"/>
      <c r="N59" s="23"/>
      <c r="O59" s="23"/>
      <c r="P59" s="23"/>
      <c r="Q59" s="24">
        <v>1.5</v>
      </c>
      <c r="R59" s="42"/>
      <c r="T59" s="14"/>
      <c r="U59" s="14"/>
      <c r="V59" s="14"/>
      <c r="W59" s="14"/>
      <c r="X59" s="14"/>
      <c r="Y59" s="14"/>
    </row>
    <row r="60" spans="2:25" ht="24.95" customHeight="1">
      <c r="B60" s="20" t="s">
        <v>6</v>
      </c>
      <c r="C60" s="198"/>
      <c r="D60" s="22" t="s">
        <v>21</v>
      </c>
      <c r="E60" s="23">
        <v>1.65</v>
      </c>
      <c r="F60" s="22"/>
      <c r="G60" s="22"/>
      <c r="H60" s="22" t="s">
        <v>47</v>
      </c>
      <c r="I60" s="22" t="s">
        <v>47</v>
      </c>
      <c r="J60" s="22" t="s">
        <v>47</v>
      </c>
      <c r="K60" s="22" t="s">
        <v>22</v>
      </c>
      <c r="L60" s="23"/>
      <c r="M60" s="23"/>
      <c r="N60" s="23"/>
      <c r="O60" s="23"/>
      <c r="P60" s="23"/>
      <c r="Q60" s="24">
        <v>1.5</v>
      </c>
      <c r="R60" s="42"/>
      <c r="T60" s="14"/>
      <c r="U60" s="14"/>
      <c r="V60" s="14"/>
      <c r="W60" s="14"/>
      <c r="X60" s="14"/>
      <c r="Y60" s="14"/>
    </row>
    <row r="61" spans="2:25" ht="24.95" customHeight="1">
      <c r="B61" s="20" t="s">
        <v>6</v>
      </c>
      <c r="C61" s="198"/>
      <c r="D61" s="22" t="s">
        <v>23</v>
      </c>
      <c r="E61" s="23">
        <v>1.65</v>
      </c>
      <c r="F61" s="22"/>
      <c r="G61" s="22"/>
      <c r="H61" s="22" t="s">
        <v>47</v>
      </c>
      <c r="I61" s="22" t="s">
        <v>47</v>
      </c>
      <c r="J61" s="22" t="s">
        <v>47</v>
      </c>
      <c r="K61" s="22" t="s">
        <v>24</v>
      </c>
      <c r="L61" s="23"/>
      <c r="M61" s="23"/>
      <c r="N61" s="23"/>
      <c r="O61" s="23"/>
      <c r="P61" s="23"/>
      <c r="Q61" s="24">
        <v>1.5</v>
      </c>
      <c r="R61" s="42"/>
      <c r="T61" s="14"/>
      <c r="U61" s="14"/>
      <c r="V61" s="14"/>
      <c r="W61" s="14"/>
      <c r="X61" s="14"/>
      <c r="Y61" s="14"/>
    </row>
    <row r="62" spans="2:25" ht="24.95" customHeight="1">
      <c r="B62" s="20" t="s">
        <v>6</v>
      </c>
      <c r="C62" s="199"/>
      <c r="D62" s="22" t="s">
        <v>25</v>
      </c>
      <c r="E62" s="23">
        <v>1</v>
      </c>
      <c r="F62" s="22"/>
      <c r="G62" s="22"/>
      <c r="H62" s="22" t="s">
        <v>47</v>
      </c>
      <c r="I62" s="22"/>
      <c r="J62" s="25"/>
      <c r="K62" s="22" t="s">
        <v>26</v>
      </c>
      <c r="L62" s="23"/>
      <c r="M62" s="23"/>
      <c r="N62" s="23"/>
      <c r="O62" s="23"/>
      <c r="P62" s="23"/>
      <c r="Q62" s="24"/>
      <c r="R62" s="42"/>
      <c r="T62" s="14"/>
      <c r="U62" s="14"/>
      <c r="V62" s="14"/>
      <c r="W62" s="14"/>
      <c r="X62" s="14"/>
      <c r="Y62" s="14"/>
    </row>
    <row r="63" spans="2:25" ht="24.95" customHeight="1">
      <c r="B63" s="20" t="s">
        <v>10</v>
      </c>
      <c r="C63" s="197" t="s">
        <v>27</v>
      </c>
      <c r="D63" s="73" t="s">
        <v>28</v>
      </c>
      <c r="E63" s="22" t="s">
        <v>264</v>
      </c>
      <c r="F63" s="83">
        <v>55511</v>
      </c>
      <c r="G63" s="83">
        <v>9</v>
      </c>
      <c r="H63" s="22" t="s">
        <v>272</v>
      </c>
      <c r="I63" s="22" t="s">
        <v>668</v>
      </c>
      <c r="J63" s="22" t="s">
        <v>669</v>
      </c>
      <c r="K63" s="22" t="s">
        <v>29</v>
      </c>
      <c r="L63" s="81" t="s">
        <v>670</v>
      </c>
      <c r="M63" s="81"/>
      <c r="N63" s="81"/>
      <c r="O63" s="81"/>
      <c r="P63" s="81" t="s">
        <v>187</v>
      </c>
      <c r="Q63" s="24">
        <v>1.06</v>
      </c>
      <c r="R63" s="205"/>
      <c r="T63" s="14"/>
      <c r="U63" s="14"/>
      <c r="V63" s="14"/>
      <c r="W63" s="14"/>
      <c r="X63" s="14"/>
      <c r="Y63" s="14"/>
    </row>
    <row r="64" spans="2:25" ht="24.95" customHeight="1">
      <c r="B64" s="20" t="s">
        <v>10</v>
      </c>
      <c r="C64" s="198"/>
      <c r="D64" s="74" t="s">
        <v>30</v>
      </c>
      <c r="E64" s="26" t="s">
        <v>265</v>
      </c>
      <c r="F64" s="84">
        <v>55511</v>
      </c>
      <c r="G64" s="84">
        <v>4</v>
      </c>
      <c r="H64" s="22" t="s">
        <v>278</v>
      </c>
      <c r="I64" s="22" t="s">
        <v>47</v>
      </c>
      <c r="J64" s="27" t="s">
        <v>671</v>
      </c>
      <c r="K64" s="22" t="s">
        <v>31</v>
      </c>
      <c r="L64" s="81" t="s">
        <v>672</v>
      </c>
      <c r="M64" s="81"/>
      <c r="N64" s="81"/>
      <c r="O64" s="81"/>
      <c r="P64" s="81" t="s">
        <v>325</v>
      </c>
      <c r="Q64" s="24">
        <v>2.0099999999999998</v>
      </c>
      <c r="R64" s="205"/>
      <c r="T64" s="14"/>
      <c r="U64" s="14"/>
      <c r="V64" s="14"/>
      <c r="W64" s="14"/>
      <c r="X64" s="14"/>
      <c r="Y64" s="14"/>
    </row>
    <row r="65" spans="2:25" ht="24.95" customHeight="1">
      <c r="B65" s="20" t="s">
        <v>10</v>
      </c>
      <c r="C65" s="198"/>
      <c r="D65" s="74" t="s">
        <v>32</v>
      </c>
      <c r="E65" s="26" t="s">
        <v>266</v>
      </c>
      <c r="F65" s="84">
        <v>55511</v>
      </c>
      <c r="G65" s="84">
        <v>5</v>
      </c>
      <c r="H65" s="22" t="s">
        <v>278</v>
      </c>
      <c r="I65" s="22" t="s">
        <v>47</v>
      </c>
      <c r="J65" s="27"/>
      <c r="K65" s="22" t="s">
        <v>33</v>
      </c>
      <c r="L65" s="81" t="s">
        <v>673</v>
      </c>
      <c r="M65" s="81"/>
      <c r="N65" s="81"/>
      <c r="O65" s="81"/>
      <c r="P65" s="81" t="s">
        <v>674</v>
      </c>
      <c r="Q65" s="24">
        <v>3.11</v>
      </c>
      <c r="R65" s="205"/>
      <c r="T65" s="14"/>
      <c r="U65" s="14"/>
      <c r="V65" s="15"/>
      <c r="W65" s="14"/>
      <c r="X65" s="14"/>
      <c r="Y65" s="14"/>
    </row>
    <row r="66" spans="2:25" ht="24.95" customHeight="1">
      <c r="B66" s="20" t="s">
        <v>6</v>
      </c>
      <c r="C66" s="199"/>
      <c r="D66" s="74" t="s">
        <v>34</v>
      </c>
      <c r="E66" s="26" t="s">
        <v>267</v>
      </c>
      <c r="F66" s="84">
        <v>55511</v>
      </c>
      <c r="G66" s="84">
        <v>4</v>
      </c>
      <c r="H66" s="22" t="s">
        <v>278</v>
      </c>
      <c r="I66" s="22" t="s">
        <v>47</v>
      </c>
      <c r="J66" s="22" t="s">
        <v>47</v>
      </c>
      <c r="K66" s="22" t="s">
        <v>35</v>
      </c>
      <c r="L66" s="81" t="s">
        <v>675</v>
      </c>
      <c r="M66" s="81"/>
      <c r="N66" s="81"/>
      <c r="O66" s="81"/>
      <c r="P66" s="81" t="s">
        <v>35</v>
      </c>
      <c r="Q66" s="24">
        <v>4.0199999999999996</v>
      </c>
      <c r="R66" s="206"/>
      <c r="T66" s="14"/>
      <c r="U66" s="14"/>
      <c r="V66" s="15"/>
      <c r="W66" s="14"/>
      <c r="X66" s="14"/>
      <c r="Y66" s="14"/>
    </row>
    <row r="67" spans="2:25" s="18" customFormat="1" ht="24.95" customHeight="1">
      <c r="B67" s="20" t="s">
        <v>10</v>
      </c>
      <c r="C67" s="197" t="s">
        <v>36</v>
      </c>
      <c r="D67" s="73" t="s">
        <v>37</v>
      </c>
      <c r="E67" s="22" t="s">
        <v>269</v>
      </c>
      <c r="F67" s="84">
        <v>55511</v>
      </c>
      <c r="G67" s="84">
        <v>7</v>
      </c>
      <c r="H67" s="22" t="s">
        <v>278</v>
      </c>
      <c r="I67" s="22"/>
      <c r="J67" s="25"/>
      <c r="K67" s="22" t="s">
        <v>38</v>
      </c>
      <c r="L67" s="81" t="s">
        <v>676</v>
      </c>
      <c r="M67" s="81"/>
      <c r="N67" s="81"/>
      <c r="O67" s="81"/>
      <c r="P67" s="81" t="s">
        <v>187</v>
      </c>
      <c r="Q67" s="23">
        <v>1.1200000000000001</v>
      </c>
      <c r="R67" s="200"/>
      <c r="S67" s="14"/>
      <c r="T67" s="14"/>
      <c r="U67" s="14"/>
      <c r="V67" s="14"/>
      <c r="W67" s="14"/>
      <c r="X67" s="14"/>
      <c r="Y67" s="14"/>
    </row>
    <row r="68" spans="2:25" s="18" customFormat="1" ht="24.95" customHeight="1">
      <c r="B68" s="20" t="s">
        <v>10</v>
      </c>
      <c r="C68" s="198"/>
      <c r="D68" s="73" t="s">
        <v>39</v>
      </c>
      <c r="E68" s="22" t="s">
        <v>265</v>
      </c>
      <c r="F68" s="84">
        <v>61087</v>
      </c>
      <c r="G68" s="84">
        <v>8</v>
      </c>
      <c r="H68" s="22" t="s">
        <v>278</v>
      </c>
      <c r="I68" s="22"/>
      <c r="J68" s="25"/>
      <c r="K68" s="22" t="s">
        <v>40</v>
      </c>
      <c r="L68" s="81" t="s">
        <v>677</v>
      </c>
      <c r="M68" s="81"/>
      <c r="N68" s="81"/>
      <c r="O68" s="81"/>
      <c r="P68" s="81" t="s">
        <v>678</v>
      </c>
      <c r="Q68" s="23" t="s">
        <v>47</v>
      </c>
      <c r="R68" s="201"/>
      <c r="S68" s="14"/>
      <c r="T68" s="14"/>
      <c r="U68" s="14"/>
      <c r="V68" s="14"/>
      <c r="W68" s="14"/>
      <c r="X68" s="14"/>
      <c r="Y68" s="14"/>
    </row>
    <row r="69" spans="2:25" s="18" customFormat="1" ht="24.95" customHeight="1">
      <c r="B69" s="20" t="s">
        <v>6</v>
      </c>
      <c r="C69" s="199"/>
      <c r="D69" s="73" t="s">
        <v>41</v>
      </c>
      <c r="E69" s="22" t="s">
        <v>679</v>
      </c>
      <c r="F69" s="84">
        <v>61591</v>
      </c>
      <c r="G69" s="84">
        <v>0</v>
      </c>
      <c r="H69" s="22" t="s">
        <v>278</v>
      </c>
      <c r="I69" s="22"/>
      <c r="J69" s="25"/>
      <c r="K69" s="22" t="s">
        <v>42</v>
      </c>
      <c r="L69" s="81" t="s">
        <v>680</v>
      </c>
      <c r="M69" s="81"/>
      <c r="N69" s="81"/>
      <c r="O69" s="81"/>
      <c r="P69" s="22" t="s">
        <v>42</v>
      </c>
      <c r="Q69" s="23" t="s">
        <v>47</v>
      </c>
      <c r="R69" s="81"/>
      <c r="S69" s="14"/>
      <c r="T69" s="14"/>
      <c r="U69" s="14"/>
      <c r="V69" s="14"/>
      <c r="W69" s="14"/>
      <c r="X69" s="14"/>
      <c r="Y69" s="14"/>
    </row>
    <row r="70" spans="2:25" ht="24.95" customHeight="1">
      <c r="B70" s="20" t="s">
        <v>10</v>
      </c>
      <c r="C70" s="73" t="s">
        <v>43</v>
      </c>
      <c r="D70" s="73" t="s">
        <v>44</v>
      </c>
      <c r="E70" s="22" t="s">
        <v>271</v>
      </c>
      <c r="F70" s="84">
        <v>43589</v>
      </c>
      <c r="G70" s="84">
        <v>5</v>
      </c>
      <c r="H70" s="22" t="s">
        <v>272</v>
      </c>
      <c r="I70" s="22" t="s">
        <v>273</v>
      </c>
      <c r="J70" s="25" t="s">
        <v>274</v>
      </c>
      <c r="K70" s="22" t="s">
        <v>29</v>
      </c>
      <c r="L70" s="85" t="s">
        <v>681</v>
      </c>
      <c r="M70" s="85"/>
      <c r="N70" s="85"/>
      <c r="O70" s="85"/>
      <c r="P70" s="85" t="s">
        <v>187</v>
      </c>
      <c r="Q70" s="24">
        <v>1.04</v>
      </c>
      <c r="R70" s="75"/>
      <c r="T70" s="14"/>
      <c r="U70" s="14"/>
      <c r="V70" s="14"/>
      <c r="W70" s="14"/>
      <c r="X70" s="14"/>
      <c r="Y70" s="14"/>
    </row>
    <row r="71" spans="2:25" ht="24.95" customHeight="1">
      <c r="B71" s="20" t="s">
        <v>6</v>
      </c>
      <c r="C71" s="197" t="s">
        <v>45</v>
      </c>
      <c r="D71" s="197" t="s">
        <v>46</v>
      </c>
      <c r="E71" s="22" t="s">
        <v>277</v>
      </c>
      <c r="F71" s="84">
        <v>46655</v>
      </c>
      <c r="G71" s="84">
        <v>1</v>
      </c>
      <c r="H71" s="22" t="s">
        <v>278</v>
      </c>
      <c r="I71" s="22" t="s">
        <v>279</v>
      </c>
      <c r="J71" s="25" t="s">
        <v>280</v>
      </c>
      <c r="K71" s="22" t="s">
        <v>29</v>
      </c>
      <c r="L71" s="85" t="s">
        <v>682</v>
      </c>
      <c r="M71" s="85"/>
      <c r="N71" s="85"/>
      <c r="O71" s="85"/>
      <c r="P71" s="85" t="s">
        <v>187</v>
      </c>
      <c r="Q71" s="24"/>
      <c r="R71" s="207" t="s">
        <v>683</v>
      </c>
      <c r="S71" s="15" t="s">
        <v>684</v>
      </c>
      <c r="T71" s="14" t="s">
        <v>685</v>
      </c>
      <c r="U71" s="14"/>
      <c r="V71" s="14"/>
      <c r="W71" s="14"/>
      <c r="X71" s="14"/>
      <c r="Y71" s="14"/>
    </row>
    <row r="72" spans="2:25" ht="24.95" customHeight="1">
      <c r="B72" s="20" t="s">
        <v>47</v>
      </c>
      <c r="C72" s="199"/>
      <c r="D72" s="199"/>
      <c r="E72" s="22" t="s">
        <v>281</v>
      </c>
      <c r="F72" s="84" t="s">
        <v>47</v>
      </c>
      <c r="G72" s="84" t="s">
        <v>47</v>
      </c>
      <c r="H72" s="22" t="s">
        <v>278</v>
      </c>
      <c r="I72" s="22" t="s">
        <v>282</v>
      </c>
      <c r="J72" s="27" t="s">
        <v>283</v>
      </c>
      <c r="K72" s="22" t="s">
        <v>48</v>
      </c>
      <c r="L72" s="85" t="s">
        <v>682</v>
      </c>
      <c r="M72" s="85"/>
      <c r="N72" s="85"/>
      <c r="O72" s="85"/>
      <c r="P72" s="85"/>
      <c r="Q72" s="24">
        <v>2.0299999999999998</v>
      </c>
      <c r="R72" s="206"/>
      <c r="S72" s="15" t="s">
        <v>686</v>
      </c>
      <c r="T72" s="14"/>
      <c r="U72" s="14"/>
      <c r="V72" s="14"/>
      <c r="W72" s="14"/>
      <c r="X72" s="14"/>
      <c r="Y72" s="14"/>
    </row>
    <row r="73" spans="2:25" ht="24.95" customHeight="1">
      <c r="B73" s="20" t="s">
        <v>49</v>
      </c>
      <c r="C73" s="22" t="s">
        <v>50</v>
      </c>
      <c r="D73" s="22" t="s">
        <v>51</v>
      </c>
      <c r="E73" s="22" t="s">
        <v>284</v>
      </c>
      <c r="F73" s="84">
        <v>49026</v>
      </c>
      <c r="G73" s="22"/>
      <c r="H73" s="22" t="s">
        <v>278</v>
      </c>
      <c r="I73" s="22" t="s">
        <v>47</v>
      </c>
      <c r="J73" s="27" t="s">
        <v>285</v>
      </c>
      <c r="K73" s="22" t="s">
        <v>29</v>
      </c>
      <c r="L73" s="85" t="s">
        <v>47</v>
      </c>
      <c r="M73" s="85"/>
      <c r="N73" s="85"/>
      <c r="O73" s="85"/>
      <c r="P73" s="85"/>
      <c r="Q73" s="24"/>
      <c r="R73" s="42"/>
      <c r="S73" s="15"/>
      <c r="T73" s="14"/>
      <c r="U73" s="14"/>
      <c r="V73" s="14"/>
      <c r="W73" s="14"/>
      <c r="X73" s="14"/>
      <c r="Y73" s="14"/>
    </row>
    <row r="74" spans="2:25" ht="24.95" customHeight="1">
      <c r="B74" s="20" t="s">
        <v>10</v>
      </c>
      <c r="C74" s="198" t="s">
        <v>52</v>
      </c>
      <c r="D74" s="73" t="s">
        <v>53</v>
      </c>
      <c r="E74" s="22" t="s">
        <v>286</v>
      </c>
      <c r="F74" s="84">
        <v>55511</v>
      </c>
      <c r="G74" s="84">
        <v>2</v>
      </c>
      <c r="H74" s="22" t="s">
        <v>272</v>
      </c>
      <c r="I74" s="22" t="s">
        <v>287</v>
      </c>
      <c r="J74" s="22" t="s">
        <v>288</v>
      </c>
      <c r="K74" s="22" t="s">
        <v>54</v>
      </c>
      <c r="L74" s="81" t="s">
        <v>687</v>
      </c>
      <c r="M74" s="81"/>
      <c r="N74" s="81"/>
      <c r="O74" s="81"/>
      <c r="P74" s="81" t="s">
        <v>457</v>
      </c>
      <c r="Q74" s="24">
        <v>1.01</v>
      </c>
      <c r="R74" s="42"/>
      <c r="T74" s="14"/>
      <c r="U74" s="14"/>
      <c r="V74" s="14"/>
      <c r="W74" s="14"/>
      <c r="X74" s="14"/>
      <c r="Y74" s="14"/>
    </row>
    <row r="75" spans="2:25" ht="24.95" customHeight="1">
      <c r="B75" s="20" t="s">
        <v>10</v>
      </c>
      <c r="C75" s="198"/>
      <c r="D75" s="73" t="s">
        <v>55</v>
      </c>
      <c r="E75" s="22" t="s">
        <v>293</v>
      </c>
      <c r="F75" s="84">
        <v>55511</v>
      </c>
      <c r="G75" s="84">
        <v>5</v>
      </c>
      <c r="H75" s="22" t="s">
        <v>289</v>
      </c>
      <c r="I75" s="22" t="s">
        <v>294</v>
      </c>
      <c r="J75" s="22" t="s">
        <v>295</v>
      </c>
      <c r="K75" s="22" t="s">
        <v>31</v>
      </c>
      <c r="L75" s="81" t="s">
        <v>688</v>
      </c>
      <c r="M75" s="81"/>
      <c r="N75" s="81"/>
      <c r="O75" s="81"/>
      <c r="P75" s="81" t="s">
        <v>362</v>
      </c>
      <c r="Q75" s="24">
        <v>1</v>
      </c>
      <c r="R75" s="75"/>
      <c r="T75" s="14"/>
      <c r="U75" s="14"/>
      <c r="V75" s="14"/>
      <c r="W75" s="14"/>
      <c r="X75" s="14"/>
      <c r="Y75" s="14"/>
    </row>
    <row r="76" spans="2:25" s="63" customFormat="1" ht="24.95" customHeight="1">
      <c r="B76" s="56" t="s">
        <v>10</v>
      </c>
      <c r="C76" s="198"/>
      <c r="D76" s="57" t="s">
        <v>56</v>
      </c>
      <c r="E76" s="57"/>
      <c r="F76" s="57"/>
      <c r="G76" s="57"/>
      <c r="H76" s="57" t="s">
        <v>278</v>
      </c>
      <c r="I76" s="57" t="s">
        <v>689</v>
      </c>
      <c r="J76" s="57" t="s">
        <v>47</v>
      </c>
      <c r="K76" s="57" t="s">
        <v>57</v>
      </c>
      <c r="L76" s="58"/>
      <c r="M76" s="58"/>
      <c r="N76" s="58"/>
      <c r="O76" s="58"/>
      <c r="P76" s="58"/>
      <c r="Q76" s="58"/>
      <c r="R76" s="60"/>
      <c r="S76" s="61" t="s">
        <v>690</v>
      </c>
      <c r="T76" s="62"/>
      <c r="U76" s="62"/>
      <c r="V76" s="62"/>
      <c r="W76" s="62"/>
      <c r="X76" s="62"/>
      <c r="Y76" s="62"/>
    </row>
    <row r="77" spans="2:25" ht="24.95" customHeight="1">
      <c r="B77" s="20" t="s">
        <v>10</v>
      </c>
      <c r="C77" s="198"/>
      <c r="D77" s="73" t="s">
        <v>58</v>
      </c>
      <c r="E77" s="22" t="s">
        <v>301</v>
      </c>
      <c r="F77" s="84">
        <v>44946</v>
      </c>
      <c r="G77" s="84">
        <v>2</v>
      </c>
      <c r="H77" s="22" t="s">
        <v>296</v>
      </c>
      <c r="I77" s="22" t="s">
        <v>297</v>
      </c>
      <c r="J77" s="22" t="s">
        <v>298</v>
      </c>
      <c r="K77" s="22" t="s">
        <v>59</v>
      </c>
      <c r="L77" s="85" t="s">
        <v>691</v>
      </c>
      <c r="M77" s="85"/>
      <c r="N77" s="85"/>
      <c r="O77" s="85"/>
      <c r="P77" s="85" t="s">
        <v>299</v>
      </c>
      <c r="Q77" s="24">
        <v>1</v>
      </c>
      <c r="R77" s="42"/>
      <c r="S77" s="14" t="s">
        <v>300</v>
      </c>
      <c r="T77" s="14"/>
      <c r="U77" s="14"/>
      <c r="V77" s="14"/>
      <c r="W77" s="14"/>
      <c r="X77" s="14"/>
      <c r="Y77" s="14"/>
    </row>
    <row r="78" spans="2:25" s="63" customFormat="1" ht="24.95" customHeight="1">
      <c r="B78" s="56" t="s">
        <v>10</v>
      </c>
      <c r="C78" s="198"/>
      <c r="D78" s="57" t="s">
        <v>60</v>
      </c>
      <c r="E78" s="57"/>
      <c r="F78" s="57"/>
      <c r="G78" s="57"/>
      <c r="H78" s="57" t="s">
        <v>296</v>
      </c>
      <c r="I78" s="57" t="s">
        <v>692</v>
      </c>
      <c r="J78" s="57" t="s">
        <v>47</v>
      </c>
      <c r="K78" s="57" t="s">
        <v>61</v>
      </c>
      <c r="L78" s="58"/>
      <c r="M78" s="58"/>
      <c r="N78" s="58"/>
      <c r="O78" s="58"/>
      <c r="P78" s="58"/>
      <c r="Q78" s="59"/>
      <c r="R78" s="60"/>
      <c r="S78" s="62"/>
      <c r="T78" s="62"/>
      <c r="U78" s="62"/>
      <c r="V78" s="62"/>
      <c r="W78" s="62"/>
      <c r="X78" s="62"/>
      <c r="Y78" s="62"/>
    </row>
    <row r="79" spans="2:25" s="63" customFormat="1" ht="24.95" customHeight="1">
      <c r="B79" s="56" t="s">
        <v>10</v>
      </c>
      <c r="C79" s="198"/>
      <c r="D79" s="57" t="s">
        <v>62</v>
      </c>
      <c r="E79" s="57" t="s">
        <v>63</v>
      </c>
      <c r="F79" s="57" t="s">
        <v>63</v>
      </c>
      <c r="G79" s="86" t="s">
        <v>63</v>
      </c>
      <c r="H79" s="57" t="s">
        <v>419</v>
      </c>
      <c r="I79" s="57" t="s">
        <v>62</v>
      </c>
      <c r="J79" s="64" t="s">
        <v>47</v>
      </c>
      <c r="K79" s="57" t="s">
        <v>64</v>
      </c>
      <c r="L79" s="65"/>
      <c r="M79" s="65"/>
      <c r="N79" s="65"/>
      <c r="O79" s="65"/>
      <c r="P79" s="65"/>
      <c r="Q79" s="59">
        <v>2</v>
      </c>
      <c r="R79" s="67"/>
      <c r="S79" s="62" t="s">
        <v>693</v>
      </c>
      <c r="T79" s="62"/>
      <c r="U79" s="62"/>
      <c r="V79" s="62"/>
      <c r="W79" s="62"/>
      <c r="X79" s="62"/>
      <c r="Y79" s="62"/>
    </row>
    <row r="80" spans="2:25" s="63" customFormat="1" ht="24.95" customHeight="1">
      <c r="B80" s="20" t="s">
        <v>65</v>
      </c>
      <c r="C80" s="199"/>
      <c r="D80" s="22" t="s">
        <v>66</v>
      </c>
      <c r="E80" s="22" t="s">
        <v>302</v>
      </c>
      <c r="F80" s="22">
        <v>50770</v>
      </c>
      <c r="G80" s="84">
        <v>0</v>
      </c>
      <c r="H80" s="22" t="s">
        <v>303</v>
      </c>
      <c r="I80" s="22"/>
      <c r="J80" s="22"/>
      <c r="K80" s="22" t="s">
        <v>67</v>
      </c>
      <c r="L80" s="85" t="s">
        <v>47</v>
      </c>
      <c r="M80" s="85"/>
      <c r="N80" s="85"/>
      <c r="O80" s="85"/>
      <c r="P80" s="85"/>
      <c r="Q80" s="24"/>
      <c r="R80" s="42"/>
      <c r="S80" s="62"/>
      <c r="T80" s="62"/>
      <c r="U80" s="62"/>
      <c r="V80" s="62"/>
      <c r="W80" s="62"/>
      <c r="X80" s="62"/>
      <c r="Y80" s="62"/>
    </row>
    <row r="81" spans="1:25" ht="24.95" customHeight="1">
      <c r="B81" s="20" t="s">
        <v>10</v>
      </c>
      <c r="C81" s="73" t="s">
        <v>68</v>
      </c>
      <c r="D81" s="73" t="s">
        <v>69</v>
      </c>
      <c r="E81" s="22" t="s">
        <v>306</v>
      </c>
      <c r="F81" s="22">
        <v>55511</v>
      </c>
      <c r="G81" s="84">
        <v>5</v>
      </c>
      <c r="H81" s="22" t="s">
        <v>278</v>
      </c>
      <c r="I81" s="22"/>
      <c r="J81" s="25"/>
      <c r="K81" s="22" t="s">
        <v>29</v>
      </c>
      <c r="L81" s="81" t="s">
        <v>694</v>
      </c>
      <c r="M81" s="81"/>
      <c r="N81" s="81"/>
      <c r="O81" s="81"/>
      <c r="P81" s="81" t="s">
        <v>187</v>
      </c>
      <c r="Q81" s="24">
        <v>1.05</v>
      </c>
      <c r="R81" s="208"/>
      <c r="T81" s="14"/>
      <c r="U81" s="14"/>
      <c r="V81" s="14"/>
      <c r="W81" s="14"/>
      <c r="X81" s="14"/>
      <c r="Y81" s="14"/>
    </row>
    <row r="82" spans="1:25" ht="24.95" customHeight="1">
      <c r="B82" s="20" t="s">
        <v>10</v>
      </c>
      <c r="C82" s="198" t="s">
        <v>70</v>
      </c>
      <c r="D82" s="21" t="s">
        <v>71</v>
      </c>
      <c r="E82" s="22" t="s">
        <v>309</v>
      </c>
      <c r="F82" s="22">
        <v>55511</v>
      </c>
      <c r="G82" s="84">
        <v>5</v>
      </c>
      <c r="H82" s="22" t="s">
        <v>289</v>
      </c>
      <c r="I82" s="22"/>
      <c r="J82" s="25"/>
      <c r="K82" s="22" t="s">
        <v>72</v>
      </c>
      <c r="L82" s="87" t="s">
        <v>695</v>
      </c>
      <c r="M82" s="87" t="s">
        <v>696</v>
      </c>
      <c r="N82" s="88"/>
      <c r="O82" s="88"/>
      <c r="P82" s="88" t="s">
        <v>308</v>
      </c>
      <c r="Q82" s="24">
        <v>3.3</v>
      </c>
      <c r="R82" s="208"/>
      <c r="T82" s="14"/>
      <c r="U82" s="14"/>
      <c r="V82" s="14"/>
      <c r="W82" s="14"/>
      <c r="X82" s="14"/>
      <c r="Y82" s="14"/>
    </row>
    <row r="83" spans="1:25" ht="24.95" customHeight="1">
      <c r="B83" s="20" t="s">
        <v>10</v>
      </c>
      <c r="C83" s="198"/>
      <c r="D83" s="21" t="s">
        <v>73</v>
      </c>
      <c r="E83" s="22" t="s">
        <v>310</v>
      </c>
      <c r="F83" s="22">
        <v>55511</v>
      </c>
      <c r="G83" s="84">
        <v>3</v>
      </c>
      <c r="H83" s="22"/>
      <c r="I83" s="22"/>
      <c r="J83" s="25"/>
      <c r="K83" s="22" t="s">
        <v>74</v>
      </c>
      <c r="L83" s="87" t="s">
        <v>697</v>
      </c>
      <c r="M83" s="87" t="s">
        <v>698</v>
      </c>
      <c r="N83" s="88"/>
      <c r="O83" s="88"/>
      <c r="P83" s="88" t="s">
        <v>35</v>
      </c>
      <c r="Q83" s="24">
        <v>4.0199999999999996</v>
      </c>
      <c r="R83" s="208"/>
      <c r="T83" s="14"/>
      <c r="U83" s="14"/>
      <c r="V83" s="14"/>
      <c r="W83" s="14"/>
      <c r="X83" s="14"/>
      <c r="Y83" s="14"/>
    </row>
    <row r="84" spans="1:25" ht="24.95" customHeight="1">
      <c r="B84" s="20" t="s">
        <v>10</v>
      </c>
      <c r="C84" s="198"/>
      <c r="D84" s="21" t="s">
        <v>75</v>
      </c>
      <c r="E84" s="22" t="s">
        <v>311</v>
      </c>
      <c r="F84" s="22">
        <v>60031</v>
      </c>
      <c r="G84" s="84">
        <v>7</v>
      </c>
      <c r="H84" s="22" t="s">
        <v>278</v>
      </c>
      <c r="I84" s="22"/>
      <c r="J84" s="25"/>
      <c r="K84" s="22" t="s">
        <v>76</v>
      </c>
      <c r="L84" s="87" t="s">
        <v>699</v>
      </c>
      <c r="M84" s="87" t="s">
        <v>700</v>
      </c>
      <c r="N84" s="88"/>
      <c r="O84" s="88"/>
      <c r="P84" s="88" t="s">
        <v>76</v>
      </c>
      <c r="Q84" s="24">
        <v>5.03</v>
      </c>
      <c r="R84" s="208"/>
      <c r="T84" s="14"/>
      <c r="U84" s="14"/>
      <c r="V84" s="14"/>
      <c r="W84" s="14"/>
      <c r="X84" s="14"/>
      <c r="Y84" s="14"/>
    </row>
    <row r="85" spans="1:25" ht="24.95" customHeight="1">
      <c r="B85" s="20" t="s">
        <v>6</v>
      </c>
      <c r="C85" s="199"/>
      <c r="D85" s="21" t="s">
        <v>77</v>
      </c>
      <c r="E85" s="22" t="s">
        <v>313</v>
      </c>
      <c r="F85" s="22">
        <v>51803</v>
      </c>
      <c r="G85" s="84">
        <v>4</v>
      </c>
      <c r="H85" s="22" t="s">
        <v>314</v>
      </c>
      <c r="I85" s="22"/>
      <c r="J85" s="25"/>
      <c r="K85" s="22" t="s">
        <v>78</v>
      </c>
      <c r="L85" s="87" t="s">
        <v>701</v>
      </c>
      <c r="M85" s="87" t="s">
        <v>702</v>
      </c>
      <c r="N85" s="88"/>
      <c r="O85" s="88"/>
      <c r="P85" s="88" t="s">
        <v>312</v>
      </c>
      <c r="Q85" s="24">
        <v>1.1299999999999999</v>
      </c>
      <c r="R85" s="208"/>
      <c r="T85" s="14"/>
      <c r="U85" s="14"/>
      <c r="V85" s="14"/>
      <c r="W85" s="14"/>
      <c r="X85" s="14"/>
      <c r="Y85" s="14"/>
    </row>
    <row r="86" spans="1:25" ht="24.95" customHeight="1">
      <c r="B86" s="20" t="s">
        <v>10</v>
      </c>
      <c r="C86" s="198" t="s">
        <v>79</v>
      </c>
      <c r="D86" s="48" t="s">
        <v>80</v>
      </c>
      <c r="E86" s="26" t="s">
        <v>316</v>
      </c>
      <c r="F86" s="26">
        <v>43748</v>
      </c>
      <c r="G86" s="84">
        <v>4</v>
      </c>
      <c r="H86" s="25" t="s">
        <v>272</v>
      </c>
      <c r="I86" s="22" t="s">
        <v>317</v>
      </c>
      <c r="J86" s="22" t="s">
        <v>318</v>
      </c>
      <c r="K86" s="22" t="s">
        <v>29</v>
      </c>
      <c r="L86" s="89" t="s">
        <v>703</v>
      </c>
      <c r="M86" s="90" t="s">
        <v>704</v>
      </c>
      <c r="N86" s="90" t="s">
        <v>705</v>
      </c>
      <c r="O86" s="23"/>
      <c r="P86" s="85" t="s">
        <v>187</v>
      </c>
      <c r="Q86" s="24">
        <v>1.04</v>
      </c>
      <c r="R86" s="211"/>
      <c r="S86" s="213" t="s">
        <v>315</v>
      </c>
      <c r="T86" s="214"/>
      <c r="U86" s="14"/>
      <c r="V86" s="14"/>
      <c r="W86" s="14"/>
      <c r="X86" s="14"/>
      <c r="Y86" s="14"/>
    </row>
    <row r="87" spans="1:25" ht="24.95" customHeight="1">
      <c r="B87" s="20" t="s">
        <v>10</v>
      </c>
      <c r="C87" s="198"/>
      <c r="D87" s="21" t="s">
        <v>81</v>
      </c>
      <c r="E87" s="22" t="s">
        <v>322</v>
      </c>
      <c r="F87" s="22">
        <v>52576</v>
      </c>
      <c r="G87" s="84">
        <v>8</v>
      </c>
      <c r="H87" s="22" t="s">
        <v>289</v>
      </c>
      <c r="I87" s="22" t="s">
        <v>323</v>
      </c>
      <c r="J87" s="27" t="s">
        <v>324</v>
      </c>
      <c r="K87" s="22" t="s">
        <v>82</v>
      </c>
      <c r="L87" s="91"/>
      <c r="M87" s="90"/>
      <c r="N87" s="23" t="s">
        <v>706</v>
      </c>
      <c r="O87" s="23"/>
      <c r="P87" s="23" t="s">
        <v>319</v>
      </c>
      <c r="Q87" s="24">
        <v>3.3</v>
      </c>
      <c r="R87" s="211"/>
      <c r="S87" s="14" t="s">
        <v>320</v>
      </c>
      <c r="T87" s="15" t="s">
        <v>321</v>
      </c>
      <c r="U87" s="14" t="s">
        <v>83</v>
      </c>
      <c r="V87" s="14"/>
      <c r="W87" s="14"/>
      <c r="X87" s="14"/>
      <c r="Y87" s="14"/>
    </row>
    <row r="88" spans="1:25" ht="24.95" customHeight="1">
      <c r="B88" s="20" t="s">
        <v>10</v>
      </c>
      <c r="C88" s="198"/>
      <c r="D88" s="21" t="s">
        <v>84</v>
      </c>
      <c r="E88" s="29" t="s">
        <v>328</v>
      </c>
      <c r="F88" s="29">
        <v>52576</v>
      </c>
      <c r="G88" s="84">
        <v>7</v>
      </c>
      <c r="H88" s="29" t="s">
        <v>278</v>
      </c>
      <c r="I88" s="29" t="s">
        <v>329</v>
      </c>
      <c r="J88" s="30" t="s">
        <v>330</v>
      </c>
      <c r="K88" s="29" t="s">
        <v>31</v>
      </c>
      <c r="L88" s="91" t="s">
        <v>707</v>
      </c>
      <c r="M88" s="90" t="s">
        <v>708</v>
      </c>
      <c r="N88" s="92" t="s">
        <v>709</v>
      </c>
      <c r="O88" s="93"/>
      <c r="P88" s="93" t="s">
        <v>325</v>
      </c>
      <c r="Q88" s="32">
        <v>2.2999999999999998</v>
      </c>
      <c r="R88" s="211"/>
      <c r="S88" s="14" t="s">
        <v>326</v>
      </c>
      <c r="T88" s="15" t="s">
        <v>327</v>
      </c>
      <c r="U88" s="14" t="s">
        <v>85</v>
      </c>
      <c r="V88" s="14"/>
      <c r="W88" s="14"/>
      <c r="X88" s="14"/>
      <c r="Y88" s="14"/>
    </row>
    <row r="89" spans="1:25" ht="24.95" customHeight="1">
      <c r="B89" s="20" t="s">
        <v>10</v>
      </c>
      <c r="C89" s="198"/>
      <c r="D89" s="21" t="s">
        <v>86</v>
      </c>
      <c r="E89" s="22" t="s">
        <v>331</v>
      </c>
      <c r="F89" s="22">
        <v>53292</v>
      </c>
      <c r="G89" s="84">
        <v>5</v>
      </c>
      <c r="H89" s="22" t="s">
        <v>278</v>
      </c>
      <c r="I89" s="22" t="s">
        <v>332</v>
      </c>
      <c r="J89" s="27" t="s">
        <v>333</v>
      </c>
      <c r="K89" s="22" t="s">
        <v>87</v>
      </c>
      <c r="L89" s="85" t="s">
        <v>47</v>
      </c>
      <c r="M89" s="90" t="s">
        <v>710</v>
      </c>
      <c r="N89" s="85" t="s">
        <v>47</v>
      </c>
      <c r="O89" s="92"/>
      <c r="P89" s="92" t="s">
        <v>87</v>
      </c>
      <c r="Q89" s="24">
        <v>4.12</v>
      </c>
      <c r="R89" s="211"/>
      <c r="T89" s="15"/>
      <c r="U89" s="14"/>
      <c r="V89" s="14"/>
      <c r="W89" s="14"/>
      <c r="X89" s="14"/>
      <c r="Y89" s="14"/>
    </row>
    <row r="90" spans="1:25" ht="24.95" customHeight="1">
      <c r="B90" s="20" t="s">
        <v>6</v>
      </c>
      <c r="C90" s="198"/>
      <c r="D90" s="21" t="s">
        <v>88</v>
      </c>
      <c r="E90" s="22" t="s">
        <v>335</v>
      </c>
      <c r="F90" s="22">
        <v>54464</v>
      </c>
      <c r="G90" s="84">
        <v>5</v>
      </c>
      <c r="H90" s="22" t="s">
        <v>278</v>
      </c>
      <c r="I90" s="22" t="s">
        <v>336</v>
      </c>
      <c r="J90" s="27" t="s">
        <v>337</v>
      </c>
      <c r="K90" s="22" t="s">
        <v>89</v>
      </c>
      <c r="L90" s="85" t="s">
        <v>47</v>
      </c>
      <c r="M90" s="90" t="s">
        <v>711</v>
      </c>
      <c r="N90" s="94" t="s">
        <v>711</v>
      </c>
      <c r="O90" s="23"/>
      <c r="P90" s="23" t="s">
        <v>334</v>
      </c>
      <c r="Q90" s="24"/>
      <c r="R90" s="211"/>
      <c r="T90" s="15"/>
      <c r="U90" s="14"/>
      <c r="V90" s="14"/>
      <c r="W90" s="14"/>
      <c r="X90" s="14"/>
      <c r="Y90" s="14"/>
    </row>
    <row r="91" spans="1:25" ht="24.95" customHeight="1">
      <c r="B91" s="20" t="s">
        <v>90</v>
      </c>
      <c r="C91" s="198"/>
      <c r="D91" s="21" t="s">
        <v>91</v>
      </c>
      <c r="E91" s="22" t="s">
        <v>338</v>
      </c>
      <c r="F91" s="22">
        <v>52576</v>
      </c>
      <c r="G91" s="84">
        <v>7</v>
      </c>
      <c r="H91" s="22" t="s">
        <v>278</v>
      </c>
      <c r="I91" s="22" t="s">
        <v>339</v>
      </c>
      <c r="J91" s="22" t="s">
        <v>340</v>
      </c>
      <c r="K91" s="22" t="s">
        <v>92</v>
      </c>
      <c r="L91" s="85" t="s">
        <v>47</v>
      </c>
      <c r="M91" s="90"/>
      <c r="N91" s="85"/>
      <c r="O91" s="85"/>
      <c r="P91" s="85"/>
      <c r="Q91" s="24"/>
      <c r="R91" s="211"/>
      <c r="S91" s="15" t="s">
        <v>341</v>
      </c>
      <c r="T91" s="15" t="s">
        <v>342</v>
      </c>
      <c r="U91" s="14"/>
      <c r="V91" s="15"/>
      <c r="W91" s="14"/>
      <c r="X91" s="14"/>
      <c r="Y91" s="14"/>
    </row>
    <row r="92" spans="1:25" ht="24.95" customHeight="1">
      <c r="B92" s="20" t="s">
        <v>90</v>
      </c>
      <c r="C92" s="198"/>
      <c r="D92" s="21" t="s">
        <v>93</v>
      </c>
      <c r="E92" s="22" t="s">
        <v>343</v>
      </c>
      <c r="F92" s="22">
        <v>52576</v>
      </c>
      <c r="G92" s="84">
        <v>6</v>
      </c>
      <c r="H92" s="22" t="s">
        <v>278</v>
      </c>
      <c r="I92" s="22" t="s">
        <v>344</v>
      </c>
      <c r="J92" s="22" t="s">
        <v>345</v>
      </c>
      <c r="K92" s="22" t="s">
        <v>94</v>
      </c>
      <c r="L92" s="85" t="s">
        <v>47</v>
      </c>
      <c r="M92" s="90"/>
      <c r="N92" s="85"/>
      <c r="O92" s="85"/>
      <c r="P92" s="85"/>
      <c r="Q92" s="24"/>
      <c r="R92" s="211"/>
      <c r="S92" s="15" t="s">
        <v>346</v>
      </c>
      <c r="T92" s="15" t="s">
        <v>347</v>
      </c>
      <c r="U92" s="14"/>
      <c r="V92" s="15"/>
      <c r="W92" s="14"/>
      <c r="X92" s="14"/>
      <c r="Y92" s="14"/>
    </row>
    <row r="93" spans="1:25" ht="24.95" customHeight="1">
      <c r="B93" s="20" t="s">
        <v>90</v>
      </c>
      <c r="C93" s="198"/>
      <c r="D93" s="21" t="s">
        <v>95</v>
      </c>
      <c r="E93" s="22" t="s">
        <v>348</v>
      </c>
      <c r="F93" s="22">
        <v>52576</v>
      </c>
      <c r="G93" s="84">
        <v>2</v>
      </c>
      <c r="H93" s="22" t="s">
        <v>278</v>
      </c>
      <c r="I93" s="22" t="s">
        <v>349</v>
      </c>
      <c r="J93" s="27" t="s">
        <v>350</v>
      </c>
      <c r="K93" s="22" t="s">
        <v>96</v>
      </c>
      <c r="L93" s="85" t="s">
        <v>712</v>
      </c>
      <c r="M93" s="85" t="s">
        <v>713</v>
      </c>
      <c r="N93" s="85"/>
      <c r="O93" s="85"/>
      <c r="P93" s="85"/>
      <c r="Q93" s="24"/>
      <c r="R93" s="211"/>
      <c r="T93" s="15" t="s">
        <v>351</v>
      </c>
      <c r="U93" s="14"/>
      <c r="V93" s="14"/>
      <c r="W93" s="14"/>
      <c r="X93" s="14"/>
      <c r="Y93" s="14"/>
    </row>
    <row r="94" spans="1:25" ht="24.95" customHeight="1">
      <c r="B94" s="20" t="s">
        <v>90</v>
      </c>
      <c r="C94" s="199"/>
      <c r="D94" s="21" t="s">
        <v>97</v>
      </c>
      <c r="E94" s="22" t="s">
        <v>352</v>
      </c>
      <c r="F94" s="22">
        <v>52576</v>
      </c>
      <c r="G94" s="84">
        <v>2</v>
      </c>
      <c r="H94" s="22" t="s">
        <v>278</v>
      </c>
      <c r="I94" s="22" t="s">
        <v>353</v>
      </c>
      <c r="J94" s="27" t="s">
        <v>354</v>
      </c>
      <c r="K94" s="22" t="s">
        <v>98</v>
      </c>
      <c r="L94" s="85" t="s">
        <v>712</v>
      </c>
      <c r="M94" s="85" t="s">
        <v>713</v>
      </c>
      <c r="N94" s="85"/>
      <c r="O94" s="85"/>
      <c r="P94" s="85"/>
      <c r="Q94" s="24">
        <v>3.9</v>
      </c>
      <c r="R94" s="212"/>
      <c r="T94" s="15" t="s">
        <v>351</v>
      </c>
      <c r="U94" s="14"/>
      <c r="V94" s="14"/>
      <c r="W94" s="14"/>
      <c r="X94" s="14"/>
      <c r="Y94" s="14"/>
    </row>
    <row r="95" spans="1:25" ht="24.95" customHeight="1">
      <c r="A95" s="113" t="s">
        <v>1221</v>
      </c>
      <c r="B95" s="20" t="s">
        <v>6</v>
      </c>
      <c r="C95" s="22" t="s">
        <v>498</v>
      </c>
      <c r="D95" s="21" t="s">
        <v>1222</v>
      </c>
      <c r="E95" s="22" t="s">
        <v>1223</v>
      </c>
      <c r="F95" s="22">
        <v>62636</v>
      </c>
      <c r="G95" s="84">
        <v>0</v>
      </c>
      <c r="H95" s="22" t="s">
        <v>278</v>
      </c>
      <c r="I95" s="22" t="s">
        <v>47</v>
      </c>
      <c r="J95" s="27" t="s">
        <v>47</v>
      </c>
      <c r="K95" s="22" t="s">
        <v>1224</v>
      </c>
      <c r="L95" s="85"/>
      <c r="M95" s="85"/>
      <c r="N95" s="85"/>
      <c r="O95" s="85"/>
      <c r="P95" s="146" t="s">
        <v>1309</v>
      </c>
      <c r="Q95" s="24"/>
      <c r="R95" s="107"/>
      <c r="T95" s="15"/>
      <c r="U95" s="14"/>
      <c r="V95" s="14"/>
      <c r="W95" s="14"/>
      <c r="X95" s="14"/>
      <c r="Y95" s="14"/>
    </row>
    <row r="96" spans="1:25" ht="24.95" customHeight="1">
      <c r="B96" s="28" t="s">
        <v>6</v>
      </c>
      <c r="C96" s="198" t="s">
        <v>99</v>
      </c>
      <c r="D96" s="46" t="s">
        <v>100</v>
      </c>
      <c r="E96" s="29" t="s">
        <v>271</v>
      </c>
      <c r="F96" s="29">
        <v>55511</v>
      </c>
      <c r="G96" s="84">
        <v>4</v>
      </c>
      <c r="H96" s="29" t="s">
        <v>278</v>
      </c>
      <c r="I96" s="29"/>
      <c r="J96" s="30"/>
      <c r="K96" s="29" t="s">
        <v>101</v>
      </c>
      <c r="L96" s="31" t="s">
        <v>714</v>
      </c>
      <c r="M96" s="31"/>
      <c r="N96" s="31"/>
      <c r="O96" s="31"/>
      <c r="P96" s="95" t="s">
        <v>187</v>
      </c>
      <c r="Q96" s="32">
        <v>1.03</v>
      </c>
      <c r="R96" s="215"/>
      <c r="T96" s="15"/>
      <c r="U96" s="14"/>
      <c r="V96" s="14"/>
      <c r="W96" s="14"/>
      <c r="X96" s="14"/>
      <c r="Y96" s="14"/>
    </row>
    <row r="97" spans="1:25" ht="24.95" customHeight="1">
      <c r="B97" s="28" t="s">
        <v>6</v>
      </c>
      <c r="C97" s="199"/>
      <c r="D97" s="46" t="s">
        <v>102</v>
      </c>
      <c r="E97" s="29" t="s">
        <v>356</v>
      </c>
      <c r="F97" s="29">
        <v>55616</v>
      </c>
      <c r="G97" s="84">
        <v>5</v>
      </c>
      <c r="H97" s="29" t="s">
        <v>278</v>
      </c>
      <c r="I97" s="29"/>
      <c r="J97" s="30"/>
      <c r="K97" s="29" t="s">
        <v>103</v>
      </c>
      <c r="L97" s="31" t="s">
        <v>715</v>
      </c>
      <c r="M97" s="31"/>
      <c r="N97" s="31"/>
      <c r="O97" s="31"/>
      <c r="P97" s="31" t="s">
        <v>355</v>
      </c>
      <c r="Q97" s="32">
        <v>2</v>
      </c>
      <c r="R97" s="216"/>
      <c r="T97" s="15"/>
      <c r="U97" s="14"/>
      <c r="V97" s="14"/>
      <c r="W97" s="14"/>
      <c r="X97" s="14"/>
      <c r="Y97" s="14"/>
    </row>
    <row r="98" spans="1:25" ht="24.95" customHeight="1">
      <c r="B98" s="20" t="s">
        <v>10</v>
      </c>
      <c r="C98" s="197" t="s">
        <v>104</v>
      </c>
      <c r="D98" s="22" t="s">
        <v>105</v>
      </c>
      <c r="E98" s="22" t="s">
        <v>357</v>
      </c>
      <c r="F98" s="22">
        <v>42074</v>
      </c>
      <c r="G98" s="84">
        <v>0</v>
      </c>
      <c r="H98" s="22" t="s">
        <v>272</v>
      </c>
      <c r="I98" s="22" t="s">
        <v>358</v>
      </c>
      <c r="J98" s="22" t="s">
        <v>359</v>
      </c>
      <c r="K98" s="25" t="s">
        <v>106</v>
      </c>
      <c r="L98" s="85" t="s">
        <v>716</v>
      </c>
      <c r="M98" s="85"/>
      <c r="N98" s="85"/>
      <c r="O98" s="85"/>
      <c r="P98" s="85" t="s">
        <v>360</v>
      </c>
      <c r="Q98" s="24">
        <v>1</v>
      </c>
      <c r="R98" s="42"/>
      <c r="S98" s="15" t="s">
        <v>361</v>
      </c>
      <c r="T98" s="14"/>
      <c r="U98" s="14"/>
      <c r="V98" s="14"/>
      <c r="W98" s="14"/>
      <c r="X98" s="14"/>
      <c r="Y98" s="14"/>
    </row>
    <row r="99" spans="1:25" ht="24.95" customHeight="1">
      <c r="B99" s="20" t="s">
        <v>10</v>
      </c>
      <c r="C99" s="198"/>
      <c r="D99" s="26" t="s">
        <v>107</v>
      </c>
      <c r="E99" s="26" t="s">
        <v>364</v>
      </c>
      <c r="F99" s="26">
        <v>55511</v>
      </c>
      <c r="G99" s="84">
        <v>1</v>
      </c>
      <c r="H99" s="22" t="s">
        <v>278</v>
      </c>
      <c r="I99" s="22" t="s">
        <v>365</v>
      </c>
      <c r="J99" s="22" t="s">
        <v>366</v>
      </c>
      <c r="K99" s="25" t="s">
        <v>106</v>
      </c>
      <c r="L99" s="85" t="s">
        <v>717</v>
      </c>
      <c r="M99" s="85"/>
      <c r="N99" s="85"/>
      <c r="O99" s="85"/>
      <c r="P99" s="85" t="s">
        <v>362</v>
      </c>
      <c r="Q99" s="24">
        <v>1</v>
      </c>
      <c r="R99" s="42" t="s">
        <v>363</v>
      </c>
      <c r="T99" s="14"/>
      <c r="U99" s="14"/>
      <c r="V99" s="14"/>
      <c r="W99" s="14"/>
      <c r="X99" s="14"/>
      <c r="Y99" s="14"/>
    </row>
    <row r="100" spans="1:25" ht="24.95" customHeight="1">
      <c r="B100" s="20" t="s">
        <v>10</v>
      </c>
      <c r="C100" s="199"/>
      <c r="D100" s="74" t="s">
        <v>108</v>
      </c>
      <c r="E100" s="26" t="s">
        <v>368</v>
      </c>
      <c r="F100" s="26">
        <v>55511</v>
      </c>
      <c r="G100" s="84">
        <v>3</v>
      </c>
      <c r="H100" s="22" t="s">
        <v>278</v>
      </c>
      <c r="I100" s="26" t="s">
        <v>369</v>
      </c>
      <c r="J100" s="22" t="s">
        <v>47</v>
      </c>
      <c r="K100" s="25" t="s">
        <v>109</v>
      </c>
      <c r="L100" s="85" t="s">
        <v>718</v>
      </c>
      <c r="M100" s="85"/>
      <c r="N100" s="85"/>
      <c r="O100" s="85"/>
      <c r="P100" s="85" t="s">
        <v>367</v>
      </c>
      <c r="Q100" s="24">
        <v>1.04</v>
      </c>
      <c r="R100" s="42" t="s">
        <v>363</v>
      </c>
      <c r="T100" s="14"/>
      <c r="U100" s="14"/>
      <c r="V100" s="14"/>
      <c r="W100" s="14"/>
      <c r="X100" s="14"/>
      <c r="Y100" s="14"/>
    </row>
    <row r="101" spans="1:25" ht="24.95" customHeight="1">
      <c r="B101" s="20" t="s">
        <v>10</v>
      </c>
      <c r="C101" s="197" t="s">
        <v>110</v>
      </c>
      <c r="D101" s="22" t="s">
        <v>111</v>
      </c>
      <c r="E101" s="26" t="s">
        <v>316</v>
      </c>
      <c r="F101" s="26">
        <v>42055</v>
      </c>
      <c r="G101" s="84">
        <v>6</v>
      </c>
      <c r="H101" s="22" t="s">
        <v>272</v>
      </c>
      <c r="I101" s="22" t="s">
        <v>371</v>
      </c>
      <c r="J101" s="22" t="s">
        <v>372</v>
      </c>
      <c r="K101" s="25" t="s">
        <v>106</v>
      </c>
      <c r="L101" s="85" t="s">
        <v>719</v>
      </c>
      <c r="M101" s="85" t="s">
        <v>720</v>
      </c>
      <c r="N101" s="85"/>
      <c r="O101" s="85"/>
      <c r="P101" s="85" t="s">
        <v>187</v>
      </c>
      <c r="Q101" s="24">
        <v>1.05</v>
      </c>
      <c r="R101" s="42"/>
      <c r="S101" s="14" t="s">
        <v>370</v>
      </c>
      <c r="T101" s="14"/>
      <c r="U101" s="14"/>
      <c r="V101" s="14"/>
      <c r="W101" s="14"/>
      <c r="X101" s="14"/>
      <c r="Y101" s="14"/>
    </row>
    <row r="102" spans="1:25" ht="24.95" customHeight="1">
      <c r="B102" s="20" t="s">
        <v>10</v>
      </c>
      <c r="C102" s="199"/>
      <c r="D102" s="22" t="s">
        <v>112</v>
      </c>
      <c r="E102" s="26" t="s">
        <v>364</v>
      </c>
      <c r="F102" s="26">
        <v>55511</v>
      </c>
      <c r="G102" s="84">
        <v>1</v>
      </c>
      <c r="H102" s="22" t="s">
        <v>278</v>
      </c>
      <c r="I102" s="22" t="s">
        <v>373</v>
      </c>
      <c r="J102" s="22" t="s">
        <v>374</v>
      </c>
      <c r="K102" s="25" t="s">
        <v>106</v>
      </c>
      <c r="L102" s="85" t="s">
        <v>717</v>
      </c>
      <c r="M102" s="85"/>
      <c r="N102" s="85"/>
      <c r="O102" s="85"/>
      <c r="P102" s="85" t="s">
        <v>362</v>
      </c>
      <c r="Q102" s="24">
        <v>1</v>
      </c>
      <c r="R102" s="42" t="s">
        <v>363</v>
      </c>
      <c r="T102" s="14"/>
      <c r="U102" s="14"/>
      <c r="V102" s="14"/>
      <c r="W102" s="14"/>
      <c r="X102" s="14"/>
      <c r="Y102" s="14"/>
    </row>
    <row r="103" spans="1:25" ht="24.95" customHeight="1">
      <c r="B103" s="20" t="s">
        <v>10</v>
      </c>
      <c r="C103" s="217" t="s">
        <v>113</v>
      </c>
      <c r="D103" s="22" t="s">
        <v>114</v>
      </c>
      <c r="E103" s="26" t="s">
        <v>316</v>
      </c>
      <c r="F103" s="26">
        <v>55511</v>
      </c>
      <c r="G103" s="84">
        <v>2</v>
      </c>
      <c r="H103" s="22" t="s">
        <v>272</v>
      </c>
      <c r="I103" s="22" t="s">
        <v>375</v>
      </c>
      <c r="J103" s="22" t="s">
        <v>376</v>
      </c>
      <c r="K103" s="22"/>
      <c r="L103" s="23" t="s">
        <v>721</v>
      </c>
      <c r="M103" s="23"/>
      <c r="N103" s="23"/>
      <c r="O103" s="23"/>
      <c r="P103" s="85" t="s">
        <v>187</v>
      </c>
      <c r="Q103" s="24">
        <v>1.03</v>
      </c>
      <c r="R103" s="219" t="s">
        <v>113</v>
      </c>
      <c r="T103" s="14"/>
      <c r="U103" s="14"/>
      <c r="V103" s="14"/>
      <c r="W103" s="14"/>
      <c r="X103" s="14"/>
      <c r="Y103" s="14"/>
    </row>
    <row r="104" spans="1:25" ht="24.95" customHeight="1">
      <c r="B104" s="20" t="s">
        <v>10</v>
      </c>
      <c r="C104" s="218"/>
      <c r="D104" s="22" t="s">
        <v>115</v>
      </c>
      <c r="E104" s="26" t="s">
        <v>377</v>
      </c>
      <c r="F104" s="26">
        <v>55511</v>
      </c>
      <c r="G104" s="84">
        <v>2</v>
      </c>
      <c r="H104" s="22" t="s">
        <v>278</v>
      </c>
      <c r="I104" s="22" t="s">
        <v>378</v>
      </c>
      <c r="J104" s="22" t="s">
        <v>379</v>
      </c>
      <c r="K104" s="22" t="s">
        <v>116</v>
      </c>
      <c r="L104" s="23" t="s">
        <v>722</v>
      </c>
      <c r="M104" s="23"/>
      <c r="N104" s="23"/>
      <c r="O104" s="23"/>
      <c r="P104" s="23" t="s">
        <v>362</v>
      </c>
      <c r="Q104" s="24">
        <v>1</v>
      </c>
      <c r="R104" s="212"/>
      <c r="T104" s="14"/>
      <c r="U104" s="14"/>
      <c r="V104" s="14"/>
      <c r="W104" s="14"/>
      <c r="X104" s="14"/>
      <c r="Y104" s="14"/>
    </row>
    <row r="105" spans="1:25" ht="24.95" customHeight="1">
      <c r="B105" s="20" t="s">
        <v>10</v>
      </c>
      <c r="C105" s="33" t="s">
        <v>117</v>
      </c>
      <c r="D105" s="26" t="s">
        <v>118</v>
      </c>
      <c r="E105" s="26" t="s">
        <v>264</v>
      </c>
      <c r="F105" s="26">
        <v>55511</v>
      </c>
      <c r="G105" s="84">
        <v>5</v>
      </c>
      <c r="H105" s="22" t="s">
        <v>278</v>
      </c>
      <c r="I105" s="26" t="s">
        <v>47</v>
      </c>
      <c r="J105" s="22" t="s">
        <v>47</v>
      </c>
      <c r="K105" s="25" t="s">
        <v>106</v>
      </c>
      <c r="L105" s="23" t="s">
        <v>723</v>
      </c>
      <c r="M105" s="23"/>
      <c r="N105" s="23"/>
      <c r="O105" s="23"/>
      <c r="P105" s="23" t="s">
        <v>380</v>
      </c>
      <c r="Q105" s="24">
        <v>1.03</v>
      </c>
      <c r="R105" s="219" t="s">
        <v>117</v>
      </c>
      <c r="T105" s="14"/>
      <c r="U105" s="14"/>
      <c r="V105" s="14"/>
      <c r="W105" s="14"/>
      <c r="X105" s="14"/>
      <c r="Y105" s="14"/>
    </row>
    <row r="106" spans="1:25" ht="24.95" customHeight="1">
      <c r="B106" s="20" t="s">
        <v>10</v>
      </c>
      <c r="C106" s="209" t="s">
        <v>119</v>
      </c>
      <c r="D106" s="26" t="s">
        <v>120</v>
      </c>
      <c r="E106" s="26" t="s">
        <v>382</v>
      </c>
      <c r="F106" s="26">
        <v>55511</v>
      </c>
      <c r="G106" s="84">
        <v>7</v>
      </c>
      <c r="H106" s="22" t="s">
        <v>278</v>
      </c>
      <c r="I106" s="26" t="s">
        <v>47</v>
      </c>
      <c r="J106" s="22" t="s">
        <v>47</v>
      </c>
      <c r="K106" s="25" t="s">
        <v>72</v>
      </c>
      <c r="L106" s="94" t="s">
        <v>724</v>
      </c>
      <c r="M106" s="90" t="s">
        <v>725</v>
      </c>
      <c r="N106" s="90" t="s">
        <v>726</v>
      </c>
      <c r="O106" s="90" t="s">
        <v>727</v>
      </c>
      <c r="P106" s="90" t="s">
        <v>381</v>
      </c>
      <c r="Q106" s="24">
        <v>2.15</v>
      </c>
      <c r="R106" s="211"/>
      <c r="T106" s="14"/>
      <c r="U106" s="14"/>
      <c r="V106" s="14"/>
      <c r="W106" s="14"/>
      <c r="X106" s="14"/>
      <c r="Y106" s="14"/>
    </row>
    <row r="107" spans="1:25" s="18" customFormat="1" ht="24.95" customHeight="1">
      <c r="B107" s="20" t="s">
        <v>10</v>
      </c>
      <c r="C107" s="220"/>
      <c r="D107" s="26" t="s">
        <v>121</v>
      </c>
      <c r="E107" s="26" t="s">
        <v>267</v>
      </c>
      <c r="F107" s="26">
        <v>55511</v>
      </c>
      <c r="G107" s="84">
        <v>3</v>
      </c>
      <c r="H107" s="22" t="s">
        <v>278</v>
      </c>
      <c r="I107" s="26" t="s">
        <v>47</v>
      </c>
      <c r="J107" s="22" t="s">
        <v>47</v>
      </c>
      <c r="K107" s="25" t="s">
        <v>122</v>
      </c>
      <c r="L107" s="94" t="s">
        <v>728</v>
      </c>
      <c r="M107" s="90" t="s">
        <v>729</v>
      </c>
      <c r="N107" s="90" t="s">
        <v>730</v>
      </c>
      <c r="O107" s="90" t="s">
        <v>731</v>
      </c>
      <c r="P107" s="90" t="s">
        <v>122</v>
      </c>
      <c r="Q107" s="24">
        <v>4.03</v>
      </c>
      <c r="R107" s="211"/>
      <c r="S107" s="14"/>
      <c r="T107" s="14"/>
      <c r="U107" s="14"/>
      <c r="V107" s="14"/>
      <c r="W107" s="14"/>
      <c r="X107" s="14"/>
      <c r="Y107" s="14"/>
    </row>
    <row r="108" spans="1:25" ht="24.95" customHeight="1">
      <c r="A108" s="4" t="s">
        <v>1352</v>
      </c>
      <c r="B108" s="20" t="s">
        <v>10</v>
      </c>
      <c r="C108" s="220"/>
      <c r="D108" s="26" t="s">
        <v>123</v>
      </c>
      <c r="E108" s="26" t="s">
        <v>1441</v>
      </c>
      <c r="F108" s="26">
        <v>62927</v>
      </c>
      <c r="G108" s="84">
        <v>5</v>
      </c>
      <c r="H108" s="22" t="s">
        <v>278</v>
      </c>
      <c r="I108" s="26" t="s">
        <v>47</v>
      </c>
      <c r="J108" s="22" t="s">
        <v>47</v>
      </c>
      <c r="K108" s="25" t="s">
        <v>124</v>
      </c>
      <c r="L108" s="94" t="s">
        <v>732</v>
      </c>
      <c r="M108" s="90" t="s">
        <v>733</v>
      </c>
      <c r="N108" s="90" t="s">
        <v>734</v>
      </c>
      <c r="O108" s="90" t="s">
        <v>735</v>
      </c>
      <c r="P108" s="90" t="s">
        <v>124</v>
      </c>
      <c r="Q108" s="24">
        <v>5.0199999999999996</v>
      </c>
      <c r="R108" s="211"/>
      <c r="T108" s="14"/>
      <c r="U108" s="14"/>
      <c r="V108" s="14"/>
      <c r="W108" s="14"/>
      <c r="X108" s="14"/>
      <c r="Y108" s="14"/>
    </row>
    <row r="109" spans="1:25" ht="24.95" customHeight="1">
      <c r="A109" s="4" t="s">
        <v>1352</v>
      </c>
      <c r="B109" s="20" t="s">
        <v>10</v>
      </c>
      <c r="C109" s="220"/>
      <c r="D109" s="26" t="s">
        <v>125</v>
      </c>
      <c r="E109" s="26" t="s">
        <v>1442</v>
      </c>
      <c r="F109" s="26">
        <v>62927</v>
      </c>
      <c r="G109" s="84">
        <v>4</v>
      </c>
      <c r="H109" s="22" t="s">
        <v>278</v>
      </c>
      <c r="I109" s="26" t="s">
        <v>47</v>
      </c>
      <c r="J109" s="22" t="s">
        <v>47</v>
      </c>
      <c r="K109" s="25" t="s">
        <v>124</v>
      </c>
      <c r="L109" s="94" t="s">
        <v>736</v>
      </c>
      <c r="M109" s="90" t="s">
        <v>737</v>
      </c>
      <c r="N109" s="90" t="s">
        <v>738</v>
      </c>
      <c r="O109" s="90" t="s">
        <v>739</v>
      </c>
      <c r="P109" s="90" t="s">
        <v>124</v>
      </c>
      <c r="Q109" s="24">
        <v>6.1</v>
      </c>
      <c r="R109" s="211"/>
      <c r="T109" s="14"/>
      <c r="U109" s="14"/>
      <c r="V109" s="14"/>
      <c r="W109" s="14"/>
      <c r="X109" s="14"/>
      <c r="Y109" s="14"/>
    </row>
    <row r="110" spans="1:25" ht="24.95" customHeight="1">
      <c r="A110" s="4" t="s">
        <v>1352</v>
      </c>
      <c r="B110" s="20" t="s">
        <v>10</v>
      </c>
      <c r="C110" s="220"/>
      <c r="D110" s="26" t="s">
        <v>126</v>
      </c>
      <c r="E110" s="26" t="s">
        <v>1443</v>
      </c>
      <c r="F110" s="26">
        <v>62927</v>
      </c>
      <c r="G110" s="84">
        <v>4</v>
      </c>
      <c r="H110" s="22" t="s">
        <v>278</v>
      </c>
      <c r="I110" s="26" t="s">
        <v>47</v>
      </c>
      <c r="J110" s="22" t="s">
        <v>47</v>
      </c>
      <c r="K110" s="25" t="s">
        <v>127</v>
      </c>
      <c r="L110" s="94" t="s">
        <v>740</v>
      </c>
      <c r="M110" s="90" t="s">
        <v>741</v>
      </c>
      <c r="N110" s="90" t="s">
        <v>742</v>
      </c>
      <c r="O110" s="90" t="s">
        <v>743</v>
      </c>
      <c r="P110" s="90" t="s">
        <v>385</v>
      </c>
      <c r="Q110" s="24">
        <v>7</v>
      </c>
      <c r="R110" s="211"/>
      <c r="T110" s="14"/>
      <c r="U110" s="14"/>
      <c r="V110" s="14"/>
      <c r="W110" s="14"/>
      <c r="X110" s="14"/>
      <c r="Y110" s="14"/>
    </row>
    <row r="111" spans="1:25" ht="24.95" customHeight="1">
      <c r="A111" s="4" t="s">
        <v>1352</v>
      </c>
      <c r="B111" s="20" t="s">
        <v>10</v>
      </c>
      <c r="C111" s="220"/>
      <c r="D111" s="26" t="s">
        <v>128</v>
      </c>
      <c r="E111" s="26" t="s">
        <v>1444</v>
      </c>
      <c r="F111" s="26">
        <v>62927</v>
      </c>
      <c r="G111" s="84">
        <v>8</v>
      </c>
      <c r="H111" s="22" t="s">
        <v>278</v>
      </c>
      <c r="I111" s="26"/>
      <c r="J111" s="22"/>
      <c r="K111" s="22" t="s">
        <v>129</v>
      </c>
      <c r="L111" s="94" t="s">
        <v>1225</v>
      </c>
      <c r="M111" s="90" t="s">
        <v>1226</v>
      </c>
      <c r="N111" s="90" t="s">
        <v>1227</v>
      </c>
      <c r="O111" s="90" t="s">
        <v>1228</v>
      </c>
      <c r="P111" s="90" t="s">
        <v>76</v>
      </c>
      <c r="Q111" s="24"/>
      <c r="R111" s="54"/>
      <c r="T111" s="14"/>
      <c r="U111" s="14"/>
      <c r="V111" s="14"/>
      <c r="W111" s="14"/>
      <c r="X111" s="14"/>
      <c r="Y111" s="14"/>
    </row>
    <row r="112" spans="1:25" ht="24.95" customHeight="1">
      <c r="A112" s="4" t="s">
        <v>1352</v>
      </c>
      <c r="B112" s="20" t="s">
        <v>130</v>
      </c>
      <c r="C112" s="210"/>
      <c r="D112" s="26" t="s">
        <v>131</v>
      </c>
      <c r="E112" s="26" t="s">
        <v>1445</v>
      </c>
      <c r="F112" s="26">
        <v>62927</v>
      </c>
      <c r="G112" s="84">
        <v>2</v>
      </c>
      <c r="H112" s="22" t="s">
        <v>289</v>
      </c>
      <c r="I112" s="26"/>
      <c r="J112" s="22"/>
      <c r="K112" s="22" t="s">
        <v>42</v>
      </c>
      <c r="L112" s="94" t="s">
        <v>1229</v>
      </c>
      <c r="M112" s="90" t="s">
        <v>1230</v>
      </c>
      <c r="N112" s="111" t="s">
        <v>1231</v>
      </c>
      <c r="O112" s="90" t="s">
        <v>1232</v>
      </c>
      <c r="P112" s="22" t="s">
        <v>42</v>
      </c>
      <c r="Q112" s="24"/>
      <c r="R112" s="54"/>
      <c r="T112" s="14"/>
      <c r="U112" s="14"/>
      <c r="V112" s="14"/>
      <c r="W112" s="14"/>
      <c r="X112" s="14"/>
      <c r="Y112" s="14"/>
    </row>
    <row r="113" spans="1:25" ht="24.95" customHeight="1">
      <c r="B113" s="20" t="s">
        <v>6</v>
      </c>
      <c r="C113" s="209" t="s">
        <v>132</v>
      </c>
      <c r="D113" s="22" t="s">
        <v>133</v>
      </c>
      <c r="E113" s="26" t="s">
        <v>390</v>
      </c>
      <c r="F113" s="26">
        <v>55511</v>
      </c>
      <c r="G113" s="84">
        <v>9</v>
      </c>
      <c r="H113" s="22" t="s">
        <v>278</v>
      </c>
      <c r="I113" s="22" t="s">
        <v>47</v>
      </c>
      <c r="J113" s="22" t="s">
        <v>47</v>
      </c>
      <c r="K113" s="22" t="s">
        <v>48</v>
      </c>
      <c r="L113" s="85" t="s">
        <v>744</v>
      </c>
      <c r="M113" s="85" t="s">
        <v>745</v>
      </c>
      <c r="N113" s="85" t="s">
        <v>746</v>
      </c>
      <c r="O113" s="85"/>
      <c r="P113" s="85" t="s">
        <v>187</v>
      </c>
      <c r="Q113" s="24"/>
      <c r="R113" s="42" t="s">
        <v>389</v>
      </c>
      <c r="T113" s="14"/>
      <c r="U113" s="14"/>
      <c r="V113" s="14"/>
      <c r="W113" s="14"/>
      <c r="X113" s="14"/>
      <c r="Y113" s="14"/>
    </row>
    <row r="114" spans="1:25" ht="24.95" customHeight="1">
      <c r="B114" s="20" t="s">
        <v>6</v>
      </c>
      <c r="C114" s="210"/>
      <c r="D114" s="22" t="s">
        <v>134</v>
      </c>
      <c r="E114" s="26" t="s">
        <v>392</v>
      </c>
      <c r="F114" s="26">
        <v>55511</v>
      </c>
      <c r="G114" s="84">
        <v>5</v>
      </c>
      <c r="H114" s="22" t="s">
        <v>278</v>
      </c>
      <c r="I114" s="22" t="s">
        <v>47</v>
      </c>
      <c r="J114" s="22" t="s">
        <v>47</v>
      </c>
      <c r="K114" s="22" t="s">
        <v>135</v>
      </c>
      <c r="L114" s="85" t="s">
        <v>747</v>
      </c>
      <c r="M114" s="85" t="s">
        <v>747</v>
      </c>
      <c r="N114" s="85" t="s">
        <v>747</v>
      </c>
      <c r="O114" s="85"/>
      <c r="P114" s="85" t="s">
        <v>391</v>
      </c>
      <c r="Q114" s="24"/>
      <c r="R114" s="42" t="s">
        <v>389</v>
      </c>
      <c r="T114" s="14"/>
      <c r="U114" s="14"/>
      <c r="V114" s="14"/>
      <c r="W114" s="14"/>
      <c r="X114" s="14"/>
      <c r="Y114" s="14"/>
    </row>
    <row r="115" spans="1:25" ht="24.95" customHeight="1">
      <c r="B115" s="20" t="s">
        <v>90</v>
      </c>
      <c r="C115" s="209" t="s">
        <v>136</v>
      </c>
      <c r="D115" s="22" t="s">
        <v>138</v>
      </c>
      <c r="E115" s="26" t="s">
        <v>397</v>
      </c>
      <c r="F115" s="26">
        <v>55511</v>
      </c>
      <c r="G115" s="84">
        <v>3</v>
      </c>
      <c r="H115" s="22" t="s">
        <v>278</v>
      </c>
      <c r="I115" s="22" t="s">
        <v>47</v>
      </c>
      <c r="J115" s="22" t="s">
        <v>47</v>
      </c>
      <c r="K115" s="22" t="s">
        <v>139</v>
      </c>
      <c r="L115" s="23" t="s">
        <v>752</v>
      </c>
      <c r="M115" s="94" t="s">
        <v>753</v>
      </c>
      <c r="N115" s="94" t="s">
        <v>754</v>
      </c>
      <c r="O115" s="94" t="s">
        <v>755</v>
      </c>
      <c r="P115" s="94"/>
      <c r="Q115" s="24"/>
      <c r="R115" s="42" t="s">
        <v>147</v>
      </c>
      <c r="S115" s="15"/>
      <c r="T115" s="15" t="s">
        <v>398</v>
      </c>
      <c r="U115" s="14"/>
      <c r="V115" s="15"/>
      <c r="W115" s="14"/>
      <c r="X115" s="14"/>
      <c r="Y115" s="14"/>
    </row>
    <row r="116" spans="1:25" ht="24.95" customHeight="1">
      <c r="B116" s="20" t="s">
        <v>6</v>
      </c>
      <c r="C116" s="220"/>
      <c r="D116" s="22" t="s">
        <v>137</v>
      </c>
      <c r="E116" s="26" t="s">
        <v>394</v>
      </c>
      <c r="F116" s="26">
        <v>55511</v>
      </c>
      <c r="G116" s="84">
        <v>12</v>
      </c>
      <c r="H116" s="22" t="s">
        <v>278</v>
      </c>
      <c r="I116" s="22" t="s">
        <v>395</v>
      </c>
      <c r="J116" s="22" t="s">
        <v>47</v>
      </c>
      <c r="K116" s="22" t="s">
        <v>48</v>
      </c>
      <c r="L116" s="94" t="s">
        <v>748</v>
      </c>
      <c r="M116" s="94" t="s">
        <v>749</v>
      </c>
      <c r="N116" s="94" t="s">
        <v>750</v>
      </c>
      <c r="O116" s="94" t="s">
        <v>751</v>
      </c>
      <c r="P116" s="85" t="s">
        <v>325</v>
      </c>
      <c r="Q116" s="24">
        <v>3.14</v>
      </c>
      <c r="R116" s="42" t="s">
        <v>147</v>
      </c>
      <c r="S116" s="15" t="s">
        <v>393</v>
      </c>
      <c r="T116" s="14" t="s">
        <v>396</v>
      </c>
      <c r="U116" s="14"/>
      <c r="V116" s="15"/>
      <c r="W116" s="14"/>
      <c r="X116" s="14"/>
      <c r="Y116" s="14"/>
    </row>
    <row r="117" spans="1:25" ht="24.95" customHeight="1">
      <c r="B117" s="20" t="s">
        <v>6</v>
      </c>
      <c r="C117" s="220"/>
      <c r="D117" s="22" t="s">
        <v>142</v>
      </c>
      <c r="E117" s="26" t="s">
        <v>401</v>
      </c>
      <c r="F117" s="26">
        <v>55511</v>
      </c>
      <c r="G117" s="84">
        <v>2</v>
      </c>
      <c r="H117" s="22" t="s">
        <v>278</v>
      </c>
      <c r="I117" s="22"/>
      <c r="J117" s="22"/>
      <c r="K117" s="22" t="s">
        <v>143</v>
      </c>
      <c r="L117" s="85" t="s">
        <v>760</v>
      </c>
      <c r="M117" s="85" t="s">
        <v>761</v>
      </c>
      <c r="N117" s="85" t="s">
        <v>762</v>
      </c>
      <c r="O117" s="85" t="s">
        <v>47</v>
      </c>
      <c r="P117" s="85"/>
      <c r="Q117" s="24"/>
      <c r="R117" s="42" t="s">
        <v>147</v>
      </c>
      <c r="T117" s="14"/>
      <c r="U117" s="14"/>
      <c r="V117" s="15"/>
      <c r="W117" s="14"/>
      <c r="X117" s="14"/>
      <c r="Y117" s="14"/>
    </row>
    <row r="118" spans="1:25" ht="24.95" customHeight="1">
      <c r="B118" s="28" t="s">
        <v>6</v>
      </c>
      <c r="C118" s="210"/>
      <c r="D118" s="29" t="s">
        <v>140</v>
      </c>
      <c r="E118" s="26" t="s">
        <v>400</v>
      </c>
      <c r="F118" s="26">
        <v>55511</v>
      </c>
      <c r="G118" s="84">
        <v>8</v>
      </c>
      <c r="H118" s="29" t="s">
        <v>278</v>
      </c>
      <c r="I118" s="29" t="s">
        <v>47</v>
      </c>
      <c r="J118" s="29" t="s">
        <v>47</v>
      </c>
      <c r="K118" s="29" t="s">
        <v>141</v>
      </c>
      <c r="L118" s="94" t="s">
        <v>756</v>
      </c>
      <c r="M118" s="94" t="s">
        <v>757</v>
      </c>
      <c r="N118" s="94" t="s">
        <v>758</v>
      </c>
      <c r="O118" s="94" t="s">
        <v>759</v>
      </c>
      <c r="P118" s="85" t="s">
        <v>399</v>
      </c>
      <c r="Q118" s="32">
        <v>4.0599999999999996</v>
      </c>
      <c r="R118" s="43" t="s">
        <v>147</v>
      </c>
      <c r="S118" s="15"/>
      <c r="T118" s="14"/>
      <c r="U118" s="14"/>
      <c r="V118" s="15"/>
      <c r="W118" s="14"/>
      <c r="X118" s="14"/>
      <c r="Y118" s="14"/>
    </row>
    <row r="119" spans="1:25" ht="24.95" customHeight="1">
      <c r="A119" s="113" t="s">
        <v>1221</v>
      </c>
      <c r="B119" s="20" t="s">
        <v>6</v>
      </c>
      <c r="C119" s="110" t="s">
        <v>809</v>
      </c>
      <c r="D119" s="22" t="s">
        <v>1233</v>
      </c>
      <c r="E119" s="26" t="s">
        <v>1223</v>
      </c>
      <c r="F119" s="26">
        <v>63015</v>
      </c>
      <c r="G119" s="84">
        <v>0</v>
      </c>
      <c r="H119" s="29" t="s">
        <v>278</v>
      </c>
      <c r="I119" s="29" t="s">
        <v>47</v>
      </c>
      <c r="J119" s="29" t="s">
        <v>47</v>
      </c>
      <c r="K119" s="22" t="s">
        <v>1237</v>
      </c>
      <c r="L119" s="85"/>
      <c r="M119" s="85"/>
      <c r="N119" s="85"/>
      <c r="O119" s="85"/>
      <c r="P119" s="22" t="s">
        <v>1237</v>
      </c>
      <c r="Q119" s="24"/>
      <c r="R119" s="45"/>
      <c r="T119" s="14"/>
      <c r="U119" s="14"/>
      <c r="V119" s="15"/>
      <c r="W119" s="14"/>
      <c r="X119" s="14"/>
      <c r="Y119" s="14"/>
    </row>
    <row r="120" spans="1:25" ht="24.95" customHeight="1">
      <c r="A120" s="113" t="s">
        <v>1221</v>
      </c>
      <c r="B120" s="20" t="s">
        <v>6</v>
      </c>
      <c r="C120" s="110" t="s">
        <v>502</v>
      </c>
      <c r="D120" s="22" t="s">
        <v>1234</v>
      </c>
      <c r="E120" s="26" t="s">
        <v>1223</v>
      </c>
      <c r="F120" s="26">
        <v>62121</v>
      </c>
      <c r="G120" s="84">
        <v>0</v>
      </c>
      <c r="H120" s="29" t="s">
        <v>278</v>
      </c>
      <c r="I120" s="29" t="s">
        <v>47</v>
      </c>
      <c r="J120" s="29" t="s">
        <v>47</v>
      </c>
      <c r="K120" s="22" t="s">
        <v>1224</v>
      </c>
      <c r="L120" s="85"/>
      <c r="M120" s="85"/>
      <c r="N120" s="85"/>
      <c r="O120" s="85"/>
      <c r="P120" s="22" t="s">
        <v>1310</v>
      </c>
      <c r="Q120" s="24"/>
      <c r="R120" s="45"/>
      <c r="T120" s="14"/>
      <c r="U120" s="14"/>
      <c r="V120" s="15"/>
      <c r="W120" s="14"/>
      <c r="X120" s="14"/>
      <c r="Y120" s="14"/>
    </row>
    <row r="121" spans="1:25" ht="24.95" customHeight="1">
      <c r="B121" s="20" t="s">
        <v>10</v>
      </c>
      <c r="C121" s="83" t="s">
        <v>144</v>
      </c>
      <c r="D121" s="22" t="s">
        <v>145</v>
      </c>
      <c r="E121" s="26" t="s">
        <v>293</v>
      </c>
      <c r="F121" s="26">
        <v>55511</v>
      </c>
      <c r="G121" s="84">
        <v>7</v>
      </c>
      <c r="H121" s="22" t="s">
        <v>272</v>
      </c>
      <c r="I121" s="29" t="s">
        <v>47</v>
      </c>
      <c r="J121" s="29" t="s">
        <v>47</v>
      </c>
      <c r="K121" s="22" t="s">
        <v>146</v>
      </c>
      <c r="L121" s="23" t="s">
        <v>763</v>
      </c>
      <c r="M121" s="23"/>
      <c r="N121" s="23"/>
      <c r="O121" s="23"/>
      <c r="P121" s="85" t="s">
        <v>187</v>
      </c>
      <c r="Q121" s="24">
        <v>2.0099999999999998</v>
      </c>
      <c r="R121" s="219" t="s">
        <v>147</v>
      </c>
      <c r="T121" s="14"/>
      <c r="U121" s="14"/>
      <c r="V121" s="14"/>
      <c r="W121" s="14"/>
      <c r="X121" s="14"/>
      <c r="Y121" s="14"/>
    </row>
    <row r="122" spans="1:25" ht="24.95" customHeight="1">
      <c r="B122" s="20" t="s">
        <v>10</v>
      </c>
      <c r="C122" s="209" t="s">
        <v>147</v>
      </c>
      <c r="D122" s="22" t="s">
        <v>148</v>
      </c>
      <c r="E122" s="26" t="s">
        <v>301</v>
      </c>
      <c r="F122" s="26">
        <v>55511</v>
      </c>
      <c r="G122" s="84">
        <v>3</v>
      </c>
      <c r="H122" s="22" t="s">
        <v>272</v>
      </c>
      <c r="I122" s="22" t="s">
        <v>402</v>
      </c>
      <c r="J122" s="22" t="s">
        <v>403</v>
      </c>
      <c r="K122" s="22" t="s">
        <v>149</v>
      </c>
      <c r="L122" s="23" t="s">
        <v>763</v>
      </c>
      <c r="M122" s="23"/>
      <c r="N122" s="23"/>
      <c r="O122" s="23"/>
      <c r="P122" s="85" t="s">
        <v>149</v>
      </c>
      <c r="Q122" s="24">
        <v>1</v>
      </c>
      <c r="R122" s="211"/>
      <c r="T122" s="14"/>
      <c r="U122" s="14"/>
      <c r="V122" s="14"/>
      <c r="W122" s="14"/>
      <c r="X122" s="14"/>
      <c r="Y122" s="14"/>
    </row>
    <row r="123" spans="1:25" ht="24.95" customHeight="1">
      <c r="B123" s="20" t="s">
        <v>6</v>
      </c>
      <c r="C123" s="220"/>
      <c r="D123" s="22" t="s">
        <v>150</v>
      </c>
      <c r="E123" s="26" t="s">
        <v>322</v>
      </c>
      <c r="F123" s="26">
        <v>55511</v>
      </c>
      <c r="G123" s="84">
        <v>6</v>
      </c>
      <c r="H123" s="22" t="s">
        <v>278</v>
      </c>
      <c r="I123" s="22"/>
      <c r="J123" s="22"/>
      <c r="K123" s="22" t="s">
        <v>151</v>
      </c>
      <c r="L123" s="23" t="s">
        <v>764</v>
      </c>
      <c r="M123" s="23"/>
      <c r="N123" s="23"/>
      <c r="O123" s="23"/>
      <c r="P123" s="23" t="s">
        <v>404</v>
      </c>
      <c r="Q123" s="24">
        <v>3.54</v>
      </c>
      <c r="R123" s="212"/>
      <c r="T123" s="14"/>
      <c r="U123" s="14"/>
      <c r="V123" s="15"/>
      <c r="W123" s="14"/>
      <c r="X123" s="14"/>
      <c r="Y123" s="14"/>
    </row>
    <row r="124" spans="1:25" ht="24.95" customHeight="1">
      <c r="B124" s="20" t="s">
        <v>6</v>
      </c>
      <c r="C124" s="210"/>
      <c r="D124" s="22" t="s">
        <v>152</v>
      </c>
      <c r="E124" s="26" t="s">
        <v>406</v>
      </c>
      <c r="F124" s="26">
        <v>55511</v>
      </c>
      <c r="G124" s="84">
        <v>2</v>
      </c>
      <c r="H124" s="22" t="s">
        <v>278</v>
      </c>
      <c r="I124" s="22"/>
      <c r="J124" s="22"/>
      <c r="K124" s="22" t="s">
        <v>153</v>
      </c>
      <c r="L124" s="23" t="s">
        <v>765</v>
      </c>
      <c r="M124" s="23"/>
      <c r="N124" s="23"/>
      <c r="O124" s="23"/>
      <c r="P124" s="23" t="s">
        <v>405</v>
      </c>
      <c r="Q124" s="24"/>
      <c r="R124" s="54"/>
      <c r="T124" s="14"/>
      <c r="U124" s="14"/>
      <c r="V124" s="15"/>
      <c r="W124" s="14"/>
      <c r="X124" s="14"/>
      <c r="Y124" s="14"/>
    </row>
    <row r="125" spans="1:25" ht="24.95" customHeight="1">
      <c r="B125" s="28" t="s">
        <v>6</v>
      </c>
      <c r="C125" s="103" t="s">
        <v>154</v>
      </c>
      <c r="D125" s="29" t="s">
        <v>155</v>
      </c>
      <c r="E125" s="29" t="s">
        <v>408</v>
      </c>
      <c r="F125" s="29">
        <v>54790</v>
      </c>
      <c r="G125" s="84">
        <v>8</v>
      </c>
      <c r="H125" s="29" t="s">
        <v>278</v>
      </c>
      <c r="I125" s="29"/>
      <c r="J125" s="38"/>
      <c r="K125" s="29"/>
      <c r="L125" s="23" t="s">
        <v>766</v>
      </c>
      <c r="M125" s="23" t="s">
        <v>767</v>
      </c>
      <c r="N125" s="23"/>
      <c r="O125" s="23"/>
      <c r="P125" s="85" t="s">
        <v>187</v>
      </c>
      <c r="Q125" s="31">
        <v>1.1399999999999999</v>
      </c>
      <c r="R125" s="31" t="s">
        <v>407</v>
      </c>
      <c r="T125" s="14"/>
      <c r="U125" s="14"/>
      <c r="V125" s="14"/>
      <c r="W125" s="14"/>
      <c r="X125" s="14"/>
      <c r="Y125" s="14"/>
    </row>
    <row r="126" spans="1:25" ht="24.95" customHeight="1">
      <c r="A126" s="113" t="s">
        <v>1221</v>
      </c>
      <c r="B126" s="20" t="s">
        <v>6</v>
      </c>
      <c r="C126" s="147" t="s">
        <v>407</v>
      </c>
      <c r="D126" s="29" t="s">
        <v>1235</v>
      </c>
      <c r="E126" s="29" t="s">
        <v>1236</v>
      </c>
      <c r="F126" s="29">
        <v>63015</v>
      </c>
      <c r="G126" s="84">
        <v>0</v>
      </c>
      <c r="H126" s="29" t="s">
        <v>278</v>
      </c>
      <c r="I126" s="29" t="s">
        <v>47</v>
      </c>
      <c r="J126" s="29" t="s">
        <v>47</v>
      </c>
      <c r="K126" s="22" t="s">
        <v>1237</v>
      </c>
      <c r="L126" s="23"/>
      <c r="M126" s="23"/>
      <c r="N126" s="23"/>
      <c r="O126" s="23"/>
      <c r="P126" s="22" t="s">
        <v>1237</v>
      </c>
      <c r="Q126" s="31"/>
      <c r="R126" s="31"/>
      <c r="T126" s="14"/>
      <c r="U126" s="14"/>
      <c r="V126" s="14"/>
      <c r="W126" s="14"/>
      <c r="X126" s="14"/>
      <c r="Y126" s="14"/>
    </row>
    <row r="127" spans="1:25" ht="24.95" customHeight="1">
      <c r="A127" s="113" t="s">
        <v>1221</v>
      </c>
      <c r="B127" s="28" t="s">
        <v>6</v>
      </c>
      <c r="C127" s="147" t="s">
        <v>940</v>
      </c>
      <c r="D127" s="29" t="s">
        <v>1238</v>
      </c>
      <c r="E127" s="29" t="s">
        <v>1236</v>
      </c>
      <c r="F127" s="29">
        <v>62121</v>
      </c>
      <c r="G127" s="84">
        <v>0</v>
      </c>
      <c r="H127" s="29" t="s">
        <v>278</v>
      </c>
      <c r="I127" s="29" t="s">
        <v>47</v>
      </c>
      <c r="J127" s="29" t="s">
        <v>47</v>
      </c>
      <c r="K127" s="22" t="s">
        <v>1224</v>
      </c>
      <c r="L127" s="23"/>
      <c r="M127" s="23"/>
      <c r="N127" s="23"/>
      <c r="O127" s="23"/>
      <c r="P127" s="22" t="s">
        <v>1310</v>
      </c>
      <c r="Q127" s="31"/>
      <c r="R127" s="31"/>
      <c r="T127" s="14"/>
      <c r="U127" s="14"/>
      <c r="V127" s="14"/>
      <c r="W127" s="14"/>
      <c r="X127" s="14"/>
      <c r="Y127" s="14"/>
    </row>
    <row r="128" spans="1:25" s="63" customFormat="1" ht="24.95" customHeight="1">
      <c r="B128" s="56" t="s">
        <v>10</v>
      </c>
      <c r="C128" s="223" t="s">
        <v>156</v>
      </c>
      <c r="D128" s="64" t="s">
        <v>157</v>
      </c>
      <c r="E128" s="64"/>
      <c r="F128" s="64"/>
      <c r="G128" s="64"/>
      <c r="H128" s="64" t="s">
        <v>411</v>
      </c>
      <c r="I128" s="64" t="s">
        <v>412</v>
      </c>
      <c r="J128" s="64" t="s">
        <v>413</v>
      </c>
      <c r="K128" s="64"/>
      <c r="L128" s="65">
        <v>1.1100000000000001</v>
      </c>
      <c r="M128" s="65"/>
      <c r="N128" s="65"/>
      <c r="O128" s="65"/>
      <c r="P128" s="65"/>
      <c r="Q128" s="66">
        <v>1.1100000000000001</v>
      </c>
      <c r="R128" s="67"/>
      <c r="S128" s="64" t="s">
        <v>410</v>
      </c>
      <c r="T128" s="62"/>
      <c r="U128" s="62"/>
      <c r="V128" s="62"/>
      <c r="W128" s="62"/>
      <c r="X128" s="62"/>
      <c r="Y128" s="62"/>
    </row>
    <row r="129" spans="1:25" s="63" customFormat="1" ht="24.95" customHeight="1">
      <c r="B129" s="56" t="s">
        <v>6</v>
      </c>
      <c r="C129" s="224"/>
      <c r="D129" s="68" t="s">
        <v>158</v>
      </c>
      <c r="E129" s="68"/>
      <c r="F129" s="68"/>
      <c r="G129" s="68"/>
      <c r="H129" s="64" t="s">
        <v>414</v>
      </c>
      <c r="I129" s="64" t="s">
        <v>47</v>
      </c>
      <c r="J129" s="69" t="s">
        <v>47</v>
      </c>
      <c r="K129" s="64" t="s">
        <v>159</v>
      </c>
      <c r="L129" s="65">
        <v>2</v>
      </c>
      <c r="M129" s="65"/>
      <c r="N129" s="65"/>
      <c r="O129" s="65"/>
      <c r="P129" s="65"/>
      <c r="Q129" s="66"/>
      <c r="R129" s="67"/>
      <c r="S129" s="64" t="s">
        <v>410</v>
      </c>
      <c r="T129" s="62"/>
      <c r="U129" s="62"/>
      <c r="V129" s="62"/>
      <c r="W129" s="62"/>
      <c r="X129" s="62"/>
      <c r="Y129" s="62"/>
    </row>
    <row r="130" spans="1:25" s="18" customFormat="1" ht="24.95" customHeight="1">
      <c r="B130" s="20" t="s">
        <v>6</v>
      </c>
      <c r="C130" s="76" t="s">
        <v>160</v>
      </c>
      <c r="D130" s="77" t="s">
        <v>161</v>
      </c>
      <c r="E130" s="77" t="s">
        <v>417</v>
      </c>
      <c r="F130" s="77" t="s">
        <v>47</v>
      </c>
      <c r="G130" s="78"/>
      <c r="H130" s="77" t="s">
        <v>414</v>
      </c>
      <c r="I130" s="77" t="s">
        <v>418</v>
      </c>
      <c r="J130" s="79" t="s">
        <v>47</v>
      </c>
      <c r="K130" s="77"/>
      <c r="L130" s="80">
        <v>0.04</v>
      </c>
      <c r="M130" s="80"/>
      <c r="N130" s="80"/>
      <c r="O130" s="80"/>
      <c r="P130" s="80"/>
      <c r="Q130" s="80">
        <v>0.04</v>
      </c>
      <c r="R130" s="80" t="s">
        <v>415</v>
      </c>
      <c r="S130" s="96" t="s">
        <v>416</v>
      </c>
      <c r="T130" s="14"/>
      <c r="U130" s="14"/>
      <c r="V130" s="14"/>
      <c r="W130" s="14"/>
      <c r="X130" s="14"/>
      <c r="Y130" s="14"/>
    </row>
    <row r="131" spans="1:25" ht="24.95" customHeight="1">
      <c r="B131" s="28" t="s">
        <v>6</v>
      </c>
      <c r="C131" s="33" t="s">
        <v>162</v>
      </c>
      <c r="D131" s="22" t="s">
        <v>163</v>
      </c>
      <c r="E131" s="22" t="s">
        <v>301</v>
      </c>
      <c r="F131" s="22">
        <v>54378</v>
      </c>
      <c r="G131" s="84">
        <v>4</v>
      </c>
      <c r="H131" s="22" t="s">
        <v>419</v>
      </c>
      <c r="I131" s="22"/>
      <c r="J131" s="25" t="s">
        <v>47</v>
      </c>
      <c r="K131" s="22"/>
      <c r="L131" s="85" t="s">
        <v>47</v>
      </c>
      <c r="M131" s="85"/>
      <c r="N131" s="85"/>
      <c r="O131" s="85"/>
      <c r="P131" s="85"/>
      <c r="Q131" s="23">
        <v>1.01</v>
      </c>
      <c r="R131" s="23" t="s">
        <v>162</v>
      </c>
      <c r="T131" s="14"/>
      <c r="U131" s="14"/>
      <c r="V131" s="14"/>
      <c r="W131" s="14"/>
      <c r="X131" s="14"/>
      <c r="Y131" s="14"/>
    </row>
    <row r="132" spans="1:25" ht="24.95" customHeight="1">
      <c r="B132" s="20" t="s">
        <v>6</v>
      </c>
      <c r="C132" s="33" t="s">
        <v>164</v>
      </c>
      <c r="D132" s="22" t="s">
        <v>165</v>
      </c>
      <c r="E132" s="22"/>
      <c r="F132" s="22"/>
      <c r="G132" s="84"/>
      <c r="H132" s="22" t="s">
        <v>414</v>
      </c>
      <c r="I132" s="22"/>
      <c r="J132" s="25"/>
      <c r="K132" s="22"/>
      <c r="L132" s="85"/>
      <c r="M132" s="85"/>
      <c r="N132" s="85"/>
      <c r="O132" s="85"/>
      <c r="P132" s="85"/>
      <c r="Q132" s="23"/>
      <c r="R132" s="23"/>
      <c r="T132" s="14"/>
      <c r="U132" s="14"/>
      <c r="V132" s="14"/>
      <c r="W132" s="14"/>
      <c r="X132" s="14"/>
      <c r="Y132" s="14"/>
    </row>
    <row r="133" spans="1:25" ht="24.95" customHeight="1">
      <c r="B133" s="20" t="s">
        <v>6</v>
      </c>
      <c r="C133" s="76" t="s">
        <v>166</v>
      </c>
      <c r="D133" s="77" t="s">
        <v>167</v>
      </c>
      <c r="E133" s="77" t="s">
        <v>422</v>
      </c>
      <c r="F133" s="77" t="s">
        <v>47</v>
      </c>
      <c r="G133" s="78">
        <v>44470</v>
      </c>
      <c r="H133" s="77" t="s">
        <v>414</v>
      </c>
      <c r="I133" s="77"/>
      <c r="J133" s="79"/>
      <c r="K133" s="77"/>
      <c r="L133" s="80">
        <v>0.05</v>
      </c>
      <c r="M133" s="80"/>
      <c r="N133" s="80"/>
      <c r="O133" s="80"/>
      <c r="P133" s="80"/>
      <c r="Q133" s="80">
        <v>0.05</v>
      </c>
      <c r="R133" s="80" t="s">
        <v>420</v>
      </c>
      <c r="S133" s="96" t="s">
        <v>421</v>
      </c>
      <c r="T133" s="14"/>
      <c r="U133" s="14"/>
      <c r="V133" s="14"/>
      <c r="W133" s="14"/>
      <c r="X133" s="14"/>
      <c r="Y133" s="14"/>
    </row>
    <row r="134" spans="1:25" ht="24.95" customHeight="1">
      <c r="B134" s="28" t="s">
        <v>6</v>
      </c>
      <c r="C134" s="33" t="s">
        <v>168</v>
      </c>
      <c r="D134" s="22" t="s">
        <v>169</v>
      </c>
      <c r="E134" s="22" t="s">
        <v>316</v>
      </c>
      <c r="F134" s="22">
        <v>53624</v>
      </c>
      <c r="G134" s="84">
        <v>3</v>
      </c>
      <c r="H134" s="22" t="s">
        <v>414</v>
      </c>
      <c r="I134" s="22"/>
      <c r="J134" s="25"/>
      <c r="K134" s="22"/>
      <c r="L134" s="23" t="s">
        <v>768</v>
      </c>
      <c r="M134" s="23"/>
      <c r="N134" s="23"/>
      <c r="O134" s="23"/>
      <c r="P134" s="115" t="s">
        <v>187</v>
      </c>
      <c r="Q134" s="23">
        <v>1</v>
      </c>
      <c r="R134" s="23" t="s">
        <v>168</v>
      </c>
      <c r="T134" s="14"/>
      <c r="U134" s="14"/>
      <c r="V134" s="14"/>
      <c r="W134" s="14"/>
      <c r="X134" s="14"/>
      <c r="Y134" s="14"/>
    </row>
    <row r="135" spans="1:25" ht="24.95" customHeight="1">
      <c r="B135" s="20" t="s">
        <v>6</v>
      </c>
      <c r="C135" s="33" t="s">
        <v>170</v>
      </c>
      <c r="D135" s="22" t="s">
        <v>171</v>
      </c>
      <c r="E135" s="22"/>
      <c r="F135" s="22"/>
      <c r="G135" s="84"/>
      <c r="H135" s="22" t="s">
        <v>414</v>
      </c>
      <c r="I135" s="22"/>
      <c r="J135" s="25"/>
      <c r="K135" s="22"/>
      <c r="L135" s="23" t="s">
        <v>1350</v>
      </c>
      <c r="M135" s="23"/>
      <c r="N135" s="23"/>
      <c r="O135" s="23"/>
      <c r="P135" s="149" t="s">
        <v>187</v>
      </c>
      <c r="Q135" s="23"/>
      <c r="R135" s="23"/>
      <c r="T135" s="14"/>
      <c r="U135" s="14"/>
      <c r="V135" s="14"/>
      <c r="W135" s="14"/>
      <c r="X135" s="14"/>
      <c r="Y135" s="14"/>
    </row>
    <row r="136" spans="1:25" ht="24.95" customHeight="1">
      <c r="B136" s="112" t="s">
        <v>49</v>
      </c>
      <c r="C136" s="109" t="s">
        <v>172</v>
      </c>
      <c r="D136" s="22" t="s">
        <v>173</v>
      </c>
      <c r="E136" s="22"/>
      <c r="F136" s="22"/>
      <c r="G136" s="22"/>
      <c r="H136" s="22" t="s">
        <v>423</v>
      </c>
      <c r="I136" s="22"/>
      <c r="J136" s="25"/>
      <c r="K136" s="22"/>
      <c r="L136" s="23"/>
      <c r="M136" s="23"/>
      <c r="N136" s="23"/>
      <c r="O136" s="23"/>
      <c r="P136" s="23"/>
      <c r="Q136" s="23"/>
      <c r="R136" s="23"/>
      <c r="S136" s="53" t="s">
        <v>424</v>
      </c>
      <c r="T136" s="14"/>
      <c r="U136" s="14"/>
      <c r="V136" s="14"/>
      <c r="W136" s="14"/>
      <c r="X136" s="14"/>
      <c r="Y136" s="14"/>
    </row>
    <row r="137" spans="1:25" ht="24.95" customHeight="1">
      <c r="A137" s="113"/>
      <c r="B137" s="20" t="s">
        <v>6</v>
      </c>
      <c r="C137" s="217" t="s">
        <v>174</v>
      </c>
      <c r="D137" s="22" t="s">
        <v>179</v>
      </c>
      <c r="E137" s="22"/>
      <c r="F137" s="22"/>
      <c r="G137" s="22"/>
      <c r="H137" s="22" t="s">
        <v>278</v>
      </c>
      <c r="I137" s="22"/>
      <c r="J137" s="25"/>
      <c r="K137" s="22" t="s">
        <v>180</v>
      </c>
      <c r="L137" s="23">
        <v>0</v>
      </c>
      <c r="M137" s="23"/>
      <c r="N137" s="23"/>
      <c r="O137" s="23"/>
      <c r="P137" s="23"/>
      <c r="Q137" s="23"/>
      <c r="R137" s="23"/>
      <c r="T137" s="14"/>
      <c r="U137" s="14"/>
      <c r="V137" s="14"/>
      <c r="W137" s="14"/>
      <c r="X137" s="14"/>
      <c r="Y137" s="14"/>
    </row>
    <row r="138" spans="1:25" ht="24.95" customHeight="1">
      <c r="B138" s="20" t="s">
        <v>6</v>
      </c>
      <c r="C138" s="221"/>
      <c r="D138" s="22" t="s">
        <v>175</v>
      </c>
      <c r="E138" s="22"/>
      <c r="F138" s="22"/>
      <c r="G138" s="22"/>
      <c r="H138" s="22" t="s">
        <v>425</v>
      </c>
      <c r="I138" s="22"/>
      <c r="J138" s="25"/>
      <c r="K138" s="22" t="s">
        <v>176</v>
      </c>
      <c r="L138" s="23">
        <v>0</v>
      </c>
      <c r="M138" s="23"/>
      <c r="N138" s="23"/>
      <c r="O138" s="23"/>
      <c r="P138" s="23"/>
      <c r="Q138" s="23"/>
      <c r="R138" s="23"/>
      <c r="T138" s="14"/>
      <c r="U138" s="14"/>
      <c r="V138" s="14"/>
      <c r="W138" s="14"/>
      <c r="X138" s="14"/>
      <c r="Y138" s="14"/>
    </row>
    <row r="139" spans="1:25" ht="24.95" customHeight="1">
      <c r="B139" s="20" t="s">
        <v>1239</v>
      </c>
      <c r="C139" s="221"/>
      <c r="D139" s="22" t="s">
        <v>177</v>
      </c>
      <c r="E139" s="22" t="s">
        <v>1240</v>
      </c>
      <c r="F139" s="22">
        <v>50187</v>
      </c>
      <c r="G139" s="22"/>
      <c r="H139" s="22" t="s">
        <v>426</v>
      </c>
      <c r="I139" s="22"/>
      <c r="J139" s="25"/>
      <c r="K139" s="22" t="s">
        <v>178</v>
      </c>
      <c r="L139" s="23" t="s">
        <v>1241</v>
      </c>
      <c r="M139" s="23"/>
      <c r="N139" s="23"/>
      <c r="O139" s="23"/>
      <c r="P139" s="23" t="s">
        <v>1242</v>
      </c>
      <c r="Q139" s="23"/>
      <c r="R139" s="23"/>
      <c r="T139" s="14"/>
      <c r="U139" s="14"/>
      <c r="V139" s="14"/>
      <c r="W139" s="14"/>
      <c r="X139" s="14"/>
      <c r="Y139" s="14"/>
    </row>
    <row r="140" spans="1:25" ht="24.95" customHeight="1">
      <c r="B140" s="20" t="s">
        <v>6</v>
      </c>
      <c r="C140" s="221"/>
      <c r="D140" s="22" t="s">
        <v>1243</v>
      </c>
      <c r="E140" s="22" t="s">
        <v>1244</v>
      </c>
      <c r="F140" s="22">
        <v>55360</v>
      </c>
      <c r="G140" s="22"/>
      <c r="H140" s="22" t="s">
        <v>426</v>
      </c>
      <c r="I140" s="22"/>
      <c r="J140" s="25"/>
      <c r="K140" s="22" t="s">
        <v>1245</v>
      </c>
      <c r="L140" s="23" t="s">
        <v>1246</v>
      </c>
      <c r="M140" s="23"/>
      <c r="N140" s="23"/>
      <c r="O140" s="23"/>
      <c r="P140" s="23" t="s">
        <v>1247</v>
      </c>
      <c r="Q140" s="23"/>
      <c r="R140" s="23"/>
      <c r="T140" s="14"/>
      <c r="U140" s="14"/>
      <c r="V140" s="14"/>
      <c r="W140" s="14"/>
      <c r="X140" s="14"/>
      <c r="Y140" s="14"/>
    </row>
    <row r="141" spans="1:25" ht="24.95" customHeight="1">
      <c r="A141" s="113" t="s">
        <v>1221</v>
      </c>
      <c r="B141" s="20" t="s">
        <v>1239</v>
      </c>
      <c r="C141" s="221"/>
      <c r="D141" s="22" t="s">
        <v>1248</v>
      </c>
      <c r="E141" s="22" t="s">
        <v>1249</v>
      </c>
      <c r="F141" s="22"/>
      <c r="G141" s="22"/>
      <c r="H141" s="22" t="s">
        <v>426</v>
      </c>
      <c r="I141" s="22" t="s">
        <v>1250</v>
      </c>
      <c r="J141" s="25" t="s">
        <v>47</v>
      </c>
      <c r="K141" s="22" t="s">
        <v>1251</v>
      </c>
      <c r="L141" s="23"/>
      <c r="M141" s="23"/>
      <c r="N141" s="23"/>
      <c r="O141" s="23"/>
      <c r="P141" s="23"/>
      <c r="Q141" s="23"/>
      <c r="R141" s="23"/>
      <c r="T141" s="14"/>
      <c r="U141" s="14"/>
      <c r="V141" s="14"/>
      <c r="W141" s="14"/>
      <c r="X141" s="14"/>
      <c r="Y141" s="14"/>
    </row>
    <row r="142" spans="1:25" ht="24.95" customHeight="1">
      <c r="A142" s="1" t="s">
        <v>1221</v>
      </c>
      <c r="B142" s="20" t="s">
        <v>1239</v>
      </c>
      <c r="C142" s="221"/>
      <c r="D142" s="22" t="s">
        <v>1252</v>
      </c>
      <c r="E142" s="22" t="s">
        <v>1223</v>
      </c>
      <c r="F142" s="22"/>
      <c r="G142" s="22"/>
      <c r="H142" s="22" t="s">
        <v>426</v>
      </c>
      <c r="I142" s="22" t="s">
        <v>1253</v>
      </c>
      <c r="J142" s="25" t="s">
        <v>47</v>
      </c>
      <c r="K142" s="22" t="s">
        <v>1254</v>
      </c>
      <c r="L142" s="23"/>
      <c r="M142" s="23"/>
      <c r="N142" s="23"/>
      <c r="O142" s="23"/>
      <c r="P142" s="23"/>
      <c r="Q142" s="23"/>
      <c r="R142" s="23"/>
      <c r="T142" s="14"/>
      <c r="U142" s="14"/>
      <c r="V142" s="14"/>
      <c r="W142" s="14"/>
      <c r="X142" s="14"/>
      <c r="Y142" s="14"/>
    </row>
    <row r="143" spans="1:25" ht="24.95" customHeight="1">
      <c r="A143" s="1" t="s">
        <v>1221</v>
      </c>
      <c r="B143" s="20" t="s">
        <v>1239</v>
      </c>
      <c r="C143" s="221"/>
      <c r="D143" s="22" t="s">
        <v>1255</v>
      </c>
      <c r="E143" s="22" t="s">
        <v>1256</v>
      </c>
      <c r="F143" s="22"/>
      <c r="G143" s="22"/>
      <c r="H143" s="22" t="s">
        <v>426</v>
      </c>
      <c r="I143" s="22" t="s">
        <v>1257</v>
      </c>
      <c r="J143" s="25" t="s">
        <v>47</v>
      </c>
      <c r="K143" s="22" t="s">
        <v>1258</v>
      </c>
      <c r="L143" s="23"/>
      <c r="M143" s="23"/>
      <c r="N143" s="23"/>
      <c r="O143" s="23"/>
      <c r="P143" s="23"/>
      <c r="Q143" s="23"/>
      <c r="R143" s="23"/>
      <c r="T143" s="14"/>
      <c r="U143" s="14"/>
      <c r="V143" s="14"/>
      <c r="W143" s="14"/>
      <c r="X143" s="14"/>
      <c r="Y143" s="14"/>
    </row>
    <row r="144" spans="1:25" ht="24.95" customHeight="1">
      <c r="A144" s="1" t="s">
        <v>1221</v>
      </c>
      <c r="B144" s="20" t="s">
        <v>1239</v>
      </c>
      <c r="C144" s="218"/>
      <c r="D144" s="22" t="s">
        <v>1259</v>
      </c>
      <c r="E144" s="22" t="s">
        <v>1260</v>
      </c>
      <c r="F144" s="22"/>
      <c r="G144" s="22"/>
      <c r="H144" s="22" t="s">
        <v>426</v>
      </c>
      <c r="I144" s="22" t="s">
        <v>1261</v>
      </c>
      <c r="J144" s="25" t="s">
        <v>47</v>
      </c>
      <c r="K144" s="22" t="s">
        <v>1262</v>
      </c>
      <c r="L144" s="23"/>
      <c r="M144" s="23"/>
      <c r="N144" s="23"/>
      <c r="O144" s="23"/>
      <c r="P144" s="23"/>
      <c r="Q144" s="23"/>
      <c r="R144" s="23"/>
      <c r="T144" s="14"/>
      <c r="U144" s="14"/>
      <c r="V144" s="14"/>
      <c r="W144" s="14"/>
      <c r="X144" s="14"/>
      <c r="Y144" s="14"/>
    </row>
    <row r="145" spans="1:25" ht="24.95" customHeight="1">
      <c r="B145" s="20" t="s">
        <v>6</v>
      </c>
      <c r="C145" s="109" t="s">
        <v>1311</v>
      </c>
      <c r="D145" s="22" t="s">
        <v>181</v>
      </c>
      <c r="E145" s="22" t="s">
        <v>1349</v>
      </c>
      <c r="F145" s="22"/>
      <c r="G145" s="22"/>
      <c r="H145" s="22" t="s">
        <v>426</v>
      </c>
      <c r="I145" s="22"/>
      <c r="J145" s="25"/>
      <c r="K145" s="22"/>
      <c r="L145" s="23"/>
      <c r="M145" s="23"/>
      <c r="N145" s="23"/>
      <c r="O145" s="23"/>
      <c r="P145" s="23"/>
      <c r="Q145" s="23"/>
      <c r="R145" s="23"/>
      <c r="T145" s="14"/>
      <c r="U145" s="14"/>
      <c r="V145" s="14"/>
      <c r="W145" s="14"/>
      <c r="X145" s="14"/>
      <c r="Y145" s="14"/>
    </row>
    <row r="146" spans="1:25" ht="24.95" customHeight="1">
      <c r="B146" s="112" t="s">
        <v>49</v>
      </c>
      <c r="C146" s="109" t="s">
        <v>182</v>
      </c>
      <c r="D146" s="22" t="s">
        <v>1312</v>
      </c>
      <c r="E146" s="22"/>
      <c r="F146" s="22"/>
      <c r="G146" s="22"/>
      <c r="H146" s="22" t="s">
        <v>425</v>
      </c>
      <c r="I146" s="22"/>
      <c r="J146" s="25"/>
      <c r="K146" s="22"/>
      <c r="L146" s="23"/>
      <c r="M146" s="23"/>
      <c r="N146" s="23"/>
      <c r="O146" s="23"/>
      <c r="P146" s="23"/>
      <c r="Q146" s="23"/>
      <c r="R146" s="23"/>
      <c r="T146" s="14"/>
      <c r="U146" s="14"/>
      <c r="V146" s="14"/>
      <c r="W146" s="14"/>
      <c r="X146" s="14"/>
      <c r="Y146" s="14"/>
    </row>
    <row r="147" spans="1:25" s="18" customFormat="1" ht="24.95" customHeight="1">
      <c r="B147" s="20" t="s">
        <v>6</v>
      </c>
      <c r="C147" s="34" t="s">
        <v>183</v>
      </c>
      <c r="D147" s="29" t="s">
        <v>184</v>
      </c>
      <c r="E147" s="29" t="s">
        <v>427</v>
      </c>
      <c r="F147" s="29">
        <v>55134</v>
      </c>
      <c r="G147" s="84">
        <v>8</v>
      </c>
      <c r="H147" s="29" t="s">
        <v>428</v>
      </c>
      <c r="I147" s="29" t="s">
        <v>47</v>
      </c>
      <c r="J147" s="29" t="s">
        <v>47</v>
      </c>
      <c r="K147" s="29"/>
      <c r="L147" s="31" t="s">
        <v>769</v>
      </c>
      <c r="M147" s="31"/>
      <c r="N147" s="31"/>
      <c r="O147" s="31"/>
      <c r="P147" s="95" t="s">
        <v>187</v>
      </c>
      <c r="Q147" s="32">
        <v>1.03</v>
      </c>
      <c r="R147" s="43" t="s">
        <v>183</v>
      </c>
      <c r="S147" s="19"/>
      <c r="T147" s="19"/>
      <c r="U147" s="19"/>
      <c r="V147" s="19"/>
      <c r="W147" s="19"/>
      <c r="X147" s="19"/>
      <c r="Y147" s="19"/>
    </row>
    <row r="148" spans="1:25" ht="24.95" customHeight="1">
      <c r="B148" s="70" t="s">
        <v>10</v>
      </c>
      <c r="C148" s="197" t="s">
        <v>185</v>
      </c>
      <c r="D148" s="22" t="s">
        <v>186</v>
      </c>
      <c r="E148" s="22" t="s">
        <v>427</v>
      </c>
      <c r="F148" s="22">
        <v>55511</v>
      </c>
      <c r="G148" s="84">
        <v>7</v>
      </c>
      <c r="H148" s="25" t="s">
        <v>272</v>
      </c>
      <c r="I148" s="22" t="s">
        <v>429</v>
      </c>
      <c r="J148" s="25" t="s">
        <v>47</v>
      </c>
      <c r="K148" s="22" t="s">
        <v>187</v>
      </c>
      <c r="L148" s="23" t="s">
        <v>770</v>
      </c>
      <c r="M148" s="23"/>
      <c r="N148" s="23"/>
      <c r="O148" s="23"/>
      <c r="P148" s="85" t="s">
        <v>187</v>
      </c>
      <c r="Q148" s="24">
        <v>1.02</v>
      </c>
      <c r="R148" s="222" t="s">
        <v>185</v>
      </c>
      <c r="T148" s="14"/>
      <c r="U148" s="14"/>
      <c r="V148" s="14"/>
      <c r="W148" s="14"/>
      <c r="X148" s="14"/>
      <c r="Y148" s="14"/>
    </row>
    <row r="149" spans="1:25" ht="24.95" customHeight="1">
      <c r="B149" s="70" t="s">
        <v>10</v>
      </c>
      <c r="C149" s="198"/>
      <c r="D149" s="22" t="s">
        <v>188</v>
      </c>
      <c r="E149" s="22" t="s">
        <v>265</v>
      </c>
      <c r="F149" s="22">
        <v>55511</v>
      </c>
      <c r="G149" s="84">
        <v>7</v>
      </c>
      <c r="H149" s="22" t="s">
        <v>278</v>
      </c>
      <c r="I149" s="22" t="s">
        <v>47</v>
      </c>
      <c r="J149" s="27" t="s">
        <v>47</v>
      </c>
      <c r="K149" s="22" t="s">
        <v>189</v>
      </c>
      <c r="L149" s="23" t="s">
        <v>771</v>
      </c>
      <c r="M149" s="23"/>
      <c r="N149" s="23"/>
      <c r="O149" s="23"/>
      <c r="P149" s="85" t="s">
        <v>189</v>
      </c>
      <c r="Q149" s="24">
        <v>2.1</v>
      </c>
      <c r="R149" s="215"/>
      <c r="T149" s="14"/>
      <c r="U149" s="14"/>
      <c r="V149" s="14"/>
      <c r="W149" s="14"/>
      <c r="X149" s="14"/>
      <c r="Y149" s="14"/>
    </row>
    <row r="150" spans="1:25" ht="24.95" customHeight="1">
      <c r="B150" s="70" t="s">
        <v>10</v>
      </c>
      <c r="C150" s="198"/>
      <c r="D150" s="22" t="s">
        <v>190</v>
      </c>
      <c r="E150" s="22" t="s">
        <v>430</v>
      </c>
      <c r="F150" s="22">
        <v>55511</v>
      </c>
      <c r="G150" s="84">
        <v>2</v>
      </c>
      <c r="H150" s="22" t="s">
        <v>278</v>
      </c>
      <c r="I150" s="22" t="s">
        <v>47</v>
      </c>
      <c r="J150" s="27" t="s">
        <v>47</v>
      </c>
      <c r="K150" s="36" t="s">
        <v>191</v>
      </c>
      <c r="L150" s="37" t="s">
        <v>772</v>
      </c>
      <c r="M150" s="23" t="s">
        <v>773</v>
      </c>
      <c r="N150" s="23"/>
      <c r="O150" s="23"/>
      <c r="P150" s="23"/>
      <c r="Q150" s="24"/>
      <c r="R150" s="215"/>
      <c r="T150" s="14"/>
      <c r="U150" s="14"/>
      <c r="V150" s="14"/>
      <c r="W150" s="14"/>
      <c r="X150" s="14"/>
      <c r="Y150" s="14"/>
    </row>
    <row r="151" spans="1:25" ht="24.95" customHeight="1">
      <c r="B151" s="70" t="s">
        <v>6</v>
      </c>
      <c r="C151" s="198"/>
      <c r="D151" s="22" t="s">
        <v>192</v>
      </c>
      <c r="E151" s="29" t="s">
        <v>431</v>
      </c>
      <c r="F151" s="29">
        <v>55581</v>
      </c>
      <c r="G151" s="84">
        <v>7</v>
      </c>
      <c r="H151" s="29" t="s">
        <v>278</v>
      </c>
      <c r="I151" s="29" t="s">
        <v>47</v>
      </c>
      <c r="J151" s="30" t="s">
        <v>47</v>
      </c>
      <c r="K151" s="29" t="s">
        <v>193</v>
      </c>
      <c r="L151" s="31" t="s">
        <v>774</v>
      </c>
      <c r="M151" s="31"/>
      <c r="N151" s="31"/>
      <c r="O151" s="31"/>
      <c r="P151" s="95" t="s">
        <v>193</v>
      </c>
      <c r="Q151" s="32">
        <v>3.04</v>
      </c>
      <c r="R151" s="216"/>
      <c r="T151" s="15"/>
      <c r="U151" s="14"/>
      <c r="V151" s="14"/>
      <c r="W151" s="14"/>
      <c r="X151" s="14"/>
      <c r="Y151" s="14"/>
    </row>
    <row r="152" spans="1:25" ht="24.95" customHeight="1">
      <c r="B152" s="70" t="s">
        <v>10</v>
      </c>
      <c r="C152" s="198"/>
      <c r="D152" s="22" t="s">
        <v>194</v>
      </c>
      <c r="E152" s="29" t="s">
        <v>432</v>
      </c>
      <c r="F152" s="29">
        <v>50466</v>
      </c>
      <c r="G152" s="84">
        <v>1</v>
      </c>
      <c r="H152" s="29" t="s">
        <v>278</v>
      </c>
      <c r="I152" s="29"/>
      <c r="J152" s="30"/>
      <c r="K152" s="29" t="s">
        <v>195</v>
      </c>
      <c r="L152" s="37" t="s">
        <v>775</v>
      </c>
      <c r="M152" s="23" t="s">
        <v>773</v>
      </c>
      <c r="N152" s="31"/>
      <c r="O152" s="31"/>
      <c r="P152" s="31"/>
      <c r="Q152" s="32"/>
      <c r="R152" s="55"/>
      <c r="T152" s="97" t="s">
        <v>433</v>
      </c>
      <c r="U152" s="14"/>
      <c r="V152" s="14"/>
      <c r="W152" s="14"/>
      <c r="X152" s="14"/>
      <c r="Y152" s="14"/>
    </row>
    <row r="153" spans="1:25" ht="24.95" customHeight="1">
      <c r="B153" s="70" t="s">
        <v>90</v>
      </c>
      <c r="C153" s="199"/>
      <c r="D153" s="22" t="s">
        <v>196</v>
      </c>
      <c r="E153" s="22" t="s">
        <v>434</v>
      </c>
      <c r="F153" s="22">
        <v>47519</v>
      </c>
      <c r="G153" s="84">
        <v>1</v>
      </c>
      <c r="H153" s="22" t="s">
        <v>278</v>
      </c>
      <c r="I153" s="22" t="s">
        <v>47</v>
      </c>
      <c r="J153" s="22" t="s">
        <v>47</v>
      </c>
      <c r="K153" s="22" t="s">
        <v>139</v>
      </c>
      <c r="L153" s="23" t="s">
        <v>775</v>
      </c>
      <c r="M153" s="23"/>
      <c r="N153" s="23"/>
      <c r="O153" s="23"/>
      <c r="P153" s="23"/>
      <c r="Q153" s="24"/>
      <c r="R153" s="42"/>
      <c r="S153" s="15"/>
      <c r="T153" s="98" t="s">
        <v>435</v>
      </c>
      <c r="U153" s="14"/>
      <c r="V153" s="15"/>
      <c r="W153" s="14"/>
      <c r="X153" s="14"/>
      <c r="Y153" s="14"/>
    </row>
    <row r="154" spans="1:25" ht="24.95" customHeight="1">
      <c r="B154" s="20" t="s">
        <v>6</v>
      </c>
      <c r="C154" s="33" t="s">
        <v>197</v>
      </c>
      <c r="D154" s="22" t="s">
        <v>198</v>
      </c>
      <c r="E154" s="22" t="s">
        <v>269</v>
      </c>
      <c r="F154" s="22">
        <v>60238</v>
      </c>
      <c r="G154" s="84">
        <v>11</v>
      </c>
      <c r="H154" s="22" t="s">
        <v>436</v>
      </c>
      <c r="I154" s="22" t="s">
        <v>47</v>
      </c>
      <c r="J154" s="22" t="s">
        <v>47</v>
      </c>
      <c r="K154" s="22"/>
      <c r="L154" s="114" t="s">
        <v>1263</v>
      </c>
      <c r="M154" s="23" t="s">
        <v>776</v>
      </c>
      <c r="N154" s="23"/>
      <c r="O154" s="23"/>
      <c r="P154" s="85" t="s">
        <v>187</v>
      </c>
      <c r="Q154" s="24"/>
      <c r="R154" s="42" t="s">
        <v>199</v>
      </c>
      <c r="T154" s="14"/>
      <c r="U154" s="14"/>
      <c r="V154" s="14"/>
      <c r="W154" s="14"/>
      <c r="X154" s="14"/>
      <c r="Y154" s="14"/>
    </row>
    <row r="155" spans="1:25" ht="24.95" customHeight="1">
      <c r="A155" s="4" t="s">
        <v>1313</v>
      </c>
      <c r="B155" s="20" t="s">
        <v>6</v>
      </c>
      <c r="C155" s="33" t="s">
        <v>199</v>
      </c>
      <c r="D155" s="22" t="s">
        <v>200</v>
      </c>
      <c r="E155" s="22" t="s">
        <v>437</v>
      </c>
      <c r="F155" s="22">
        <v>62516</v>
      </c>
      <c r="G155" s="84">
        <v>11</v>
      </c>
      <c r="H155" s="22" t="s">
        <v>436</v>
      </c>
      <c r="I155" s="22" t="s">
        <v>1314</v>
      </c>
      <c r="J155" s="22" t="s">
        <v>47</v>
      </c>
      <c r="K155" s="22" t="s">
        <v>201</v>
      </c>
      <c r="L155" s="23" t="s">
        <v>1264</v>
      </c>
      <c r="M155" s="23"/>
      <c r="N155" s="23"/>
      <c r="O155" s="23"/>
      <c r="P155" s="115" t="s">
        <v>1265</v>
      </c>
      <c r="Q155" s="24"/>
      <c r="R155" s="42"/>
      <c r="T155" s="14"/>
      <c r="U155" s="14"/>
      <c r="V155" s="14"/>
      <c r="W155" s="14"/>
      <c r="X155" s="14"/>
      <c r="Y155" s="14"/>
    </row>
    <row r="156" spans="1:25" ht="24.95" customHeight="1">
      <c r="B156" s="20" t="s">
        <v>6</v>
      </c>
      <c r="C156" s="217" t="s">
        <v>202</v>
      </c>
      <c r="D156" s="26" t="s">
        <v>203</v>
      </c>
      <c r="E156" s="26" t="s">
        <v>301</v>
      </c>
      <c r="F156" s="26">
        <v>55511</v>
      </c>
      <c r="G156" s="84">
        <v>3</v>
      </c>
      <c r="H156" s="22" t="s">
        <v>278</v>
      </c>
      <c r="I156" s="22"/>
      <c r="J156" s="22"/>
      <c r="K156" s="22"/>
      <c r="L156" s="23" t="s">
        <v>777</v>
      </c>
      <c r="M156" s="23"/>
      <c r="N156" s="23"/>
      <c r="O156" s="23"/>
      <c r="P156" s="85" t="s">
        <v>187</v>
      </c>
      <c r="Q156" s="24">
        <v>1.01</v>
      </c>
      <c r="R156" s="222" t="s">
        <v>202</v>
      </c>
      <c r="S156" s="14" t="s">
        <v>438</v>
      </c>
      <c r="T156" s="14" t="s">
        <v>439</v>
      </c>
      <c r="U156" s="14"/>
      <c r="V156" s="14"/>
      <c r="W156" s="14"/>
      <c r="X156" s="14"/>
      <c r="Y156" s="14"/>
    </row>
    <row r="157" spans="1:25" ht="24.95" customHeight="1">
      <c r="B157" s="28" t="s">
        <v>6</v>
      </c>
      <c r="C157" s="218"/>
      <c r="D157" s="39" t="s">
        <v>204</v>
      </c>
      <c r="E157" s="39" t="s">
        <v>441</v>
      </c>
      <c r="F157" s="39">
        <v>55535</v>
      </c>
      <c r="G157" s="84">
        <v>6</v>
      </c>
      <c r="H157" s="29" t="s">
        <v>278</v>
      </c>
      <c r="I157" s="29"/>
      <c r="J157" s="29"/>
      <c r="K157" s="29" t="s">
        <v>141</v>
      </c>
      <c r="L157" s="31" t="s">
        <v>778</v>
      </c>
      <c r="M157" s="31" t="s">
        <v>779</v>
      </c>
      <c r="N157" s="31"/>
      <c r="O157" s="31"/>
      <c r="P157" s="31" t="s">
        <v>440</v>
      </c>
      <c r="Q157" s="32">
        <v>2.0099999999999998</v>
      </c>
      <c r="R157" s="216"/>
      <c r="S157" s="19"/>
      <c r="T157" s="19"/>
      <c r="U157" s="19"/>
      <c r="V157" s="19"/>
      <c r="W157" s="19"/>
      <c r="X157" s="19"/>
      <c r="Y157" s="19"/>
    </row>
    <row r="158" spans="1:25" ht="24.95" customHeight="1">
      <c r="B158" s="20" t="s">
        <v>6</v>
      </c>
      <c r="C158" s="217" t="s">
        <v>205</v>
      </c>
      <c r="D158" s="22" t="s">
        <v>206</v>
      </c>
      <c r="E158" s="22" t="s">
        <v>444</v>
      </c>
      <c r="F158" s="22">
        <v>55511</v>
      </c>
      <c r="G158" s="84">
        <v>3</v>
      </c>
      <c r="H158" s="22" t="s">
        <v>278</v>
      </c>
      <c r="I158" s="22" t="s">
        <v>47</v>
      </c>
      <c r="J158" s="22" t="s">
        <v>47</v>
      </c>
      <c r="K158" s="22" t="s">
        <v>207</v>
      </c>
      <c r="L158" s="23" t="s">
        <v>780</v>
      </c>
      <c r="M158" s="24"/>
      <c r="N158" s="23"/>
      <c r="O158" s="23"/>
      <c r="P158" s="23" t="s">
        <v>442</v>
      </c>
      <c r="Q158" s="24">
        <v>3.1</v>
      </c>
      <c r="R158" s="219" t="s">
        <v>443</v>
      </c>
      <c r="T158" s="14"/>
      <c r="U158" s="14"/>
      <c r="V158" s="14"/>
      <c r="W158" s="14"/>
      <c r="X158" s="14"/>
      <c r="Y158" s="14"/>
    </row>
    <row r="159" spans="1:25" ht="24.95" customHeight="1">
      <c r="B159" s="20" t="s">
        <v>6</v>
      </c>
      <c r="C159" s="218"/>
      <c r="D159" s="22" t="s">
        <v>208</v>
      </c>
      <c r="E159" s="22" t="s">
        <v>445</v>
      </c>
      <c r="F159" s="22">
        <v>55511</v>
      </c>
      <c r="G159" s="84">
        <v>1</v>
      </c>
      <c r="H159" s="22" t="s">
        <v>278</v>
      </c>
      <c r="I159" s="22" t="s">
        <v>47</v>
      </c>
      <c r="J159" s="22" t="s">
        <v>47</v>
      </c>
      <c r="K159" s="22" t="s">
        <v>141</v>
      </c>
      <c r="L159" s="23"/>
      <c r="M159" s="24" t="s">
        <v>781</v>
      </c>
      <c r="N159" s="23"/>
      <c r="O159" s="23"/>
      <c r="P159" s="85" t="s">
        <v>399</v>
      </c>
      <c r="Q159" s="24">
        <v>5</v>
      </c>
      <c r="R159" s="211"/>
      <c r="T159" s="14"/>
      <c r="U159" s="14"/>
      <c r="V159" s="14"/>
      <c r="W159" s="14"/>
      <c r="X159" s="14"/>
      <c r="Y159" s="14"/>
    </row>
    <row r="160" spans="1:25" ht="24.95" customHeight="1">
      <c r="B160" s="20" t="s">
        <v>10</v>
      </c>
      <c r="C160" s="33" t="s">
        <v>209</v>
      </c>
      <c r="D160" s="22" t="s">
        <v>210</v>
      </c>
      <c r="E160" s="22" t="s">
        <v>447</v>
      </c>
      <c r="F160" s="22">
        <v>55511</v>
      </c>
      <c r="G160" s="84">
        <v>15</v>
      </c>
      <c r="H160" s="22" t="s">
        <v>272</v>
      </c>
      <c r="I160" s="22" t="s">
        <v>448</v>
      </c>
      <c r="J160" s="22" t="s">
        <v>449</v>
      </c>
      <c r="K160" s="22"/>
      <c r="L160" s="23" t="s">
        <v>782</v>
      </c>
      <c r="M160" s="23" t="s">
        <v>783</v>
      </c>
      <c r="N160" s="23" t="s">
        <v>784</v>
      </c>
      <c r="O160" s="23"/>
      <c r="P160" s="85" t="s">
        <v>187</v>
      </c>
      <c r="Q160" s="24">
        <v>1.36</v>
      </c>
      <c r="R160" s="211"/>
      <c r="T160" s="14"/>
      <c r="U160" s="14"/>
      <c r="V160" s="14"/>
      <c r="W160" s="14"/>
      <c r="X160" s="14"/>
      <c r="Y160" s="14"/>
    </row>
    <row r="161" spans="1:25" ht="24.95" customHeight="1">
      <c r="B161" s="20" t="s">
        <v>10</v>
      </c>
      <c r="C161" s="217" t="s">
        <v>211</v>
      </c>
      <c r="D161" s="26" t="s">
        <v>212</v>
      </c>
      <c r="E161" s="26" t="s">
        <v>277</v>
      </c>
      <c r="F161" s="26">
        <v>55511</v>
      </c>
      <c r="G161" s="84">
        <v>1</v>
      </c>
      <c r="H161" s="22" t="s">
        <v>272</v>
      </c>
      <c r="I161" s="22" t="s">
        <v>451</v>
      </c>
      <c r="J161" s="22" t="s">
        <v>452</v>
      </c>
      <c r="K161" s="22" t="s">
        <v>213</v>
      </c>
      <c r="L161" s="23" t="s">
        <v>785</v>
      </c>
      <c r="M161" s="23"/>
      <c r="N161" s="23"/>
      <c r="O161" s="23"/>
      <c r="P161" s="23" t="s">
        <v>450</v>
      </c>
      <c r="Q161" s="24"/>
      <c r="R161" s="211"/>
      <c r="T161" s="14"/>
      <c r="U161" s="14"/>
      <c r="V161" s="14"/>
      <c r="W161" s="14"/>
      <c r="X161" s="14"/>
      <c r="Y161" s="14"/>
    </row>
    <row r="162" spans="1:25" ht="24.95" customHeight="1">
      <c r="B162" s="20" t="s">
        <v>10</v>
      </c>
      <c r="C162" s="218"/>
      <c r="D162" s="26" t="s">
        <v>214</v>
      </c>
      <c r="E162" s="26" t="s">
        <v>453</v>
      </c>
      <c r="F162" s="26">
        <v>55511</v>
      </c>
      <c r="G162" s="84">
        <v>1</v>
      </c>
      <c r="H162" s="22" t="s">
        <v>278</v>
      </c>
      <c r="I162" s="22" t="s">
        <v>454</v>
      </c>
      <c r="J162" s="22" t="s">
        <v>455</v>
      </c>
      <c r="K162" s="22" t="s">
        <v>213</v>
      </c>
      <c r="L162" s="23" t="s">
        <v>786</v>
      </c>
      <c r="M162" s="23"/>
      <c r="N162" s="23"/>
      <c r="O162" s="23"/>
      <c r="P162" s="23"/>
      <c r="Q162" s="24">
        <v>4</v>
      </c>
      <c r="R162" s="212"/>
      <c r="T162" s="14"/>
      <c r="U162" s="14"/>
      <c r="V162" s="14"/>
      <c r="W162" s="14"/>
      <c r="X162" s="14"/>
      <c r="Y162" s="14"/>
    </row>
    <row r="163" spans="1:25" s="18" customFormat="1" ht="24.95" customHeight="1">
      <c r="B163" s="20" t="s">
        <v>6</v>
      </c>
      <c r="C163" s="34" t="s">
        <v>215</v>
      </c>
      <c r="D163" s="29" t="s">
        <v>216</v>
      </c>
      <c r="E163" s="29" t="s">
        <v>456</v>
      </c>
      <c r="F163" s="29">
        <v>54790</v>
      </c>
      <c r="G163" s="84">
        <v>6</v>
      </c>
      <c r="H163" s="29" t="s">
        <v>428</v>
      </c>
      <c r="I163" s="29" t="s">
        <v>47</v>
      </c>
      <c r="J163" s="29" t="s">
        <v>47</v>
      </c>
      <c r="K163" s="29"/>
      <c r="L163" s="31" t="s">
        <v>787</v>
      </c>
      <c r="M163" s="31"/>
      <c r="N163" s="31"/>
      <c r="O163" s="31"/>
      <c r="P163" s="95" t="s">
        <v>187</v>
      </c>
      <c r="Q163" s="32">
        <v>2.02</v>
      </c>
      <c r="R163" s="43" t="s">
        <v>215</v>
      </c>
      <c r="S163" s="14"/>
      <c r="T163" s="14"/>
      <c r="U163" s="14"/>
      <c r="V163" s="14"/>
      <c r="W163" s="14"/>
      <c r="X163" s="14"/>
      <c r="Y163" s="14"/>
    </row>
    <row r="164" spans="1:25" ht="24.95" customHeight="1">
      <c r="B164" s="20" t="s">
        <v>10</v>
      </c>
      <c r="C164" s="217" t="s">
        <v>217</v>
      </c>
      <c r="D164" s="22" t="s">
        <v>218</v>
      </c>
      <c r="E164" s="22" t="s">
        <v>458</v>
      </c>
      <c r="F164" s="22">
        <v>55511</v>
      </c>
      <c r="G164" s="84">
        <v>12</v>
      </c>
      <c r="H164" s="22" t="s">
        <v>278</v>
      </c>
      <c r="I164" s="22" t="s">
        <v>47</v>
      </c>
      <c r="J164" s="22" t="s">
        <v>47</v>
      </c>
      <c r="K164" s="22" t="s">
        <v>219</v>
      </c>
      <c r="L164" s="23" t="s">
        <v>788</v>
      </c>
      <c r="M164" s="24"/>
      <c r="N164" s="24"/>
      <c r="O164" s="22" t="s">
        <v>187</v>
      </c>
      <c r="P164" s="83" t="s">
        <v>457</v>
      </c>
      <c r="Q164" s="24">
        <v>1.3</v>
      </c>
      <c r="R164" s="222" t="s">
        <v>459</v>
      </c>
      <c r="T164" s="14"/>
      <c r="U164" s="14"/>
      <c r="V164" s="14"/>
      <c r="W164" s="14"/>
      <c r="X164" s="14"/>
      <c r="Y164" s="14"/>
    </row>
    <row r="165" spans="1:25" ht="24.95" customHeight="1">
      <c r="B165" s="20" t="s">
        <v>6</v>
      </c>
      <c r="C165" s="221"/>
      <c r="D165" s="22" t="s">
        <v>220</v>
      </c>
      <c r="E165" s="22" t="s">
        <v>461</v>
      </c>
      <c r="F165" s="22">
        <v>55511</v>
      </c>
      <c r="G165" s="84">
        <v>9</v>
      </c>
      <c r="H165" s="22" t="s">
        <v>278</v>
      </c>
      <c r="I165" s="22" t="s">
        <v>47</v>
      </c>
      <c r="J165" s="22" t="s">
        <v>47</v>
      </c>
      <c r="K165" s="22" t="s">
        <v>219</v>
      </c>
      <c r="L165" s="94" t="s">
        <v>789</v>
      </c>
      <c r="M165" s="94" t="s">
        <v>790</v>
      </c>
      <c r="N165" s="94" t="s">
        <v>791</v>
      </c>
      <c r="O165" s="22" t="s">
        <v>792</v>
      </c>
      <c r="P165" s="22" t="s">
        <v>460</v>
      </c>
      <c r="Q165" s="24">
        <v>2.2000000000000002</v>
      </c>
      <c r="R165" s="215"/>
      <c r="T165" s="14"/>
      <c r="U165" s="14"/>
      <c r="V165" s="14"/>
      <c r="W165" s="14"/>
      <c r="X165" s="14"/>
      <c r="Y165" s="14"/>
    </row>
    <row r="166" spans="1:25" ht="24.95" customHeight="1">
      <c r="B166" s="20" t="s">
        <v>6</v>
      </c>
      <c r="C166" s="221"/>
      <c r="D166" s="22" t="s">
        <v>221</v>
      </c>
      <c r="E166" s="22" t="s">
        <v>463</v>
      </c>
      <c r="F166" s="22">
        <v>55535</v>
      </c>
      <c r="G166" s="84">
        <v>5</v>
      </c>
      <c r="H166" s="22" t="s">
        <v>278</v>
      </c>
      <c r="I166" s="22" t="s">
        <v>47</v>
      </c>
      <c r="J166" s="22" t="s">
        <v>47</v>
      </c>
      <c r="K166" s="22" t="s">
        <v>222</v>
      </c>
      <c r="L166" s="94" t="s">
        <v>793</v>
      </c>
      <c r="M166" s="94" t="s">
        <v>794</v>
      </c>
      <c r="N166" s="94" t="s">
        <v>795</v>
      </c>
      <c r="O166" s="22" t="s">
        <v>796</v>
      </c>
      <c r="P166" s="22" t="s">
        <v>462</v>
      </c>
      <c r="Q166" s="24">
        <v>3.02</v>
      </c>
      <c r="R166" s="216"/>
      <c r="T166" s="14"/>
      <c r="U166" s="14"/>
      <c r="V166" s="14"/>
      <c r="W166" s="14"/>
      <c r="X166" s="14"/>
      <c r="Y166" s="14"/>
    </row>
    <row r="167" spans="1:25" ht="24.95" customHeight="1">
      <c r="B167" s="20" t="s">
        <v>6</v>
      </c>
      <c r="C167" s="218"/>
      <c r="D167" s="26" t="s">
        <v>223</v>
      </c>
      <c r="E167" s="26" t="s">
        <v>364</v>
      </c>
      <c r="F167" s="26">
        <v>45611</v>
      </c>
      <c r="G167" s="84">
        <v>1</v>
      </c>
      <c r="H167" s="22" t="s">
        <v>414</v>
      </c>
      <c r="I167" s="22" t="s">
        <v>47</v>
      </c>
      <c r="J167" s="22" t="s">
        <v>47</v>
      </c>
      <c r="K167" s="22" t="s">
        <v>224</v>
      </c>
      <c r="L167" s="94" t="s">
        <v>797</v>
      </c>
      <c r="M167" s="99" t="s">
        <v>798</v>
      </c>
      <c r="N167" s="99" t="s">
        <v>799</v>
      </c>
      <c r="O167" s="94"/>
      <c r="P167" s="100" t="s">
        <v>464</v>
      </c>
      <c r="Q167" s="24"/>
      <c r="R167" s="42" t="s">
        <v>465</v>
      </c>
      <c r="T167" s="14"/>
      <c r="U167" s="14"/>
      <c r="V167" s="14"/>
      <c r="W167" s="14"/>
      <c r="X167" s="14"/>
      <c r="Y167" s="14"/>
    </row>
    <row r="168" spans="1:25" ht="24.95" customHeight="1">
      <c r="B168" s="47" t="s">
        <v>6</v>
      </c>
      <c r="C168" s="217" t="s">
        <v>225</v>
      </c>
      <c r="D168" s="48" t="s">
        <v>226</v>
      </c>
      <c r="E168" s="48" t="s">
        <v>310</v>
      </c>
      <c r="F168" s="26">
        <v>55535</v>
      </c>
      <c r="G168" s="84">
        <v>5</v>
      </c>
      <c r="H168" s="29" t="s">
        <v>278</v>
      </c>
      <c r="I168" s="21" t="s">
        <v>47</v>
      </c>
      <c r="J168" s="21" t="s">
        <v>47</v>
      </c>
      <c r="K168" s="21" t="s">
        <v>227</v>
      </c>
      <c r="L168" s="101" t="s">
        <v>800</v>
      </c>
      <c r="M168" s="101" t="s">
        <v>801</v>
      </c>
      <c r="N168" s="50"/>
      <c r="O168" s="101"/>
      <c r="P168" s="102" t="s">
        <v>467</v>
      </c>
      <c r="Q168" s="50"/>
      <c r="R168" s="45" t="s">
        <v>459</v>
      </c>
      <c r="T168" s="14"/>
      <c r="U168" s="14"/>
      <c r="V168" s="14"/>
      <c r="W168" s="14"/>
      <c r="X168" s="14"/>
      <c r="Y168" s="14"/>
    </row>
    <row r="169" spans="1:25" ht="24.95" customHeight="1">
      <c r="B169" s="47"/>
      <c r="C169" s="221"/>
      <c r="D169" s="48" t="s">
        <v>228</v>
      </c>
      <c r="E169" s="48" t="s">
        <v>437</v>
      </c>
      <c r="F169" s="26">
        <v>52999</v>
      </c>
      <c r="G169" s="84">
        <v>0</v>
      </c>
      <c r="H169" s="21" t="s">
        <v>419</v>
      </c>
      <c r="I169" s="21"/>
      <c r="J169" s="21"/>
      <c r="K169" s="21" t="s">
        <v>229</v>
      </c>
      <c r="L169" s="101" t="s">
        <v>802</v>
      </c>
      <c r="M169" s="101" t="s">
        <v>801</v>
      </c>
      <c r="N169" s="50"/>
      <c r="O169" s="101"/>
      <c r="P169" s="102" t="s">
        <v>468</v>
      </c>
      <c r="Q169" s="50"/>
      <c r="R169" s="45"/>
      <c r="T169" s="14"/>
      <c r="U169" s="14"/>
      <c r="V169" s="14"/>
      <c r="W169" s="14"/>
      <c r="X169" s="14"/>
      <c r="Y169" s="14"/>
    </row>
    <row r="170" spans="1:25" ht="24.95" customHeight="1">
      <c r="B170" s="47"/>
      <c r="C170" s="218"/>
      <c r="D170" s="48" t="s">
        <v>230</v>
      </c>
      <c r="E170" s="48" t="s">
        <v>471</v>
      </c>
      <c r="F170" s="26">
        <v>55511</v>
      </c>
      <c r="G170" s="84">
        <v>1</v>
      </c>
      <c r="H170" s="46" t="s">
        <v>278</v>
      </c>
      <c r="I170" s="21"/>
      <c r="J170" s="21"/>
      <c r="K170" s="21" t="s">
        <v>231</v>
      </c>
      <c r="L170" s="49" t="s">
        <v>803</v>
      </c>
      <c r="M170" s="50"/>
      <c r="N170" s="50"/>
      <c r="O170" s="49"/>
      <c r="P170" s="102" t="s">
        <v>470</v>
      </c>
      <c r="Q170" s="50"/>
      <c r="R170" s="45"/>
      <c r="T170" s="14"/>
      <c r="U170" s="14"/>
      <c r="V170" s="14"/>
      <c r="W170" s="14"/>
      <c r="X170" s="14"/>
      <c r="Y170" s="14"/>
    </row>
    <row r="171" spans="1:25" ht="24.95" customHeight="1">
      <c r="B171" s="35" t="s">
        <v>6</v>
      </c>
      <c r="C171" s="217" t="s">
        <v>232</v>
      </c>
      <c r="D171" s="26" t="s">
        <v>233</v>
      </c>
      <c r="E171" s="26" t="s">
        <v>1315</v>
      </c>
      <c r="F171" s="26"/>
      <c r="G171" s="26"/>
      <c r="H171" s="29" t="s">
        <v>472</v>
      </c>
      <c r="I171" s="22"/>
      <c r="J171" s="22"/>
      <c r="K171" s="22"/>
      <c r="L171" s="23" t="s">
        <v>1316</v>
      </c>
      <c r="M171" s="23"/>
      <c r="N171" s="23"/>
      <c r="O171" s="23"/>
      <c r="P171" s="23" t="s">
        <v>1242</v>
      </c>
      <c r="Q171" s="24"/>
      <c r="R171" s="42"/>
      <c r="T171" s="14"/>
      <c r="U171" s="14"/>
      <c r="V171" s="14"/>
      <c r="W171" s="14"/>
      <c r="X171" s="14"/>
      <c r="Y171" s="14"/>
    </row>
    <row r="172" spans="1:25" ht="24.95" customHeight="1">
      <c r="A172" s="4" t="s">
        <v>1313</v>
      </c>
      <c r="B172" s="108" t="s">
        <v>6</v>
      </c>
      <c r="C172" s="218"/>
      <c r="D172" s="26" t="s">
        <v>1317</v>
      </c>
      <c r="E172" s="26" t="s">
        <v>437</v>
      </c>
      <c r="F172" s="26">
        <v>62740</v>
      </c>
      <c r="G172" s="26"/>
      <c r="H172" s="29" t="s">
        <v>472</v>
      </c>
      <c r="I172" s="22"/>
      <c r="J172" s="22"/>
      <c r="K172" s="22" t="s">
        <v>1318</v>
      </c>
      <c r="L172" s="23" t="s">
        <v>1319</v>
      </c>
      <c r="M172" s="23"/>
      <c r="N172" s="23"/>
      <c r="O172" s="23"/>
      <c r="P172" s="148" t="s">
        <v>1348</v>
      </c>
      <c r="Q172" s="24"/>
      <c r="R172" s="42"/>
      <c r="T172" s="14"/>
      <c r="U172" s="14"/>
      <c r="V172" s="14"/>
      <c r="W172" s="14"/>
      <c r="X172" s="14"/>
      <c r="Y172" s="14"/>
    </row>
    <row r="173" spans="1:25" ht="24" customHeight="1">
      <c r="B173" s="52" t="s">
        <v>10</v>
      </c>
      <c r="C173" s="225" t="s">
        <v>234</v>
      </c>
      <c r="D173" s="34" t="s">
        <v>235</v>
      </c>
      <c r="E173" s="34" t="s">
        <v>306</v>
      </c>
      <c r="F173" s="26">
        <v>61020</v>
      </c>
      <c r="G173" s="84">
        <v>9</v>
      </c>
      <c r="H173" s="34" t="s">
        <v>474</v>
      </c>
      <c r="I173" s="34" t="s">
        <v>47</v>
      </c>
      <c r="J173" s="34" t="s">
        <v>47</v>
      </c>
      <c r="K173" s="34" t="s">
        <v>219</v>
      </c>
      <c r="L173" s="28" t="s">
        <v>1266</v>
      </c>
      <c r="M173" s="28"/>
      <c r="N173" s="28"/>
      <c r="O173" s="28"/>
      <c r="P173" s="28" t="s">
        <v>473</v>
      </c>
      <c r="Q173" s="28" t="s">
        <v>47</v>
      </c>
      <c r="R173" s="28" t="s">
        <v>234</v>
      </c>
    </row>
    <row r="174" spans="1:25" ht="24" customHeight="1">
      <c r="B174" s="52" t="s">
        <v>10</v>
      </c>
      <c r="C174" s="226"/>
      <c r="D174" s="34" t="s">
        <v>236</v>
      </c>
      <c r="E174" s="34" t="s">
        <v>306</v>
      </c>
      <c r="F174" s="26">
        <v>61020</v>
      </c>
      <c r="G174" s="84">
        <v>9</v>
      </c>
      <c r="H174" s="34" t="s">
        <v>474</v>
      </c>
      <c r="I174" s="34" t="s">
        <v>47</v>
      </c>
      <c r="J174" s="34" t="s">
        <v>47</v>
      </c>
      <c r="K174" s="34" t="s">
        <v>237</v>
      </c>
      <c r="L174" s="28" t="s">
        <v>1267</v>
      </c>
      <c r="M174" s="28"/>
      <c r="N174" s="28"/>
      <c r="O174" s="28"/>
      <c r="P174" s="28" t="s">
        <v>475</v>
      </c>
      <c r="Q174" s="28" t="s">
        <v>47</v>
      </c>
      <c r="R174" s="28" t="s">
        <v>234</v>
      </c>
    </row>
    <row r="175" spans="1:25" ht="24" customHeight="1">
      <c r="A175" s="153" t="s">
        <v>1498</v>
      </c>
      <c r="B175" s="154" t="s">
        <v>10</v>
      </c>
      <c r="C175" s="226"/>
      <c r="D175" s="34" t="s">
        <v>238</v>
      </c>
      <c r="E175" s="34" t="s">
        <v>437</v>
      </c>
      <c r="F175" s="26">
        <v>61591</v>
      </c>
      <c r="G175" s="84">
        <v>1</v>
      </c>
      <c r="H175" s="34" t="s">
        <v>474</v>
      </c>
      <c r="I175" s="34" t="s">
        <v>47</v>
      </c>
      <c r="J175" s="34" t="s">
        <v>47</v>
      </c>
      <c r="K175" s="34" t="s">
        <v>239</v>
      </c>
      <c r="L175" s="28" t="s">
        <v>805</v>
      </c>
      <c r="M175" s="28"/>
      <c r="N175" s="28"/>
      <c r="O175" s="28"/>
      <c r="P175" s="28" t="s">
        <v>1268</v>
      </c>
      <c r="Q175" s="28" t="s">
        <v>47</v>
      </c>
      <c r="R175" s="28" t="s">
        <v>234</v>
      </c>
    </row>
    <row r="176" spans="1:25" ht="24" customHeight="1">
      <c r="A176" s="153" t="s">
        <v>1498</v>
      </c>
      <c r="B176" s="52" t="s">
        <v>6</v>
      </c>
      <c r="C176" s="226"/>
      <c r="D176" s="34" t="s">
        <v>240</v>
      </c>
      <c r="E176" s="34" t="s">
        <v>1499</v>
      </c>
      <c r="F176" s="26">
        <v>61591</v>
      </c>
      <c r="G176" s="84">
        <v>1</v>
      </c>
      <c r="H176" s="34" t="s">
        <v>474</v>
      </c>
      <c r="I176" s="34" t="s">
        <v>47</v>
      </c>
      <c r="J176" s="34" t="s">
        <v>47</v>
      </c>
      <c r="K176" s="34" t="s">
        <v>241</v>
      </c>
      <c r="L176" s="28" t="s">
        <v>1269</v>
      </c>
      <c r="M176" s="28"/>
      <c r="N176" s="28"/>
      <c r="O176" s="28"/>
      <c r="P176" s="116" t="s">
        <v>1270</v>
      </c>
      <c r="Q176" s="28" t="s">
        <v>47</v>
      </c>
      <c r="R176" s="28" t="s">
        <v>234</v>
      </c>
    </row>
    <row r="177" spans="1:20" ht="24" customHeight="1">
      <c r="B177" s="52" t="s">
        <v>6</v>
      </c>
      <c r="C177" s="226"/>
      <c r="D177" s="34" t="s">
        <v>242</v>
      </c>
      <c r="E177" s="34" t="s">
        <v>364</v>
      </c>
      <c r="F177" s="26">
        <v>60495</v>
      </c>
      <c r="G177" s="84">
        <v>2</v>
      </c>
      <c r="H177" s="34" t="s">
        <v>423</v>
      </c>
      <c r="I177" s="34" t="s">
        <v>47</v>
      </c>
      <c r="J177" s="34" t="s">
        <v>47</v>
      </c>
      <c r="K177" s="34" t="s">
        <v>224</v>
      </c>
      <c r="L177" s="28" t="s">
        <v>804</v>
      </c>
      <c r="M177" s="28"/>
      <c r="N177" s="28"/>
      <c r="O177" s="28"/>
      <c r="P177" s="103" t="s">
        <v>224</v>
      </c>
      <c r="Q177" s="28" t="s">
        <v>47</v>
      </c>
      <c r="R177" s="28" t="s">
        <v>477</v>
      </c>
    </row>
    <row r="178" spans="1:20" ht="24" customHeight="1">
      <c r="B178" s="52" t="s">
        <v>6</v>
      </c>
      <c r="C178" s="226"/>
      <c r="D178" s="34" t="s">
        <v>243</v>
      </c>
      <c r="E178" s="34" t="s">
        <v>301</v>
      </c>
      <c r="F178" s="26">
        <v>60495</v>
      </c>
      <c r="G178" s="84">
        <v>1</v>
      </c>
      <c r="H178" s="34" t="s">
        <v>423</v>
      </c>
      <c r="I178" s="34" t="s">
        <v>47</v>
      </c>
      <c r="J178" s="34" t="s">
        <v>47</v>
      </c>
      <c r="K178" s="34" t="s">
        <v>244</v>
      </c>
      <c r="L178" s="28" t="s">
        <v>804</v>
      </c>
      <c r="M178" s="28"/>
      <c r="N178" s="28"/>
      <c r="O178" s="28"/>
      <c r="P178" s="28" t="s">
        <v>478</v>
      </c>
      <c r="Q178" s="28" t="s">
        <v>47</v>
      </c>
      <c r="R178" s="28" t="s">
        <v>479</v>
      </c>
    </row>
    <row r="179" spans="1:20" ht="24" customHeight="1">
      <c r="A179" s="153" t="s">
        <v>1498</v>
      </c>
      <c r="B179" s="155" t="s">
        <v>6</v>
      </c>
      <c r="C179" s="226"/>
      <c r="D179" s="156" t="s">
        <v>1500</v>
      </c>
      <c r="E179" s="157" t="s">
        <v>679</v>
      </c>
      <c r="F179" s="71">
        <v>63173</v>
      </c>
      <c r="G179" s="84">
        <v>0</v>
      </c>
      <c r="H179" s="158" t="s">
        <v>474</v>
      </c>
      <c r="I179" s="34"/>
      <c r="J179" s="34"/>
      <c r="K179" s="159" t="s">
        <v>1501</v>
      </c>
      <c r="L179" s="28"/>
      <c r="M179" s="28"/>
      <c r="N179" s="28"/>
      <c r="O179" s="28"/>
      <c r="P179" s="28"/>
      <c r="Q179" s="28"/>
      <c r="R179" s="28"/>
    </row>
    <row r="180" spans="1:20" ht="24" customHeight="1">
      <c r="A180" s="153" t="s">
        <v>1498</v>
      </c>
      <c r="B180" s="155" t="s">
        <v>6</v>
      </c>
      <c r="C180" s="227"/>
      <c r="D180" s="160" t="s">
        <v>1502</v>
      </c>
      <c r="E180" s="157" t="s">
        <v>679</v>
      </c>
      <c r="F180" s="71">
        <v>63173</v>
      </c>
      <c r="G180" s="84">
        <v>0</v>
      </c>
      <c r="H180" s="158" t="s">
        <v>474</v>
      </c>
      <c r="I180" s="34"/>
      <c r="J180" s="34"/>
      <c r="K180" s="159" t="s">
        <v>1503</v>
      </c>
      <c r="L180" s="28"/>
      <c r="M180" s="28"/>
      <c r="N180" s="28"/>
      <c r="O180" s="28"/>
      <c r="P180" s="28"/>
      <c r="Q180" s="28"/>
      <c r="R180" s="28"/>
    </row>
    <row r="181" spans="1:20" ht="24" customHeight="1">
      <c r="B181" s="52" t="s">
        <v>10</v>
      </c>
      <c r="C181" s="228" t="s">
        <v>245</v>
      </c>
      <c r="D181" s="34" t="s">
        <v>246</v>
      </c>
      <c r="E181" s="34" t="s">
        <v>364</v>
      </c>
      <c r="F181" s="26">
        <v>60282</v>
      </c>
      <c r="G181" s="84">
        <v>1</v>
      </c>
      <c r="H181" s="33" t="s">
        <v>474</v>
      </c>
      <c r="I181" s="104" t="s">
        <v>47</v>
      </c>
      <c r="J181" s="104" t="s">
        <v>47</v>
      </c>
      <c r="K181" s="33" t="s">
        <v>219</v>
      </c>
      <c r="L181" s="3" t="s">
        <v>1271</v>
      </c>
      <c r="M181" s="3"/>
      <c r="N181" s="3"/>
      <c r="O181" s="3"/>
      <c r="P181" s="105" t="s">
        <v>187</v>
      </c>
      <c r="Q181" s="20" t="s">
        <v>47</v>
      </c>
      <c r="R181" s="12" t="s">
        <v>245</v>
      </c>
    </row>
    <row r="182" spans="1:20" ht="24" customHeight="1">
      <c r="B182" s="52" t="s">
        <v>10</v>
      </c>
      <c r="C182" s="229"/>
      <c r="D182" s="34" t="s">
        <v>247</v>
      </c>
      <c r="E182" s="34" t="s">
        <v>364</v>
      </c>
      <c r="F182" s="26">
        <v>60282</v>
      </c>
      <c r="G182" s="84">
        <v>1</v>
      </c>
      <c r="H182" s="33" t="s">
        <v>474</v>
      </c>
      <c r="I182" s="104" t="s">
        <v>47</v>
      </c>
      <c r="J182" s="104" t="s">
        <v>47</v>
      </c>
      <c r="K182" s="34" t="s">
        <v>237</v>
      </c>
      <c r="L182" s="3" t="s">
        <v>1271</v>
      </c>
      <c r="M182" s="3"/>
      <c r="N182" s="3"/>
      <c r="O182" s="3"/>
      <c r="P182" s="105"/>
      <c r="Q182" s="20"/>
      <c r="R182" s="12" t="s">
        <v>245</v>
      </c>
    </row>
    <row r="183" spans="1:20" ht="24" customHeight="1">
      <c r="A183" s="153" t="s">
        <v>1498</v>
      </c>
      <c r="B183" s="155" t="s">
        <v>10</v>
      </c>
      <c r="C183" s="229"/>
      <c r="D183" s="34" t="s">
        <v>248</v>
      </c>
      <c r="E183" s="34" t="s">
        <v>437</v>
      </c>
      <c r="F183" s="26">
        <v>61591</v>
      </c>
      <c r="G183" s="84">
        <v>1</v>
      </c>
      <c r="H183" s="33" t="s">
        <v>474</v>
      </c>
      <c r="I183" s="104" t="s">
        <v>47</v>
      </c>
      <c r="J183" s="104" t="s">
        <v>47</v>
      </c>
      <c r="K183" s="34" t="s">
        <v>42</v>
      </c>
      <c r="L183" s="3" t="s">
        <v>1272</v>
      </c>
      <c r="M183" s="3"/>
      <c r="N183" s="3"/>
      <c r="O183" s="3"/>
      <c r="P183" s="161" t="s">
        <v>1268</v>
      </c>
      <c r="Q183" s="20"/>
      <c r="R183" s="12" t="s">
        <v>245</v>
      </c>
    </row>
    <row r="184" spans="1:20" ht="24" customHeight="1">
      <c r="A184" s="153" t="s">
        <v>1498</v>
      </c>
      <c r="B184" s="52" t="s">
        <v>6</v>
      </c>
      <c r="C184" s="229"/>
      <c r="D184" s="34" t="s">
        <v>481</v>
      </c>
      <c r="E184" s="34" t="s">
        <v>1499</v>
      </c>
      <c r="F184" s="26">
        <v>61591</v>
      </c>
      <c r="G184" s="84">
        <v>1</v>
      </c>
      <c r="H184" s="33" t="s">
        <v>474</v>
      </c>
      <c r="I184" s="104" t="s">
        <v>47</v>
      </c>
      <c r="J184" s="104" t="s">
        <v>47</v>
      </c>
      <c r="K184" s="34" t="s">
        <v>250</v>
      </c>
      <c r="L184" s="3" t="s">
        <v>1272</v>
      </c>
      <c r="M184" s="3"/>
      <c r="N184" s="3"/>
      <c r="O184" s="3"/>
      <c r="P184" s="161" t="s">
        <v>1268</v>
      </c>
      <c r="Q184" s="20"/>
      <c r="R184" s="12" t="s">
        <v>245</v>
      </c>
    </row>
    <row r="185" spans="1:20" s="106" customFormat="1" ht="24" customHeight="1">
      <c r="A185" s="153" t="s">
        <v>1498</v>
      </c>
      <c r="B185" s="155" t="s">
        <v>6</v>
      </c>
      <c r="C185" s="229"/>
      <c r="D185" s="159" t="s">
        <v>1504</v>
      </c>
      <c r="E185" s="157" t="s">
        <v>679</v>
      </c>
      <c r="F185" s="162">
        <v>63312</v>
      </c>
      <c r="G185" s="163">
        <v>1</v>
      </c>
      <c r="H185" s="158" t="s">
        <v>474</v>
      </c>
      <c r="I185" s="164"/>
      <c r="J185" s="164"/>
      <c r="K185" s="159" t="s">
        <v>1501</v>
      </c>
      <c r="L185" s="165"/>
      <c r="M185" s="165"/>
      <c r="N185" s="165"/>
      <c r="O185" s="165"/>
      <c r="P185" s="166"/>
      <c r="Q185" s="167"/>
      <c r="R185" s="168"/>
      <c r="S185" s="169"/>
    </row>
    <row r="186" spans="1:20" s="106" customFormat="1" ht="24" customHeight="1">
      <c r="A186" s="153" t="s">
        <v>1498</v>
      </c>
      <c r="B186" s="155" t="s">
        <v>6</v>
      </c>
      <c r="C186" s="229"/>
      <c r="D186" s="159" t="s">
        <v>1505</v>
      </c>
      <c r="E186" s="157" t="s">
        <v>679</v>
      </c>
      <c r="F186" s="162">
        <v>63312</v>
      </c>
      <c r="G186" s="163">
        <v>1</v>
      </c>
      <c r="H186" s="158" t="s">
        <v>474</v>
      </c>
      <c r="I186" s="164"/>
      <c r="J186" s="164"/>
      <c r="K186" s="159" t="s">
        <v>1503</v>
      </c>
      <c r="L186" s="165"/>
      <c r="M186" s="165"/>
      <c r="N186" s="165"/>
      <c r="O186" s="165"/>
      <c r="P186" s="166"/>
      <c r="Q186" s="167"/>
      <c r="R186" s="168"/>
      <c r="S186" s="169"/>
    </row>
    <row r="187" spans="1:20" ht="26.25" customHeight="1">
      <c r="B187" s="28" t="s">
        <v>6</v>
      </c>
      <c r="C187" s="229"/>
      <c r="D187" s="33" t="s">
        <v>242</v>
      </c>
      <c r="E187" s="231" t="s">
        <v>806</v>
      </c>
      <c r="F187" s="232"/>
      <c r="G187" s="233"/>
      <c r="H187" s="33" t="s">
        <v>423</v>
      </c>
      <c r="I187" s="104" t="s">
        <v>47</v>
      </c>
      <c r="J187" s="104" t="s">
        <v>47</v>
      </c>
      <c r="K187" s="33" t="s">
        <v>224</v>
      </c>
      <c r="L187" s="3"/>
      <c r="M187" s="3"/>
      <c r="N187" s="3"/>
      <c r="O187" s="3"/>
      <c r="P187" s="105" t="s">
        <v>224</v>
      </c>
      <c r="Q187" s="20" t="s">
        <v>47</v>
      </c>
      <c r="R187" s="28" t="s">
        <v>477</v>
      </c>
      <c r="T187" s="17" t="s">
        <v>807</v>
      </c>
    </row>
    <row r="188" spans="1:20" ht="24" customHeight="1">
      <c r="B188" s="28" t="s">
        <v>6</v>
      </c>
      <c r="C188" s="230"/>
      <c r="D188" s="33" t="s">
        <v>243</v>
      </c>
      <c r="E188" s="231" t="s">
        <v>806</v>
      </c>
      <c r="F188" s="232"/>
      <c r="G188" s="233"/>
      <c r="H188" s="33" t="s">
        <v>423</v>
      </c>
      <c r="I188" s="104" t="s">
        <v>47</v>
      </c>
      <c r="J188" s="104" t="s">
        <v>47</v>
      </c>
      <c r="K188" s="33" t="s">
        <v>244</v>
      </c>
      <c r="L188" s="3"/>
      <c r="M188" s="3"/>
      <c r="N188" s="3"/>
      <c r="O188" s="3"/>
      <c r="P188" s="105" t="s">
        <v>478</v>
      </c>
      <c r="Q188" s="20" t="s">
        <v>47</v>
      </c>
      <c r="R188" s="28" t="s">
        <v>479</v>
      </c>
    </row>
  </sheetData>
  <autoFilter ref="B53:Q188" xr:uid="{00000000-0009-0000-0000-000000000000}"/>
  <mergeCells count="93">
    <mergeCell ref="C168:C170"/>
    <mergeCell ref="C171:C172"/>
    <mergeCell ref="C173:C180"/>
    <mergeCell ref="C181:C188"/>
    <mergeCell ref="E187:G187"/>
    <mergeCell ref="E188:G188"/>
    <mergeCell ref="C164:C167"/>
    <mergeCell ref="R164:R166"/>
    <mergeCell ref="C115:C118"/>
    <mergeCell ref="R121:R123"/>
    <mergeCell ref="C122:C124"/>
    <mergeCell ref="C128:C129"/>
    <mergeCell ref="C137:C144"/>
    <mergeCell ref="C148:C153"/>
    <mergeCell ref="R148:R151"/>
    <mergeCell ref="C156:C157"/>
    <mergeCell ref="R156:R157"/>
    <mergeCell ref="C158:C159"/>
    <mergeCell ref="R158:R162"/>
    <mergeCell ref="C161:C162"/>
    <mergeCell ref="C113:C114"/>
    <mergeCell ref="C86:C94"/>
    <mergeCell ref="R86:R94"/>
    <mergeCell ref="S86:T86"/>
    <mergeCell ref="C96:C97"/>
    <mergeCell ref="R96:R97"/>
    <mergeCell ref="C98:C100"/>
    <mergeCell ref="C101:C102"/>
    <mergeCell ref="C103:C104"/>
    <mergeCell ref="R103:R104"/>
    <mergeCell ref="R105:R110"/>
    <mergeCell ref="C106:C112"/>
    <mergeCell ref="C71:C72"/>
    <mergeCell ref="D71:D72"/>
    <mergeCell ref="R71:R72"/>
    <mergeCell ref="C74:C80"/>
    <mergeCell ref="R81:R85"/>
    <mergeCell ref="C82:C85"/>
    <mergeCell ref="C67:C69"/>
    <mergeCell ref="R67:R68"/>
    <mergeCell ref="D42:G42"/>
    <mergeCell ref="D43:G43"/>
    <mergeCell ref="D44:G44"/>
    <mergeCell ref="D45:G45"/>
    <mergeCell ref="D46:G46"/>
    <mergeCell ref="D47:G47"/>
    <mergeCell ref="D48:G48"/>
    <mergeCell ref="C50:K50"/>
    <mergeCell ref="C55:C62"/>
    <mergeCell ref="C63:C66"/>
    <mergeCell ref="R63:R66"/>
    <mergeCell ref="L26:Q26"/>
    <mergeCell ref="D27:G27"/>
    <mergeCell ref="L27:Q27"/>
    <mergeCell ref="D28:G28"/>
    <mergeCell ref="D41:G41"/>
    <mergeCell ref="D30:G30"/>
    <mergeCell ref="D31:G31"/>
    <mergeCell ref="D32:G32"/>
    <mergeCell ref="D33:G33"/>
    <mergeCell ref="D34:G34"/>
    <mergeCell ref="D35:G35"/>
    <mergeCell ref="D36:G36"/>
    <mergeCell ref="D37:G37"/>
    <mergeCell ref="D38:G38"/>
    <mergeCell ref="D39:G39"/>
    <mergeCell ref="D40:G40"/>
    <mergeCell ref="D29:G29"/>
    <mergeCell ref="D20:G20"/>
    <mergeCell ref="D21:G21"/>
    <mergeCell ref="D22:G22"/>
    <mergeCell ref="D23:G23"/>
    <mergeCell ref="D24:G24"/>
    <mergeCell ref="D25:G25"/>
    <mergeCell ref="D26:G26"/>
    <mergeCell ref="D19:G19"/>
    <mergeCell ref="D8:G8"/>
    <mergeCell ref="D9:G9"/>
    <mergeCell ref="D10:G10"/>
    <mergeCell ref="D11:G11"/>
    <mergeCell ref="D12:G12"/>
    <mergeCell ref="D13:G13"/>
    <mergeCell ref="D14:G14"/>
    <mergeCell ref="D15:G15"/>
    <mergeCell ref="D16:G16"/>
    <mergeCell ref="D17:G17"/>
    <mergeCell ref="D18:G18"/>
    <mergeCell ref="D7:G7"/>
    <mergeCell ref="D2:G2"/>
    <mergeCell ref="D3:G3"/>
    <mergeCell ref="D4:G4"/>
    <mergeCell ref="D5:G5"/>
    <mergeCell ref="D6:G6"/>
  </mergeCells>
  <phoneticPr fontId="1"/>
  <pageMargins left="0.35433070866141736" right="0.27559055118110237" top="0.55118110236220474" bottom="0.47244094488188981" header="0.51181102362204722" footer="0.51181102362204722"/>
  <pageSetup paperSize="9" scale="50" orientation="portrait" horizontalDpi="300" verticalDpi="300" r:id="rId1"/>
  <headerFooter alignWithMargins="0"/>
  <rowBreaks count="1" manualBreakCount="1">
    <brk id="51"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0DAE8-413B-4B1A-AFFA-9E9BC435B1CB}">
  <sheetPr codeName="Sheet5"/>
  <dimension ref="A1:Y184"/>
  <sheetViews>
    <sheetView topLeftCell="A117" zoomScale="70" zoomScaleNormal="70" workbookViewId="0">
      <selection activeCell="N192" sqref="N192"/>
    </sheetView>
  </sheetViews>
  <sheetFormatPr defaultColWidth="15.5" defaultRowHeight="24" customHeight="1"/>
  <cols>
    <col min="1" max="1" width="5.875" style="4" customWidth="1"/>
    <col min="2" max="2" width="15.5" style="11"/>
    <col min="3" max="3" width="17" style="4" bestFit="1" customWidth="1"/>
    <col min="4" max="4" width="20" style="4" customWidth="1"/>
    <col min="5" max="7" width="10" style="4" customWidth="1"/>
    <col min="8" max="8" width="31.375" style="4" bestFit="1" customWidth="1"/>
    <col min="9" max="9" width="22" style="4" customWidth="1"/>
    <col min="10" max="10" width="29.625" style="4" bestFit="1" customWidth="1"/>
    <col min="11" max="11" width="22" style="4" customWidth="1"/>
    <col min="12" max="16" width="21.125" style="4" customWidth="1"/>
    <col min="17" max="17" width="11.125" style="4" customWidth="1"/>
    <col min="18" max="18" width="16.75" style="11" bestFit="1" customWidth="1"/>
    <col min="19" max="19" width="24.5" style="14" customWidth="1"/>
    <col min="20" max="20" width="43.375" style="4" customWidth="1"/>
    <col min="21" max="21" width="26.75" style="4" customWidth="1"/>
    <col min="22" max="16384" width="15.5" style="4"/>
  </cols>
  <sheetData>
    <row r="1" spans="2:19" ht="24" customHeight="1">
      <c r="C1" s="5" t="s">
        <v>550</v>
      </c>
      <c r="K1" s="9"/>
      <c r="S1" s="82"/>
    </row>
    <row r="2" spans="2:19" ht="24" customHeight="1">
      <c r="B2" s="13" t="s">
        <v>1</v>
      </c>
      <c r="C2" s="3" t="s">
        <v>551</v>
      </c>
      <c r="D2" s="192" t="s">
        <v>552</v>
      </c>
      <c r="E2" s="193"/>
      <c r="F2" s="193"/>
      <c r="G2" s="194"/>
      <c r="H2" s="2" t="s">
        <v>553</v>
      </c>
      <c r="I2" s="2" t="s">
        <v>554</v>
      </c>
      <c r="J2" s="2" t="s">
        <v>555</v>
      </c>
      <c r="K2" s="2" t="s">
        <v>556</v>
      </c>
      <c r="L2" s="16"/>
      <c r="M2" s="16"/>
      <c r="N2" s="16"/>
      <c r="O2" s="16"/>
      <c r="P2" s="16"/>
      <c r="Q2" s="14"/>
      <c r="R2" s="41"/>
      <c r="S2" s="82"/>
    </row>
    <row r="3" spans="2:19" ht="30" customHeight="1">
      <c r="B3" s="12" t="s">
        <v>10</v>
      </c>
      <c r="C3" s="3" t="s">
        <v>557</v>
      </c>
      <c r="D3" s="192" t="s">
        <v>558</v>
      </c>
      <c r="E3" s="193"/>
      <c r="F3" s="193"/>
      <c r="G3" s="194"/>
      <c r="H3" s="3" t="s">
        <v>559</v>
      </c>
      <c r="I3" s="3">
        <v>2</v>
      </c>
      <c r="J3" s="3">
        <v>20</v>
      </c>
      <c r="K3" s="3">
        <v>16</v>
      </c>
      <c r="Q3" s="14"/>
      <c r="R3" s="41"/>
      <c r="S3" s="4"/>
    </row>
    <row r="4" spans="2:19" ht="30" customHeight="1">
      <c r="B4" s="6" t="s">
        <v>6</v>
      </c>
      <c r="C4" s="3" t="s">
        <v>560</v>
      </c>
      <c r="D4" s="192" t="s">
        <v>561</v>
      </c>
      <c r="E4" s="193"/>
      <c r="F4" s="193"/>
      <c r="G4" s="194"/>
      <c r="H4" s="3" t="s">
        <v>559</v>
      </c>
      <c r="I4" s="3">
        <v>2</v>
      </c>
      <c r="J4" s="3">
        <v>20</v>
      </c>
      <c r="K4" s="3">
        <v>16</v>
      </c>
      <c r="Q4" s="14"/>
      <c r="R4" s="41"/>
      <c r="S4" s="4"/>
    </row>
    <row r="5" spans="2:19" ht="30" customHeight="1">
      <c r="B5" s="12" t="s">
        <v>10</v>
      </c>
      <c r="C5" s="3" t="s">
        <v>562</v>
      </c>
      <c r="D5" s="192" t="s">
        <v>563</v>
      </c>
      <c r="E5" s="193"/>
      <c r="F5" s="193"/>
      <c r="G5" s="194"/>
      <c r="H5" s="3" t="s">
        <v>564</v>
      </c>
      <c r="I5" s="3">
        <v>1</v>
      </c>
      <c r="J5" s="3">
        <v>6</v>
      </c>
      <c r="K5" s="3">
        <v>1</v>
      </c>
      <c r="Q5" s="14"/>
      <c r="R5" s="41"/>
      <c r="S5" s="4"/>
    </row>
    <row r="6" spans="2:19" ht="30" customHeight="1">
      <c r="B6" s="6" t="s">
        <v>6</v>
      </c>
      <c r="C6" s="3" t="s">
        <v>565</v>
      </c>
      <c r="D6" s="192" t="s">
        <v>566</v>
      </c>
      <c r="E6" s="193"/>
      <c r="F6" s="193"/>
      <c r="G6" s="194"/>
      <c r="H6" s="3" t="s">
        <v>567</v>
      </c>
      <c r="I6" s="3">
        <v>1</v>
      </c>
      <c r="J6" s="3">
        <v>17</v>
      </c>
      <c r="K6" s="3">
        <v>0</v>
      </c>
      <c r="Q6" s="14"/>
      <c r="R6" s="41"/>
      <c r="S6" s="4"/>
    </row>
    <row r="7" spans="2:19" ht="30" customHeight="1">
      <c r="B7" s="12" t="s">
        <v>10</v>
      </c>
      <c r="C7" s="3" t="s">
        <v>568</v>
      </c>
      <c r="D7" s="192" t="s">
        <v>569</v>
      </c>
      <c r="E7" s="193"/>
      <c r="F7" s="193"/>
      <c r="G7" s="194"/>
      <c r="H7" s="3" t="s">
        <v>570</v>
      </c>
      <c r="I7" s="3">
        <v>1</v>
      </c>
      <c r="J7" s="3">
        <v>0</v>
      </c>
      <c r="K7" s="3">
        <v>16</v>
      </c>
      <c r="Q7" s="14"/>
      <c r="R7" s="41"/>
      <c r="S7" s="4"/>
    </row>
    <row r="8" spans="2:19" ht="30" customHeight="1">
      <c r="B8" s="6" t="s">
        <v>6</v>
      </c>
      <c r="C8" s="3" t="s">
        <v>571</v>
      </c>
      <c r="D8" s="192" t="s">
        <v>572</v>
      </c>
      <c r="E8" s="193"/>
      <c r="F8" s="193"/>
      <c r="G8" s="194"/>
      <c r="H8" s="3" t="s">
        <v>570</v>
      </c>
      <c r="I8" s="3">
        <v>1</v>
      </c>
      <c r="J8" s="3">
        <v>0</v>
      </c>
      <c r="K8" s="3">
        <v>16</v>
      </c>
      <c r="Q8" s="14"/>
      <c r="R8" s="41"/>
      <c r="S8" s="4"/>
    </row>
    <row r="9" spans="2:19" ht="30" customHeight="1">
      <c r="B9" s="6" t="s">
        <v>6</v>
      </c>
      <c r="C9" s="3" t="s">
        <v>573</v>
      </c>
      <c r="D9" s="192" t="s">
        <v>572</v>
      </c>
      <c r="E9" s="193"/>
      <c r="F9" s="193"/>
      <c r="G9" s="194"/>
      <c r="H9" s="3" t="s">
        <v>574</v>
      </c>
      <c r="I9" s="3">
        <v>1</v>
      </c>
      <c r="J9" s="3">
        <v>0</v>
      </c>
      <c r="K9" s="3">
        <v>16</v>
      </c>
      <c r="Q9" s="14"/>
      <c r="R9" s="41"/>
      <c r="S9" s="4"/>
    </row>
    <row r="10" spans="2:19" ht="30" customHeight="1">
      <c r="B10" s="6" t="s">
        <v>6</v>
      </c>
      <c r="C10" s="3" t="s">
        <v>575</v>
      </c>
      <c r="D10" s="192" t="s">
        <v>576</v>
      </c>
      <c r="E10" s="193"/>
      <c r="F10" s="193"/>
      <c r="G10" s="194"/>
      <c r="H10" s="3" t="s">
        <v>577</v>
      </c>
      <c r="I10" s="3">
        <v>1</v>
      </c>
      <c r="J10" s="3">
        <v>6</v>
      </c>
      <c r="K10" s="3">
        <v>1</v>
      </c>
      <c r="Q10" s="14"/>
      <c r="R10" s="41"/>
      <c r="S10" s="4"/>
    </row>
    <row r="11" spans="2:19" ht="30" customHeight="1">
      <c r="B11" s="12" t="s">
        <v>10</v>
      </c>
      <c r="C11" s="3" t="s">
        <v>578</v>
      </c>
      <c r="D11" s="192" t="s">
        <v>579</v>
      </c>
      <c r="E11" s="193"/>
      <c r="F11" s="193"/>
      <c r="G11" s="194"/>
      <c r="H11" s="3" t="s">
        <v>580</v>
      </c>
      <c r="I11" s="3">
        <v>3</v>
      </c>
      <c r="J11" s="3">
        <v>33</v>
      </c>
      <c r="K11" s="3">
        <v>3</v>
      </c>
      <c r="Q11" s="14"/>
      <c r="R11" s="41"/>
      <c r="S11" s="4"/>
    </row>
    <row r="12" spans="2:19" ht="30" customHeight="1">
      <c r="B12" s="6" t="s">
        <v>6</v>
      </c>
      <c r="C12" s="3" t="s">
        <v>581</v>
      </c>
      <c r="D12" s="192" t="s">
        <v>582</v>
      </c>
      <c r="E12" s="193"/>
      <c r="F12" s="193"/>
      <c r="G12" s="194"/>
      <c r="H12" s="3" t="s">
        <v>583</v>
      </c>
      <c r="I12" s="3">
        <v>3</v>
      </c>
      <c r="J12" s="3">
        <v>33</v>
      </c>
      <c r="K12" s="3">
        <v>3</v>
      </c>
      <c r="Q12" s="14"/>
      <c r="R12" s="41"/>
      <c r="S12" s="4"/>
    </row>
    <row r="13" spans="2:19" ht="30" customHeight="1">
      <c r="B13" s="6" t="s">
        <v>6</v>
      </c>
      <c r="C13" s="3" t="s">
        <v>584</v>
      </c>
      <c r="D13" s="192" t="s">
        <v>585</v>
      </c>
      <c r="E13" s="193"/>
      <c r="F13" s="193"/>
      <c r="G13" s="194"/>
      <c r="H13" s="3" t="s">
        <v>586</v>
      </c>
      <c r="I13" s="3">
        <v>1</v>
      </c>
      <c r="J13" s="3">
        <v>5</v>
      </c>
      <c r="K13" s="3">
        <v>0</v>
      </c>
      <c r="Q13" s="14"/>
      <c r="R13" s="41"/>
      <c r="S13" s="4"/>
    </row>
    <row r="14" spans="2:19" ht="30" customHeight="1">
      <c r="B14" s="12" t="s">
        <v>10</v>
      </c>
      <c r="C14" s="3" t="s">
        <v>587</v>
      </c>
      <c r="D14" s="192" t="s">
        <v>588</v>
      </c>
      <c r="E14" s="193"/>
      <c r="F14" s="193"/>
      <c r="G14" s="194"/>
      <c r="H14" s="3" t="s">
        <v>589</v>
      </c>
      <c r="I14" s="3">
        <v>1</v>
      </c>
      <c r="J14" s="3">
        <v>0</v>
      </c>
      <c r="K14" s="3">
        <v>6</v>
      </c>
      <c r="Q14" s="14"/>
      <c r="R14" s="41"/>
      <c r="S14" s="4"/>
    </row>
    <row r="15" spans="2:19" ht="30" customHeight="1">
      <c r="B15" s="6" t="s">
        <v>6</v>
      </c>
      <c r="C15" s="3" t="s">
        <v>590</v>
      </c>
      <c r="D15" s="192" t="s">
        <v>591</v>
      </c>
      <c r="E15" s="193"/>
      <c r="F15" s="193"/>
      <c r="G15" s="194"/>
      <c r="H15" s="3" t="s">
        <v>589</v>
      </c>
      <c r="I15" s="3">
        <v>1</v>
      </c>
      <c r="J15" s="3">
        <v>0</v>
      </c>
      <c r="K15" s="3">
        <v>6</v>
      </c>
      <c r="Q15" s="14"/>
      <c r="R15" s="41"/>
      <c r="S15" s="4"/>
    </row>
    <row r="16" spans="2:19" ht="30" customHeight="1">
      <c r="B16" s="6" t="s">
        <v>6</v>
      </c>
      <c r="C16" s="3" t="s">
        <v>592</v>
      </c>
      <c r="D16" s="192" t="s">
        <v>591</v>
      </c>
      <c r="E16" s="193"/>
      <c r="F16" s="193"/>
      <c r="G16" s="194"/>
      <c r="H16" s="3" t="s">
        <v>593</v>
      </c>
      <c r="I16" s="3">
        <v>1</v>
      </c>
      <c r="J16" s="3">
        <v>0</v>
      </c>
      <c r="K16" s="3">
        <v>6</v>
      </c>
      <c r="Q16" s="14"/>
      <c r="R16" s="41"/>
      <c r="S16" s="4"/>
    </row>
    <row r="17" spans="2:19" ht="30" customHeight="1">
      <c r="B17" s="12" t="s">
        <v>10</v>
      </c>
      <c r="C17" s="3" t="s">
        <v>594</v>
      </c>
      <c r="D17" s="192" t="s">
        <v>595</v>
      </c>
      <c r="E17" s="193"/>
      <c r="F17" s="193"/>
      <c r="G17" s="194"/>
      <c r="H17" s="3" t="s">
        <v>596</v>
      </c>
      <c r="I17" s="3">
        <v>1</v>
      </c>
      <c r="J17" s="3">
        <v>13</v>
      </c>
      <c r="K17" s="3">
        <v>4</v>
      </c>
      <c r="Q17" s="14"/>
      <c r="R17" s="41"/>
      <c r="S17" s="4"/>
    </row>
    <row r="18" spans="2:19" ht="30" customHeight="1">
      <c r="B18" s="6" t="s">
        <v>6</v>
      </c>
      <c r="C18" s="3" t="s">
        <v>597</v>
      </c>
      <c r="D18" s="192" t="s">
        <v>598</v>
      </c>
      <c r="E18" s="193"/>
      <c r="F18" s="193"/>
      <c r="G18" s="194"/>
      <c r="H18" s="3" t="s">
        <v>596</v>
      </c>
      <c r="I18" s="3">
        <v>1</v>
      </c>
      <c r="J18" s="3">
        <v>13</v>
      </c>
      <c r="K18" s="3">
        <v>4</v>
      </c>
      <c r="Q18" s="14"/>
      <c r="R18" s="41"/>
      <c r="S18" s="4"/>
    </row>
    <row r="19" spans="2:19" ht="30" customHeight="1">
      <c r="B19" s="12" t="s">
        <v>10</v>
      </c>
      <c r="C19" s="3" t="s">
        <v>12</v>
      </c>
      <c r="D19" s="192" t="s">
        <v>599</v>
      </c>
      <c r="E19" s="193"/>
      <c r="F19" s="193"/>
      <c r="G19" s="194"/>
      <c r="H19" s="3" t="s">
        <v>600</v>
      </c>
      <c r="I19" s="3">
        <v>1</v>
      </c>
      <c r="J19" s="3">
        <v>6</v>
      </c>
      <c r="K19" s="3">
        <v>1</v>
      </c>
      <c r="Q19" s="14"/>
      <c r="R19" s="41"/>
      <c r="S19" s="4"/>
    </row>
    <row r="20" spans="2:19" ht="30" customHeight="1">
      <c r="B20" s="12" t="s">
        <v>10</v>
      </c>
      <c r="C20" s="3" t="s">
        <v>14</v>
      </c>
      <c r="D20" s="192" t="s">
        <v>599</v>
      </c>
      <c r="E20" s="193"/>
      <c r="F20" s="193"/>
      <c r="G20" s="194"/>
      <c r="H20" s="3" t="s">
        <v>601</v>
      </c>
      <c r="I20" s="3">
        <v>1</v>
      </c>
      <c r="J20" s="3">
        <v>6</v>
      </c>
      <c r="K20" s="3">
        <v>1</v>
      </c>
      <c r="Q20" s="14"/>
      <c r="R20" s="41"/>
      <c r="S20" s="4"/>
    </row>
    <row r="21" spans="2:19" ht="30" customHeight="1">
      <c r="B21" s="6" t="s">
        <v>6</v>
      </c>
      <c r="C21" s="3" t="s">
        <v>17</v>
      </c>
      <c r="D21" s="192" t="s">
        <v>602</v>
      </c>
      <c r="E21" s="193"/>
      <c r="F21" s="193"/>
      <c r="G21" s="194"/>
      <c r="H21" s="3" t="s">
        <v>600</v>
      </c>
      <c r="I21" s="3">
        <v>1</v>
      </c>
      <c r="J21" s="3">
        <v>6</v>
      </c>
      <c r="K21" s="3">
        <v>1</v>
      </c>
      <c r="Q21" s="14"/>
      <c r="R21" s="41"/>
      <c r="S21" s="4"/>
    </row>
    <row r="22" spans="2:19" ht="30" customHeight="1">
      <c r="B22" s="6" t="s">
        <v>6</v>
      </c>
      <c r="C22" s="3" t="s">
        <v>18</v>
      </c>
      <c r="D22" s="192" t="s">
        <v>602</v>
      </c>
      <c r="E22" s="193"/>
      <c r="F22" s="193"/>
      <c r="G22" s="194"/>
      <c r="H22" s="3" t="s">
        <v>601</v>
      </c>
      <c r="I22" s="3">
        <v>1</v>
      </c>
      <c r="J22" s="3">
        <v>6</v>
      </c>
      <c r="K22" s="3">
        <v>1</v>
      </c>
      <c r="Q22" s="14"/>
      <c r="R22" s="41"/>
      <c r="S22" s="4"/>
    </row>
    <row r="23" spans="2:19" ht="30" customHeight="1">
      <c r="B23" s="6" t="s">
        <v>10</v>
      </c>
      <c r="C23" s="3" t="s">
        <v>603</v>
      </c>
      <c r="D23" s="192" t="s">
        <v>604</v>
      </c>
      <c r="E23" s="193"/>
      <c r="F23" s="193"/>
      <c r="G23" s="194"/>
      <c r="H23" s="3" t="s">
        <v>605</v>
      </c>
      <c r="I23" s="3">
        <v>2</v>
      </c>
      <c r="J23" s="3">
        <v>5</v>
      </c>
      <c r="K23" s="3">
        <v>1</v>
      </c>
      <c r="Q23" s="14"/>
      <c r="R23" s="41"/>
      <c r="S23" s="4"/>
    </row>
    <row r="24" spans="2:19" ht="30" customHeight="1">
      <c r="B24" s="6" t="s">
        <v>6</v>
      </c>
      <c r="C24" s="3" t="s">
        <v>606</v>
      </c>
      <c r="D24" s="192" t="s">
        <v>607</v>
      </c>
      <c r="E24" s="193"/>
      <c r="F24" s="193"/>
      <c r="G24" s="194"/>
      <c r="H24" s="3" t="s">
        <v>608</v>
      </c>
      <c r="I24" s="3">
        <v>1</v>
      </c>
      <c r="J24" s="3">
        <v>7</v>
      </c>
      <c r="K24" s="3">
        <v>1</v>
      </c>
      <c r="Q24" s="14"/>
      <c r="R24" s="41"/>
      <c r="S24" s="4"/>
    </row>
    <row r="25" spans="2:19" ht="30" customHeight="1">
      <c r="B25" s="6" t="s">
        <v>6</v>
      </c>
      <c r="C25" s="3" t="s">
        <v>609</v>
      </c>
      <c r="D25" s="192" t="s">
        <v>607</v>
      </c>
      <c r="E25" s="193"/>
      <c r="F25" s="193"/>
      <c r="G25" s="194"/>
      <c r="H25" s="3" t="s">
        <v>610</v>
      </c>
      <c r="I25" s="3">
        <v>2</v>
      </c>
      <c r="J25" s="3">
        <v>2</v>
      </c>
      <c r="K25" s="3">
        <v>0</v>
      </c>
      <c r="Q25" s="14"/>
      <c r="R25" s="41"/>
      <c r="S25" s="4"/>
    </row>
    <row r="26" spans="2:19" ht="30" customHeight="1">
      <c r="B26" s="6" t="s">
        <v>6</v>
      </c>
      <c r="C26" s="3" t="s">
        <v>611</v>
      </c>
      <c r="D26" s="192" t="s">
        <v>607</v>
      </c>
      <c r="E26" s="193"/>
      <c r="F26" s="193"/>
      <c r="G26" s="194"/>
      <c r="H26" s="3" t="s">
        <v>610</v>
      </c>
      <c r="I26" s="3">
        <v>2</v>
      </c>
      <c r="J26" s="3">
        <v>2</v>
      </c>
      <c r="K26" s="3">
        <v>0</v>
      </c>
      <c r="L26" s="195"/>
      <c r="M26" s="196"/>
      <c r="N26" s="196"/>
      <c r="O26" s="196"/>
      <c r="P26" s="196"/>
      <c r="Q26" s="196"/>
      <c r="R26" s="4"/>
      <c r="S26" s="4"/>
    </row>
    <row r="27" spans="2:19" ht="30" customHeight="1">
      <c r="B27" s="6" t="s">
        <v>6</v>
      </c>
      <c r="C27" s="3" t="s">
        <v>612</v>
      </c>
      <c r="D27" s="192" t="s">
        <v>607</v>
      </c>
      <c r="E27" s="193"/>
      <c r="F27" s="193"/>
      <c r="G27" s="194"/>
      <c r="H27" s="3" t="s">
        <v>613</v>
      </c>
      <c r="I27" s="3">
        <v>2</v>
      </c>
      <c r="J27" s="3">
        <v>2</v>
      </c>
      <c r="K27" s="3">
        <v>0</v>
      </c>
      <c r="L27" s="195"/>
      <c r="M27" s="196"/>
      <c r="N27" s="196"/>
      <c r="O27" s="196"/>
      <c r="P27" s="196"/>
      <c r="Q27" s="196"/>
      <c r="R27" s="4"/>
      <c r="S27" s="4"/>
    </row>
    <row r="28" spans="2:19" ht="30" customHeight="1">
      <c r="B28" s="6" t="s">
        <v>6</v>
      </c>
      <c r="C28" s="3" t="s">
        <v>614</v>
      </c>
      <c r="D28" s="192" t="s">
        <v>615</v>
      </c>
      <c r="E28" s="193"/>
      <c r="F28" s="193"/>
      <c r="G28" s="194"/>
      <c r="H28" s="3" t="s">
        <v>616</v>
      </c>
      <c r="I28" s="3">
        <v>2</v>
      </c>
      <c r="J28" s="3">
        <v>4</v>
      </c>
      <c r="K28" s="3">
        <v>1</v>
      </c>
      <c r="L28" s="44"/>
      <c r="M28" s="44"/>
      <c r="N28" s="44"/>
      <c r="O28" s="44"/>
      <c r="P28" s="44"/>
      <c r="Q28" s="44"/>
      <c r="R28" s="4"/>
      <c r="S28" s="4"/>
    </row>
    <row r="29" spans="2:19" ht="30" customHeight="1">
      <c r="B29" s="6" t="s">
        <v>49</v>
      </c>
      <c r="C29" s="3" t="s">
        <v>617</v>
      </c>
      <c r="D29" s="192" t="s">
        <v>615</v>
      </c>
      <c r="E29" s="193"/>
      <c r="F29" s="193"/>
      <c r="G29" s="194"/>
      <c r="H29" s="3" t="s">
        <v>618</v>
      </c>
      <c r="I29" s="3">
        <v>2</v>
      </c>
      <c r="J29" s="3">
        <v>4</v>
      </c>
      <c r="K29" s="3">
        <v>1</v>
      </c>
      <c r="L29" s="44"/>
      <c r="M29" s="44"/>
      <c r="N29" s="44"/>
      <c r="O29" s="44"/>
      <c r="P29" s="44"/>
      <c r="Q29" s="44"/>
      <c r="R29" s="4"/>
      <c r="S29" s="4"/>
    </row>
    <row r="30" spans="2:19" ht="30" customHeight="1">
      <c r="B30" s="6" t="s">
        <v>49</v>
      </c>
      <c r="C30" s="3" t="s">
        <v>619</v>
      </c>
      <c r="D30" s="192" t="s">
        <v>607</v>
      </c>
      <c r="E30" s="193"/>
      <c r="F30" s="193"/>
      <c r="G30" s="194"/>
      <c r="H30" s="3" t="s">
        <v>620</v>
      </c>
      <c r="I30" s="3">
        <v>2</v>
      </c>
      <c r="J30" s="3">
        <v>2</v>
      </c>
      <c r="K30" s="3">
        <v>0</v>
      </c>
      <c r="L30" s="44"/>
      <c r="M30" s="44"/>
      <c r="N30" s="44"/>
      <c r="O30" s="44"/>
      <c r="P30" s="44"/>
      <c r="Q30" s="44"/>
      <c r="R30" s="4"/>
      <c r="S30" s="4"/>
    </row>
    <row r="31" spans="2:19" ht="30" customHeight="1">
      <c r="B31" s="6" t="s">
        <v>49</v>
      </c>
      <c r="C31" s="3" t="s">
        <v>621</v>
      </c>
      <c r="D31" s="192" t="s">
        <v>607</v>
      </c>
      <c r="E31" s="193"/>
      <c r="F31" s="193"/>
      <c r="G31" s="194"/>
      <c r="H31" s="3" t="s">
        <v>622</v>
      </c>
      <c r="I31" s="3">
        <v>2</v>
      </c>
      <c r="J31" s="3">
        <v>2</v>
      </c>
      <c r="K31" s="3">
        <v>0</v>
      </c>
      <c r="L31" s="44"/>
      <c r="M31" s="44"/>
      <c r="N31" s="44"/>
      <c r="O31" s="44"/>
      <c r="P31" s="44"/>
      <c r="Q31" s="44"/>
      <c r="R31" s="4"/>
      <c r="S31" s="4"/>
    </row>
    <row r="32" spans="2:19" ht="30" customHeight="1">
      <c r="B32" s="12" t="s">
        <v>10</v>
      </c>
      <c r="C32" s="3" t="s">
        <v>623</v>
      </c>
      <c r="D32" s="192" t="s">
        <v>624</v>
      </c>
      <c r="E32" s="193"/>
      <c r="F32" s="193"/>
      <c r="G32" s="194"/>
      <c r="H32" s="3" t="s">
        <v>625</v>
      </c>
      <c r="I32" s="3">
        <v>1</v>
      </c>
      <c r="J32" s="3">
        <v>3</v>
      </c>
      <c r="K32" s="3">
        <v>2</v>
      </c>
      <c r="Q32" s="14"/>
      <c r="R32" s="41"/>
      <c r="S32" s="4"/>
    </row>
    <row r="33" spans="2:19" ht="30" customHeight="1">
      <c r="B33" s="6" t="s">
        <v>6</v>
      </c>
      <c r="C33" s="3" t="s">
        <v>626</v>
      </c>
      <c r="D33" s="192" t="s">
        <v>627</v>
      </c>
      <c r="E33" s="193"/>
      <c r="F33" s="193"/>
      <c r="G33" s="194"/>
      <c r="H33" s="3" t="s">
        <v>625</v>
      </c>
      <c r="I33" s="3">
        <v>1</v>
      </c>
      <c r="J33" s="3">
        <v>3</v>
      </c>
      <c r="K33" s="3">
        <v>2</v>
      </c>
      <c r="Q33" s="14"/>
      <c r="R33" s="41"/>
      <c r="S33" s="4"/>
    </row>
    <row r="34" spans="2:19" ht="30" customHeight="1">
      <c r="B34" s="12" t="s">
        <v>10</v>
      </c>
      <c r="C34" s="3" t="s">
        <v>628</v>
      </c>
      <c r="D34" s="192" t="s">
        <v>629</v>
      </c>
      <c r="E34" s="193"/>
      <c r="F34" s="193"/>
      <c r="G34" s="194"/>
      <c r="H34" s="3" t="s">
        <v>596</v>
      </c>
      <c r="I34" s="3">
        <v>1</v>
      </c>
      <c r="J34" s="3">
        <v>7</v>
      </c>
      <c r="K34" s="3">
        <v>8</v>
      </c>
      <c r="Q34" s="14"/>
      <c r="R34" s="41"/>
      <c r="S34" s="4"/>
    </row>
    <row r="35" spans="2:19" ht="30" customHeight="1">
      <c r="B35" s="6" t="s">
        <v>6</v>
      </c>
      <c r="C35" s="3" t="s">
        <v>630</v>
      </c>
      <c r="D35" s="192" t="s">
        <v>631</v>
      </c>
      <c r="E35" s="193"/>
      <c r="F35" s="193"/>
      <c r="G35" s="194"/>
      <c r="H35" s="3" t="s">
        <v>596</v>
      </c>
      <c r="I35" s="3">
        <v>1</v>
      </c>
      <c r="J35" s="3">
        <v>7</v>
      </c>
      <c r="K35" s="3">
        <v>8</v>
      </c>
      <c r="Q35" s="14"/>
      <c r="R35" s="41"/>
      <c r="S35" s="4"/>
    </row>
    <row r="36" spans="2:19" ht="30" customHeight="1">
      <c r="B36" s="12" t="s">
        <v>10</v>
      </c>
      <c r="C36" s="3" t="s">
        <v>632</v>
      </c>
      <c r="D36" s="192" t="s">
        <v>633</v>
      </c>
      <c r="E36" s="193"/>
      <c r="F36" s="193"/>
      <c r="G36" s="194"/>
      <c r="H36" s="3" t="s">
        <v>596</v>
      </c>
      <c r="I36" s="3">
        <v>1</v>
      </c>
      <c r="J36" s="3">
        <v>7</v>
      </c>
      <c r="K36" s="3">
        <v>8</v>
      </c>
      <c r="Q36" s="14"/>
      <c r="R36" s="41"/>
      <c r="S36" s="4"/>
    </row>
    <row r="37" spans="2:19" ht="30" customHeight="1">
      <c r="B37" s="6" t="s">
        <v>6</v>
      </c>
      <c r="C37" s="7" t="s">
        <v>634</v>
      </c>
      <c r="D37" s="192" t="s">
        <v>635</v>
      </c>
      <c r="E37" s="193"/>
      <c r="F37" s="193"/>
      <c r="G37" s="194"/>
      <c r="H37" s="3" t="s">
        <v>596</v>
      </c>
      <c r="I37" s="3">
        <v>1</v>
      </c>
      <c r="J37" s="3">
        <v>7</v>
      </c>
      <c r="K37" s="3">
        <v>8</v>
      </c>
      <c r="Q37" s="14"/>
      <c r="R37" s="41"/>
      <c r="S37" s="4"/>
    </row>
    <row r="38" spans="2:19" ht="30" customHeight="1">
      <c r="B38" s="6" t="s">
        <v>6</v>
      </c>
      <c r="C38" s="7" t="s">
        <v>636</v>
      </c>
      <c r="D38" s="192" t="s">
        <v>637</v>
      </c>
      <c r="E38" s="193"/>
      <c r="F38" s="193"/>
      <c r="G38" s="194"/>
      <c r="H38" s="3" t="s">
        <v>596</v>
      </c>
      <c r="I38" s="3">
        <v>1</v>
      </c>
      <c r="J38" s="3">
        <v>13</v>
      </c>
      <c r="K38" s="3">
        <v>4</v>
      </c>
      <c r="L38" s="14"/>
      <c r="M38" s="14"/>
      <c r="N38" s="14"/>
      <c r="O38" s="14"/>
      <c r="P38" s="14"/>
      <c r="Q38" s="41"/>
      <c r="R38" s="4"/>
      <c r="S38" s="4"/>
    </row>
    <row r="39" spans="2:19" ht="30" customHeight="1">
      <c r="B39" s="12"/>
      <c r="C39" s="3" t="s">
        <v>638</v>
      </c>
      <c r="D39" s="192" t="s">
        <v>639</v>
      </c>
      <c r="E39" s="193"/>
      <c r="F39" s="193"/>
      <c r="G39" s="194"/>
      <c r="H39" s="3" t="s">
        <v>640</v>
      </c>
      <c r="I39" s="3">
        <v>1</v>
      </c>
      <c r="J39" s="3">
        <v>3</v>
      </c>
      <c r="K39" s="3">
        <v>2</v>
      </c>
      <c r="Q39" s="14"/>
      <c r="R39" s="41"/>
      <c r="S39" s="4"/>
    </row>
    <row r="40" spans="2:19" ht="30" customHeight="1">
      <c r="B40" s="12" t="s">
        <v>10</v>
      </c>
      <c r="C40" s="3" t="s">
        <v>641</v>
      </c>
      <c r="D40" s="192" t="s">
        <v>642</v>
      </c>
      <c r="E40" s="193"/>
      <c r="F40" s="193"/>
      <c r="G40" s="194"/>
      <c r="H40" s="3" t="s">
        <v>643</v>
      </c>
      <c r="I40" s="3">
        <v>1</v>
      </c>
      <c r="J40" s="3">
        <v>7</v>
      </c>
      <c r="K40" s="3">
        <v>8</v>
      </c>
      <c r="Q40" s="14"/>
      <c r="R40" s="41"/>
      <c r="S40" s="4"/>
    </row>
    <row r="41" spans="2:19" ht="30" customHeight="1">
      <c r="B41" s="6" t="s">
        <v>6</v>
      </c>
      <c r="C41" s="3" t="s">
        <v>644</v>
      </c>
      <c r="D41" s="192" t="s">
        <v>645</v>
      </c>
      <c r="E41" s="193"/>
      <c r="F41" s="193"/>
      <c r="G41" s="194"/>
      <c r="H41" s="3" t="s">
        <v>643</v>
      </c>
      <c r="I41" s="3">
        <v>1</v>
      </c>
      <c r="J41" s="3">
        <v>7</v>
      </c>
      <c r="K41" s="3">
        <v>8</v>
      </c>
      <c r="Q41" s="14"/>
      <c r="R41" s="41"/>
      <c r="S41" s="4"/>
    </row>
    <row r="42" spans="2:19" ht="30" customHeight="1">
      <c r="B42" s="6" t="s">
        <v>6</v>
      </c>
      <c r="C42" s="3" t="s">
        <v>646</v>
      </c>
      <c r="D42" s="192" t="s">
        <v>645</v>
      </c>
      <c r="E42" s="193"/>
      <c r="F42" s="193"/>
      <c r="G42" s="194"/>
      <c r="H42" s="3" t="s">
        <v>647</v>
      </c>
      <c r="I42" s="3">
        <v>1</v>
      </c>
      <c r="J42" s="3">
        <v>7</v>
      </c>
      <c r="K42" s="3">
        <v>8</v>
      </c>
      <c r="Q42" s="14"/>
      <c r="R42" s="41"/>
      <c r="S42" s="4"/>
    </row>
    <row r="43" spans="2:19" ht="30" customHeight="1">
      <c r="B43" s="6" t="s">
        <v>6</v>
      </c>
      <c r="C43" s="3" t="s">
        <v>648</v>
      </c>
      <c r="D43" s="192" t="s">
        <v>572</v>
      </c>
      <c r="E43" s="193"/>
      <c r="F43" s="193"/>
      <c r="G43" s="194"/>
      <c r="H43" s="2" t="s">
        <v>649</v>
      </c>
      <c r="I43" s="3">
        <v>1</v>
      </c>
      <c r="J43" s="3">
        <v>0</v>
      </c>
      <c r="K43" s="3">
        <v>16</v>
      </c>
      <c r="Q43" s="14"/>
      <c r="R43" s="41"/>
      <c r="S43" s="4"/>
    </row>
    <row r="44" spans="2:19" ht="30" customHeight="1">
      <c r="B44" s="12"/>
      <c r="C44" s="3" t="s">
        <v>650</v>
      </c>
      <c r="D44" s="192" t="s">
        <v>651</v>
      </c>
      <c r="E44" s="193"/>
      <c r="F44" s="193"/>
      <c r="G44" s="194"/>
      <c r="H44" s="3" t="s">
        <v>652</v>
      </c>
      <c r="I44" s="3"/>
      <c r="J44" s="3"/>
      <c r="K44" s="3"/>
      <c r="Q44" s="14"/>
      <c r="R44" s="41"/>
      <c r="S44" s="4"/>
    </row>
    <row r="45" spans="2:19" ht="30" customHeight="1">
      <c r="B45" s="6" t="s">
        <v>6</v>
      </c>
      <c r="C45" s="3" t="s">
        <v>653</v>
      </c>
      <c r="D45" s="192" t="s">
        <v>654</v>
      </c>
      <c r="E45" s="193"/>
      <c r="F45" s="193"/>
      <c r="G45" s="194"/>
      <c r="H45" s="3"/>
      <c r="I45" s="3">
        <v>3</v>
      </c>
      <c r="J45" s="3">
        <v>31</v>
      </c>
      <c r="K45" s="3">
        <v>33</v>
      </c>
      <c r="Q45" s="14"/>
      <c r="R45" s="41"/>
      <c r="S45" s="4"/>
    </row>
    <row r="46" spans="2:19" ht="30" customHeight="1">
      <c r="B46" s="6" t="s">
        <v>6</v>
      </c>
      <c r="C46" s="3" t="s">
        <v>655</v>
      </c>
      <c r="D46" s="192" t="s">
        <v>656</v>
      </c>
      <c r="E46" s="193"/>
      <c r="F46" s="193"/>
      <c r="G46" s="194"/>
      <c r="H46" s="3"/>
      <c r="I46" s="3">
        <v>3</v>
      </c>
      <c r="J46" s="3">
        <v>40</v>
      </c>
      <c r="K46" s="3">
        <v>24</v>
      </c>
      <c r="L46" s="40"/>
      <c r="M46" s="40"/>
      <c r="N46" s="40"/>
      <c r="O46" s="40"/>
      <c r="P46" s="40"/>
      <c r="Q46" s="14"/>
      <c r="R46" s="41"/>
      <c r="S46" s="4"/>
    </row>
    <row r="47" spans="2:19" ht="30" customHeight="1">
      <c r="B47" s="6" t="s">
        <v>47</v>
      </c>
      <c r="C47" s="3" t="s">
        <v>657</v>
      </c>
      <c r="D47" s="192" t="s">
        <v>658</v>
      </c>
      <c r="E47" s="193"/>
      <c r="F47" s="193"/>
      <c r="G47" s="194"/>
      <c r="H47" s="3"/>
      <c r="I47" s="3">
        <v>3</v>
      </c>
      <c r="J47" s="3">
        <v>48</v>
      </c>
      <c r="K47" s="3">
        <v>40</v>
      </c>
      <c r="Q47" s="14"/>
      <c r="R47" s="41"/>
      <c r="S47" s="4"/>
    </row>
    <row r="48" spans="2:19" ht="30" customHeight="1">
      <c r="B48" s="6" t="s">
        <v>6</v>
      </c>
      <c r="C48" s="3" t="s">
        <v>659</v>
      </c>
      <c r="D48" s="192" t="s">
        <v>660</v>
      </c>
      <c r="E48" s="193"/>
      <c r="F48" s="193"/>
      <c r="G48" s="194"/>
      <c r="H48" s="2" t="s">
        <v>661</v>
      </c>
      <c r="I48" s="3"/>
      <c r="J48" s="3"/>
      <c r="K48" s="3"/>
      <c r="Q48" s="14"/>
      <c r="R48" s="41"/>
      <c r="S48" s="4"/>
    </row>
    <row r="49" spans="2:25" ht="24" customHeight="1" thickBot="1">
      <c r="C49" s="1" t="s">
        <v>662</v>
      </c>
    </row>
    <row r="50" spans="2:25" ht="56.25" customHeight="1" thickBot="1">
      <c r="C50" s="202" t="s">
        <v>663</v>
      </c>
      <c r="D50" s="203"/>
      <c r="E50" s="203"/>
      <c r="F50" s="203"/>
      <c r="G50" s="203"/>
      <c r="H50" s="203"/>
      <c r="I50" s="203"/>
      <c r="J50" s="203"/>
      <c r="K50" s="204"/>
    </row>
    <row r="51" spans="2:25" ht="24" customHeight="1">
      <c r="C51" s="5"/>
    </row>
    <row r="52" spans="2:25" ht="24" customHeight="1">
      <c r="D52" s="5" t="s">
        <v>0</v>
      </c>
      <c r="E52" s="5"/>
      <c r="F52" s="5"/>
      <c r="G52" s="5"/>
      <c r="K52" s="1"/>
    </row>
    <row r="53" spans="2:25" ht="30" customHeight="1">
      <c r="B53" s="13" t="s">
        <v>1</v>
      </c>
      <c r="C53" s="2" t="s">
        <v>2</v>
      </c>
      <c r="D53" s="2" t="s">
        <v>3</v>
      </c>
      <c r="E53" s="8" t="s">
        <v>253</v>
      </c>
      <c r="F53" s="8" t="s">
        <v>4</v>
      </c>
      <c r="G53" s="8" t="s">
        <v>252</v>
      </c>
      <c r="H53" s="2" t="s">
        <v>254</v>
      </c>
      <c r="I53" s="2" t="s">
        <v>255</v>
      </c>
      <c r="J53" s="2" t="s">
        <v>256</v>
      </c>
      <c r="K53" s="2" t="s">
        <v>5</v>
      </c>
      <c r="L53" s="10" t="s">
        <v>664</v>
      </c>
      <c r="M53" s="10" t="s">
        <v>665</v>
      </c>
      <c r="N53" s="10" t="s">
        <v>666</v>
      </c>
      <c r="O53" s="10" t="s">
        <v>667</v>
      </c>
      <c r="P53" s="10" t="s">
        <v>257</v>
      </c>
      <c r="Q53" s="2" t="s">
        <v>258</v>
      </c>
      <c r="R53" s="6" t="s">
        <v>259</v>
      </c>
      <c r="T53" s="1"/>
    </row>
    <row r="54" spans="2:25" ht="30" customHeight="1">
      <c r="B54" s="20" t="s">
        <v>6</v>
      </c>
      <c r="C54" s="51" t="s">
        <v>7</v>
      </c>
      <c r="D54" s="22" t="s">
        <v>8</v>
      </c>
      <c r="E54" s="22"/>
      <c r="F54" s="22"/>
      <c r="G54" s="22"/>
      <c r="H54" s="22" t="s">
        <v>260</v>
      </c>
      <c r="I54" s="22" t="s">
        <v>47</v>
      </c>
      <c r="J54" s="22" t="s">
        <v>47</v>
      </c>
      <c r="K54" s="2"/>
      <c r="L54" s="2"/>
      <c r="M54" s="2"/>
      <c r="N54" s="2"/>
      <c r="O54" s="2"/>
      <c r="P54" s="2"/>
      <c r="Q54" s="2" t="s">
        <v>47</v>
      </c>
      <c r="R54" s="6"/>
      <c r="T54" s="1"/>
    </row>
    <row r="55" spans="2:25" ht="24.95" customHeight="1">
      <c r="B55" s="20" t="s">
        <v>10</v>
      </c>
      <c r="C55" s="197" t="s">
        <v>11</v>
      </c>
      <c r="D55" s="22" t="s">
        <v>12</v>
      </c>
      <c r="E55" s="23">
        <v>1.7</v>
      </c>
      <c r="F55" s="22"/>
      <c r="G55" s="22"/>
      <c r="H55" s="22" t="s">
        <v>47</v>
      </c>
      <c r="I55" s="22" t="s">
        <v>47</v>
      </c>
      <c r="J55" s="22" t="s">
        <v>47</v>
      </c>
      <c r="K55" s="22" t="s">
        <v>13</v>
      </c>
      <c r="L55" s="23"/>
      <c r="M55" s="23"/>
      <c r="N55" s="23"/>
      <c r="O55" s="23"/>
      <c r="P55" s="23"/>
      <c r="Q55" s="24">
        <v>1.7</v>
      </c>
      <c r="R55" s="42"/>
      <c r="T55" s="14"/>
      <c r="U55" s="14"/>
      <c r="V55" s="14"/>
      <c r="W55" s="14"/>
      <c r="X55" s="14"/>
      <c r="Y55" s="14"/>
    </row>
    <row r="56" spans="2:25" ht="24.95" customHeight="1">
      <c r="B56" s="20" t="s">
        <v>10</v>
      </c>
      <c r="C56" s="198"/>
      <c r="D56" s="22" t="s">
        <v>14</v>
      </c>
      <c r="E56" s="23">
        <v>1.7</v>
      </c>
      <c r="F56" s="22"/>
      <c r="G56" s="22"/>
      <c r="H56" s="22" t="s">
        <v>47</v>
      </c>
      <c r="I56" s="22" t="s">
        <v>47</v>
      </c>
      <c r="J56" s="22" t="s">
        <v>47</v>
      </c>
      <c r="K56" s="22" t="s">
        <v>16</v>
      </c>
      <c r="L56" s="23"/>
      <c r="M56" s="23"/>
      <c r="N56" s="23"/>
      <c r="O56" s="23"/>
      <c r="P56" s="23"/>
      <c r="Q56" s="24">
        <v>1.4</v>
      </c>
      <c r="R56" s="42"/>
      <c r="T56" s="14"/>
      <c r="U56" s="14"/>
      <c r="V56" s="14"/>
      <c r="W56" s="14"/>
      <c r="X56" s="14"/>
      <c r="Y56" s="14"/>
    </row>
    <row r="57" spans="2:25" ht="24.95" customHeight="1">
      <c r="B57" s="20" t="s">
        <v>10</v>
      </c>
      <c r="C57" s="198"/>
      <c r="D57" s="22" t="s">
        <v>17</v>
      </c>
      <c r="E57" s="23">
        <v>1.33</v>
      </c>
      <c r="F57" s="22"/>
      <c r="G57" s="22"/>
      <c r="H57" s="22" t="s">
        <v>47</v>
      </c>
      <c r="I57" s="22" t="s">
        <v>47</v>
      </c>
      <c r="J57" s="22" t="s">
        <v>47</v>
      </c>
      <c r="K57" s="22" t="s">
        <v>13</v>
      </c>
      <c r="L57" s="23"/>
      <c r="M57" s="23"/>
      <c r="N57" s="23"/>
      <c r="O57" s="23"/>
      <c r="P57" s="23"/>
      <c r="Q57" s="24">
        <v>1.33</v>
      </c>
      <c r="R57" s="42"/>
      <c r="T57" s="14"/>
      <c r="U57" s="14"/>
      <c r="V57" s="14"/>
      <c r="W57" s="14"/>
      <c r="X57" s="14"/>
      <c r="Y57" s="14"/>
    </row>
    <row r="58" spans="2:25" ht="24.95" customHeight="1">
      <c r="B58" s="20" t="s">
        <v>10</v>
      </c>
      <c r="C58" s="198"/>
      <c r="D58" s="22" t="s">
        <v>18</v>
      </c>
      <c r="E58" s="23">
        <v>1.33</v>
      </c>
      <c r="F58" s="22"/>
      <c r="G58" s="22"/>
      <c r="H58" s="22" t="s">
        <v>47</v>
      </c>
      <c r="I58" s="22" t="s">
        <v>47</v>
      </c>
      <c r="J58" s="22" t="s">
        <v>47</v>
      </c>
      <c r="K58" s="22" t="s">
        <v>16</v>
      </c>
      <c r="L58" s="23"/>
      <c r="M58" s="23"/>
      <c r="N58" s="23"/>
      <c r="O58" s="23"/>
      <c r="P58" s="23"/>
      <c r="Q58" s="24">
        <v>1.33</v>
      </c>
      <c r="R58" s="42"/>
      <c r="T58" s="14"/>
      <c r="U58" s="14"/>
      <c r="V58" s="14"/>
      <c r="W58" s="14"/>
      <c r="X58" s="14"/>
      <c r="Y58" s="14"/>
    </row>
    <row r="59" spans="2:25" ht="24.95" customHeight="1">
      <c r="B59" s="20" t="s">
        <v>6</v>
      </c>
      <c r="C59" s="198"/>
      <c r="D59" s="22" t="s">
        <v>19</v>
      </c>
      <c r="E59" s="23">
        <v>1.65</v>
      </c>
      <c r="F59" s="22"/>
      <c r="G59" s="22"/>
      <c r="H59" s="22" t="s">
        <v>47</v>
      </c>
      <c r="I59" s="22" t="s">
        <v>47</v>
      </c>
      <c r="J59" s="22" t="s">
        <v>47</v>
      </c>
      <c r="K59" s="22" t="s">
        <v>20</v>
      </c>
      <c r="L59" s="23"/>
      <c r="M59" s="23"/>
      <c r="N59" s="23"/>
      <c r="O59" s="23"/>
      <c r="P59" s="23"/>
      <c r="Q59" s="24">
        <v>1.5</v>
      </c>
      <c r="R59" s="42"/>
      <c r="T59" s="14"/>
      <c r="U59" s="14"/>
      <c r="V59" s="14"/>
      <c r="W59" s="14"/>
      <c r="X59" s="14"/>
      <c r="Y59" s="14"/>
    </row>
    <row r="60" spans="2:25" ht="24.95" customHeight="1">
      <c r="B60" s="20" t="s">
        <v>6</v>
      </c>
      <c r="C60" s="198"/>
      <c r="D60" s="22" t="s">
        <v>21</v>
      </c>
      <c r="E60" s="23">
        <v>1.65</v>
      </c>
      <c r="F60" s="22"/>
      <c r="G60" s="22"/>
      <c r="H60" s="22" t="s">
        <v>47</v>
      </c>
      <c r="I60" s="22" t="s">
        <v>47</v>
      </c>
      <c r="J60" s="22" t="s">
        <v>47</v>
      </c>
      <c r="K60" s="22" t="s">
        <v>22</v>
      </c>
      <c r="L60" s="23"/>
      <c r="M60" s="23"/>
      <c r="N60" s="23"/>
      <c r="O60" s="23"/>
      <c r="P60" s="23"/>
      <c r="Q60" s="24">
        <v>1.5</v>
      </c>
      <c r="R60" s="42"/>
      <c r="T60" s="14"/>
      <c r="U60" s="14"/>
      <c r="V60" s="14"/>
      <c r="W60" s="14"/>
      <c r="X60" s="14"/>
      <c r="Y60" s="14"/>
    </row>
    <row r="61" spans="2:25" ht="24.95" customHeight="1">
      <c r="B61" s="20" t="s">
        <v>6</v>
      </c>
      <c r="C61" s="198"/>
      <c r="D61" s="22" t="s">
        <v>23</v>
      </c>
      <c r="E61" s="23">
        <v>1.65</v>
      </c>
      <c r="F61" s="22"/>
      <c r="G61" s="22"/>
      <c r="H61" s="22" t="s">
        <v>47</v>
      </c>
      <c r="I61" s="22" t="s">
        <v>47</v>
      </c>
      <c r="J61" s="22" t="s">
        <v>47</v>
      </c>
      <c r="K61" s="22" t="s">
        <v>24</v>
      </c>
      <c r="L61" s="23"/>
      <c r="M61" s="23"/>
      <c r="N61" s="23"/>
      <c r="O61" s="23"/>
      <c r="P61" s="23"/>
      <c r="Q61" s="24">
        <v>1.5</v>
      </c>
      <c r="R61" s="42"/>
      <c r="T61" s="14"/>
      <c r="U61" s="14"/>
      <c r="V61" s="14"/>
      <c r="W61" s="14"/>
      <c r="X61" s="14"/>
      <c r="Y61" s="14"/>
    </row>
    <row r="62" spans="2:25" ht="24.95" customHeight="1">
      <c r="B62" s="20" t="s">
        <v>6</v>
      </c>
      <c r="C62" s="199"/>
      <c r="D62" s="22" t="s">
        <v>25</v>
      </c>
      <c r="E62" s="23">
        <v>1</v>
      </c>
      <c r="F62" s="22"/>
      <c r="G62" s="22"/>
      <c r="H62" s="22" t="s">
        <v>47</v>
      </c>
      <c r="I62" s="22"/>
      <c r="J62" s="25"/>
      <c r="K62" s="22" t="s">
        <v>26</v>
      </c>
      <c r="L62" s="23"/>
      <c r="M62" s="23"/>
      <c r="N62" s="23"/>
      <c r="O62" s="23"/>
      <c r="P62" s="23"/>
      <c r="Q62" s="24"/>
      <c r="R62" s="42"/>
      <c r="T62" s="14"/>
      <c r="U62" s="14"/>
      <c r="V62" s="14"/>
      <c r="W62" s="14"/>
      <c r="X62" s="14"/>
      <c r="Y62" s="14"/>
    </row>
    <row r="63" spans="2:25" ht="24.95" customHeight="1">
      <c r="B63" s="20" t="s">
        <v>10</v>
      </c>
      <c r="C63" s="197" t="s">
        <v>27</v>
      </c>
      <c r="D63" s="73" t="s">
        <v>28</v>
      </c>
      <c r="E63" s="22" t="s">
        <v>264</v>
      </c>
      <c r="F63" s="83">
        <v>55511</v>
      </c>
      <c r="G63" s="83">
        <v>9</v>
      </c>
      <c r="H63" s="22" t="s">
        <v>272</v>
      </c>
      <c r="I63" s="22" t="s">
        <v>668</v>
      </c>
      <c r="J63" s="22" t="s">
        <v>669</v>
      </c>
      <c r="K63" s="22" t="s">
        <v>29</v>
      </c>
      <c r="L63" s="81" t="s">
        <v>670</v>
      </c>
      <c r="M63" s="81"/>
      <c r="N63" s="81"/>
      <c r="O63" s="81"/>
      <c r="P63" s="81" t="s">
        <v>187</v>
      </c>
      <c r="Q63" s="24">
        <v>1.06</v>
      </c>
      <c r="R63" s="205"/>
      <c r="T63" s="14"/>
      <c r="U63" s="14"/>
      <c r="V63" s="14"/>
      <c r="W63" s="14"/>
      <c r="X63" s="14"/>
      <c r="Y63" s="14"/>
    </row>
    <row r="64" spans="2:25" ht="24.95" customHeight="1">
      <c r="B64" s="20" t="s">
        <v>10</v>
      </c>
      <c r="C64" s="198"/>
      <c r="D64" s="74" t="s">
        <v>30</v>
      </c>
      <c r="E64" s="26" t="s">
        <v>265</v>
      </c>
      <c r="F64" s="84">
        <v>55511</v>
      </c>
      <c r="G64" s="84">
        <v>4</v>
      </c>
      <c r="H64" s="22" t="s">
        <v>278</v>
      </c>
      <c r="I64" s="22" t="s">
        <v>47</v>
      </c>
      <c r="J64" s="27" t="s">
        <v>671</v>
      </c>
      <c r="K64" s="22" t="s">
        <v>31</v>
      </c>
      <c r="L64" s="81" t="s">
        <v>672</v>
      </c>
      <c r="M64" s="81"/>
      <c r="N64" s="81"/>
      <c r="O64" s="81"/>
      <c r="P64" s="81" t="s">
        <v>325</v>
      </c>
      <c r="Q64" s="24">
        <v>2.0099999999999998</v>
      </c>
      <c r="R64" s="205"/>
      <c r="T64" s="14"/>
      <c r="U64" s="14"/>
      <c r="V64" s="14"/>
      <c r="W64" s="14"/>
      <c r="X64" s="14"/>
      <c r="Y64" s="14"/>
    </row>
    <row r="65" spans="2:25" ht="24.95" customHeight="1">
      <c r="B65" s="20" t="s">
        <v>10</v>
      </c>
      <c r="C65" s="198"/>
      <c r="D65" s="74" t="s">
        <v>32</v>
      </c>
      <c r="E65" s="26" t="s">
        <v>266</v>
      </c>
      <c r="F65" s="84">
        <v>55511</v>
      </c>
      <c r="G65" s="84">
        <v>5</v>
      </c>
      <c r="H65" s="22" t="s">
        <v>278</v>
      </c>
      <c r="I65" s="22" t="s">
        <v>47</v>
      </c>
      <c r="J65" s="27"/>
      <c r="K65" s="22" t="s">
        <v>33</v>
      </c>
      <c r="L65" s="81" t="s">
        <v>673</v>
      </c>
      <c r="M65" s="81"/>
      <c r="N65" s="81"/>
      <c r="O65" s="81"/>
      <c r="P65" s="81" t="s">
        <v>674</v>
      </c>
      <c r="Q65" s="24">
        <v>3.11</v>
      </c>
      <c r="R65" s="205"/>
      <c r="T65" s="14"/>
      <c r="U65" s="14"/>
      <c r="V65" s="15"/>
      <c r="W65" s="14"/>
      <c r="X65" s="14"/>
      <c r="Y65" s="14"/>
    </row>
    <row r="66" spans="2:25" ht="24.95" customHeight="1">
      <c r="B66" s="20" t="s">
        <v>6</v>
      </c>
      <c r="C66" s="199"/>
      <c r="D66" s="74" t="s">
        <v>34</v>
      </c>
      <c r="E66" s="26" t="s">
        <v>267</v>
      </c>
      <c r="F66" s="84">
        <v>55511</v>
      </c>
      <c r="G66" s="84">
        <v>4</v>
      </c>
      <c r="H66" s="22" t="s">
        <v>278</v>
      </c>
      <c r="I66" s="22" t="s">
        <v>47</v>
      </c>
      <c r="J66" s="22" t="s">
        <v>47</v>
      </c>
      <c r="K66" s="22" t="s">
        <v>35</v>
      </c>
      <c r="L66" s="81" t="s">
        <v>675</v>
      </c>
      <c r="M66" s="81"/>
      <c r="N66" s="81"/>
      <c r="O66" s="81"/>
      <c r="P66" s="81" t="s">
        <v>35</v>
      </c>
      <c r="Q66" s="24">
        <v>4.0199999999999996</v>
      </c>
      <c r="R66" s="206"/>
      <c r="T66" s="14"/>
      <c r="U66" s="14"/>
      <c r="V66" s="15"/>
      <c r="W66" s="14"/>
      <c r="X66" s="14"/>
      <c r="Y66" s="14"/>
    </row>
    <row r="67" spans="2:25" s="18" customFormat="1" ht="24.95" customHeight="1">
      <c r="B67" s="20" t="s">
        <v>10</v>
      </c>
      <c r="C67" s="197" t="s">
        <v>36</v>
      </c>
      <c r="D67" s="73" t="s">
        <v>37</v>
      </c>
      <c r="E67" s="22" t="s">
        <v>269</v>
      </c>
      <c r="F67" s="84">
        <v>55511</v>
      </c>
      <c r="G67" s="84">
        <v>7</v>
      </c>
      <c r="H67" s="22" t="s">
        <v>278</v>
      </c>
      <c r="I67" s="22"/>
      <c r="J67" s="25"/>
      <c r="K67" s="22" t="s">
        <v>38</v>
      </c>
      <c r="L67" s="81" t="s">
        <v>676</v>
      </c>
      <c r="M67" s="81"/>
      <c r="N67" s="81"/>
      <c r="O67" s="81"/>
      <c r="P67" s="81" t="s">
        <v>187</v>
      </c>
      <c r="Q67" s="23">
        <v>1.1200000000000001</v>
      </c>
      <c r="R67" s="200"/>
      <c r="S67" s="14"/>
      <c r="T67" s="14"/>
      <c r="U67" s="14"/>
      <c r="V67" s="14"/>
      <c r="W67" s="14"/>
      <c r="X67" s="14"/>
      <c r="Y67" s="14"/>
    </row>
    <row r="68" spans="2:25" s="18" customFormat="1" ht="24.95" customHeight="1">
      <c r="B68" s="20" t="s">
        <v>10</v>
      </c>
      <c r="C68" s="198"/>
      <c r="D68" s="73" t="s">
        <v>39</v>
      </c>
      <c r="E68" s="22" t="s">
        <v>265</v>
      </c>
      <c r="F68" s="84">
        <v>61087</v>
      </c>
      <c r="G68" s="84">
        <v>8</v>
      </c>
      <c r="H68" s="22" t="s">
        <v>278</v>
      </c>
      <c r="I68" s="22"/>
      <c r="J68" s="25"/>
      <c r="K68" s="22" t="s">
        <v>40</v>
      </c>
      <c r="L68" s="81" t="s">
        <v>677</v>
      </c>
      <c r="M68" s="81"/>
      <c r="N68" s="81"/>
      <c r="O68" s="81"/>
      <c r="P68" s="81" t="s">
        <v>678</v>
      </c>
      <c r="Q68" s="23" t="s">
        <v>47</v>
      </c>
      <c r="R68" s="201"/>
      <c r="S68" s="14"/>
      <c r="T68" s="14"/>
      <c r="U68" s="14"/>
      <c r="V68" s="14"/>
      <c r="W68" s="14"/>
      <c r="X68" s="14"/>
      <c r="Y68" s="14"/>
    </row>
    <row r="69" spans="2:25" s="18" customFormat="1" ht="24.95" customHeight="1">
      <c r="B69" s="20" t="s">
        <v>6</v>
      </c>
      <c r="C69" s="199"/>
      <c r="D69" s="73" t="s">
        <v>41</v>
      </c>
      <c r="E69" s="22" t="s">
        <v>679</v>
      </c>
      <c r="F69" s="84">
        <v>61591</v>
      </c>
      <c r="G69" s="84">
        <v>0</v>
      </c>
      <c r="H69" s="22" t="s">
        <v>278</v>
      </c>
      <c r="I69" s="22"/>
      <c r="J69" s="25"/>
      <c r="K69" s="22" t="s">
        <v>42</v>
      </c>
      <c r="L69" s="81" t="s">
        <v>680</v>
      </c>
      <c r="M69" s="81"/>
      <c r="N69" s="81"/>
      <c r="O69" s="81"/>
      <c r="P69" s="22" t="s">
        <v>42</v>
      </c>
      <c r="Q69" s="23" t="s">
        <v>47</v>
      </c>
      <c r="R69" s="81"/>
      <c r="S69" s="14"/>
      <c r="T69" s="14"/>
      <c r="U69" s="14"/>
      <c r="V69" s="14"/>
      <c r="W69" s="14"/>
      <c r="X69" s="14"/>
      <c r="Y69" s="14"/>
    </row>
    <row r="70" spans="2:25" ht="24.95" customHeight="1">
      <c r="B70" s="20" t="s">
        <v>10</v>
      </c>
      <c r="C70" s="73" t="s">
        <v>43</v>
      </c>
      <c r="D70" s="73" t="s">
        <v>44</v>
      </c>
      <c r="E70" s="22" t="s">
        <v>271</v>
      </c>
      <c r="F70" s="84">
        <v>43589</v>
      </c>
      <c r="G70" s="84">
        <v>5</v>
      </c>
      <c r="H70" s="22" t="s">
        <v>272</v>
      </c>
      <c r="I70" s="22" t="s">
        <v>273</v>
      </c>
      <c r="J70" s="25" t="s">
        <v>274</v>
      </c>
      <c r="K70" s="22" t="s">
        <v>29</v>
      </c>
      <c r="L70" s="85" t="s">
        <v>681</v>
      </c>
      <c r="M70" s="85"/>
      <c r="N70" s="85"/>
      <c r="O70" s="85"/>
      <c r="P70" s="85" t="s">
        <v>187</v>
      </c>
      <c r="Q70" s="24">
        <v>1.04</v>
      </c>
      <c r="R70" s="75"/>
      <c r="T70" s="14"/>
      <c r="U70" s="14"/>
      <c r="V70" s="14"/>
      <c r="W70" s="14"/>
      <c r="X70" s="14"/>
      <c r="Y70" s="14"/>
    </row>
    <row r="71" spans="2:25" ht="24.95" customHeight="1">
      <c r="B71" s="20" t="s">
        <v>6</v>
      </c>
      <c r="C71" s="197" t="s">
        <v>45</v>
      </c>
      <c r="D71" s="197" t="s">
        <v>46</v>
      </c>
      <c r="E71" s="22" t="s">
        <v>277</v>
      </c>
      <c r="F71" s="84">
        <v>46655</v>
      </c>
      <c r="G71" s="84">
        <v>1</v>
      </c>
      <c r="H71" s="22" t="s">
        <v>278</v>
      </c>
      <c r="I71" s="22" t="s">
        <v>279</v>
      </c>
      <c r="J71" s="25" t="s">
        <v>280</v>
      </c>
      <c r="K71" s="22" t="s">
        <v>29</v>
      </c>
      <c r="L71" s="85" t="s">
        <v>682</v>
      </c>
      <c r="M71" s="85"/>
      <c r="N71" s="85"/>
      <c r="O71" s="85"/>
      <c r="P71" s="85" t="s">
        <v>187</v>
      </c>
      <c r="Q71" s="24"/>
      <c r="R71" s="207" t="s">
        <v>683</v>
      </c>
      <c r="S71" s="15" t="s">
        <v>684</v>
      </c>
      <c r="T71" s="14" t="s">
        <v>685</v>
      </c>
      <c r="U71" s="14"/>
      <c r="V71" s="14"/>
      <c r="W71" s="14"/>
      <c r="X71" s="14"/>
      <c r="Y71" s="14"/>
    </row>
    <row r="72" spans="2:25" ht="24.95" customHeight="1">
      <c r="B72" s="20" t="s">
        <v>47</v>
      </c>
      <c r="C72" s="199"/>
      <c r="D72" s="199"/>
      <c r="E72" s="22" t="s">
        <v>281</v>
      </c>
      <c r="F72" s="84" t="s">
        <v>47</v>
      </c>
      <c r="G72" s="84" t="s">
        <v>47</v>
      </c>
      <c r="H72" s="22" t="s">
        <v>278</v>
      </c>
      <c r="I72" s="22" t="s">
        <v>282</v>
      </c>
      <c r="J72" s="27" t="s">
        <v>283</v>
      </c>
      <c r="K72" s="22" t="s">
        <v>48</v>
      </c>
      <c r="L72" s="85" t="s">
        <v>682</v>
      </c>
      <c r="M72" s="85"/>
      <c r="N72" s="85"/>
      <c r="O72" s="85"/>
      <c r="P72" s="85"/>
      <c r="Q72" s="24">
        <v>2.0299999999999998</v>
      </c>
      <c r="R72" s="206"/>
      <c r="S72" s="15" t="s">
        <v>686</v>
      </c>
      <c r="T72" s="14"/>
      <c r="U72" s="14"/>
      <c r="V72" s="14"/>
      <c r="W72" s="14"/>
      <c r="X72" s="14"/>
      <c r="Y72" s="14"/>
    </row>
    <row r="73" spans="2:25" ht="24.95" customHeight="1">
      <c r="B73" s="20" t="s">
        <v>49</v>
      </c>
      <c r="C73" s="22" t="s">
        <v>50</v>
      </c>
      <c r="D73" s="22" t="s">
        <v>51</v>
      </c>
      <c r="E73" s="22" t="s">
        <v>284</v>
      </c>
      <c r="F73" s="84">
        <v>49026</v>
      </c>
      <c r="G73" s="22"/>
      <c r="H73" s="22" t="s">
        <v>278</v>
      </c>
      <c r="I73" s="22" t="s">
        <v>47</v>
      </c>
      <c r="J73" s="27" t="s">
        <v>285</v>
      </c>
      <c r="K73" s="22" t="s">
        <v>29</v>
      </c>
      <c r="L73" s="85" t="s">
        <v>47</v>
      </c>
      <c r="M73" s="85"/>
      <c r="N73" s="85"/>
      <c r="O73" s="85"/>
      <c r="P73" s="85"/>
      <c r="Q73" s="24"/>
      <c r="R73" s="42"/>
      <c r="S73" s="15"/>
      <c r="T73" s="14"/>
      <c r="U73" s="14"/>
      <c r="V73" s="14"/>
      <c r="W73" s="14"/>
      <c r="X73" s="14"/>
      <c r="Y73" s="14"/>
    </row>
    <row r="74" spans="2:25" ht="24.95" customHeight="1">
      <c r="B74" s="20" t="s">
        <v>10</v>
      </c>
      <c r="C74" s="198" t="s">
        <v>52</v>
      </c>
      <c r="D74" s="73" t="s">
        <v>53</v>
      </c>
      <c r="E74" s="22" t="s">
        <v>286</v>
      </c>
      <c r="F74" s="84">
        <v>55511</v>
      </c>
      <c r="G74" s="84">
        <v>2</v>
      </c>
      <c r="H74" s="22" t="s">
        <v>272</v>
      </c>
      <c r="I74" s="22" t="s">
        <v>287</v>
      </c>
      <c r="J74" s="22" t="s">
        <v>288</v>
      </c>
      <c r="K74" s="22" t="s">
        <v>54</v>
      </c>
      <c r="L74" s="81" t="s">
        <v>687</v>
      </c>
      <c r="M74" s="81"/>
      <c r="N74" s="81"/>
      <c r="O74" s="81"/>
      <c r="P74" s="81" t="s">
        <v>457</v>
      </c>
      <c r="Q74" s="24">
        <v>1.01</v>
      </c>
      <c r="R74" s="42"/>
      <c r="T74" s="14"/>
      <c r="U74" s="14"/>
      <c r="V74" s="14"/>
      <c r="W74" s="14"/>
      <c r="X74" s="14"/>
      <c r="Y74" s="14"/>
    </row>
    <row r="75" spans="2:25" ht="24.95" customHeight="1">
      <c r="B75" s="20" t="s">
        <v>10</v>
      </c>
      <c r="C75" s="198"/>
      <c r="D75" s="73" t="s">
        <v>55</v>
      </c>
      <c r="E75" s="22" t="s">
        <v>293</v>
      </c>
      <c r="F75" s="84">
        <v>55511</v>
      </c>
      <c r="G75" s="84">
        <v>5</v>
      </c>
      <c r="H75" s="22" t="s">
        <v>289</v>
      </c>
      <c r="I75" s="22" t="s">
        <v>294</v>
      </c>
      <c r="J75" s="22" t="s">
        <v>295</v>
      </c>
      <c r="K75" s="22" t="s">
        <v>31</v>
      </c>
      <c r="L75" s="81" t="s">
        <v>688</v>
      </c>
      <c r="M75" s="81"/>
      <c r="N75" s="81"/>
      <c r="O75" s="81"/>
      <c r="P75" s="81" t="s">
        <v>362</v>
      </c>
      <c r="Q75" s="24">
        <v>1</v>
      </c>
      <c r="R75" s="75"/>
      <c r="T75" s="14"/>
      <c r="U75" s="14"/>
      <c r="V75" s="14"/>
      <c r="W75" s="14"/>
      <c r="X75" s="14"/>
      <c r="Y75" s="14"/>
    </row>
    <row r="76" spans="2:25" s="63" customFormat="1" ht="24.95" customHeight="1">
      <c r="B76" s="56" t="s">
        <v>10</v>
      </c>
      <c r="C76" s="198"/>
      <c r="D76" s="57" t="s">
        <v>56</v>
      </c>
      <c r="E76" s="57"/>
      <c r="F76" s="57"/>
      <c r="G76" s="57"/>
      <c r="H76" s="57" t="s">
        <v>278</v>
      </c>
      <c r="I76" s="57" t="s">
        <v>689</v>
      </c>
      <c r="J76" s="57" t="s">
        <v>47</v>
      </c>
      <c r="K76" s="57" t="s">
        <v>57</v>
      </c>
      <c r="L76" s="58"/>
      <c r="M76" s="58"/>
      <c r="N76" s="58"/>
      <c r="O76" s="58"/>
      <c r="P76" s="58"/>
      <c r="Q76" s="58"/>
      <c r="R76" s="60"/>
      <c r="S76" s="61" t="s">
        <v>690</v>
      </c>
      <c r="T76" s="62"/>
      <c r="U76" s="62"/>
      <c r="V76" s="62"/>
      <c r="W76" s="62"/>
      <c r="X76" s="62"/>
      <c r="Y76" s="62"/>
    </row>
    <row r="77" spans="2:25" ht="24.95" customHeight="1">
      <c r="B77" s="20" t="s">
        <v>10</v>
      </c>
      <c r="C77" s="198"/>
      <c r="D77" s="73" t="s">
        <v>58</v>
      </c>
      <c r="E77" s="22" t="s">
        <v>301</v>
      </c>
      <c r="F77" s="84">
        <v>44946</v>
      </c>
      <c r="G77" s="84">
        <v>2</v>
      </c>
      <c r="H77" s="22" t="s">
        <v>296</v>
      </c>
      <c r="I77" s="22" t="s">
        <v>297</v>
      </c>
      <c r="J77" s="22" t="s">
        <v>298</v>
      </c>
      <c r="K77" s="22" t="s">
        <v>59</v>
      </c>
      <c r="L77" s="85" t="s">
        <v>691</v>
      </c>
      <c r="M77" s="85"/>
      <c r="N77" s="85"/>
      <c r="O77" s="85"/>
      <c r="P77" s="85" t="s">
        <v>299</v>
      </c>
      <c r="Q77" s="24">
        <v>1</v>
      </c>
      <c r="R77" s="42"/>
      <c r="S77" s="14" t="s">
        <v>300</v>
      </c>
      <c r="T77" s="14"/>
      <c r="U77" s="14"/>
      <c r="V77" s="14"/>
      <c r="W77" s="14"/>
      <c r="X77" s="14"/>
      <c r="Y77" s="14"/>
    </row>
    <row r="78" spans="2:25" s="63" customFormat="1" ht="24.95" customHeight="1">
      <c r="B78" s="56" t="s">
        <v>10</v>
      </c>
      <c r="C78" s="198"/>
      <c r="D78" s="57" t="s">
        <v>60</v>
      </c>
      <c r="E78" s="57"/>
      <c r="F78" s="57"/>
      <c r="G78" s="57"/>
      <c r="H78" s="57" t="s">
        <v>296</v>
      </c>
      <c r="I78" s="57" t="s">
        <v>692</v>
      </c>
      <c r="J78" s="57" t="s">
        <v>47</v>
      </c>
      <c r="K78" s="57" t="s">
        <v>61</v>
      </c>
      <c r="L78" s="58"/>
      <c r="M78" s="58"/>
      <c r="N78" s="58"/>
      <c r="O78" s="58"/>
      <c r="P78" s="58"/>
      <c r="Q78" s="59"/>
      <c r="R78" s="60"/>
      <c r="S78" s="62"/>
      <c r="T78" s="62"/>
      <c r="U78" s="62"/>
      <c r="V78" s="62"/>
      <c r="W78" s="62"/>
      <c r="X78" s="62"/>
      <c r="Y78" s="62"/>
    </row>
    <row r="79" spans="2:25" s="63" customFormat="1" ht="24.95" customHeight="1">
      <c r="B79" s="56" t="s">
        <v>10</v>
      </c>
      <c r="C79" s="198"/>
      <c r="D79" s="57" t="s">
        <v>62</v>
      </c>
      <c r="E79" s="57" t="s">
        <v>63</v>
      </c>
      <c r="F79" s="57" t="s">
        <v>63</v>
      </c>
      <c r="G79" s="86" t="s">
        <v>63</v>
      </c>
      <c r="H79" s="57" t="s">
        <v>419</v>
      </c>
      <c r="I79" s="57" t="s">
        <v>62</v>
      </c>
      <c r="J79" s="64" t="s">
        <v>47</v>
      </c>
      <c r="K79" s="57" t="s">
        <v>64</v>
      </c>
      <c r="L79" s="65"/>
      <c r="M79" s="65"/>
      <c r="N79" s="65"/>
      <c r="O79" s="65"/>
      <c r="P79" s="65"/>
      <c r="Q79" s="59">
        <v>2</v>
      </c>
      <c r="R79" s="67"/>
      <c r="S79" s="62" t="s">
        <v>693</v>
      </c>
      <c r="T79" s="62"/>
      <c r="U79" s="62"/>
      <c r="V79" s="62"/>
      <c r="W79" s="62"/>
      <c r="X79" s="62"/>
      <c r="Y79" s="62"/>
    </row>
    <row r="80" spans="2:25" s="63" customFormat="1" ht="24.95" customHeight="1">
      <c r="B80" s="20" t="s">
        <v>65</v>
      </c>
      <c r="C80" s="199"/>
      <c r="D80" s="22" t="s">
        <v>66</v>
      </c>
      <c r="E80" s="22" t="s">
        <v>302</v>
      </c>
      <c r="F80" s="22">
        <v>50770</v>
      </c>
      <c r="G80" s="84">
        <v>0</v>
      </c>
      <c r="H80" s="22" t="s">
        <v>303</v>
      </c>
      <c r="I80" s="22"/>
      <c r="J80" s="22"/>
      <c r="K80" s="22" t="s">
        <v>67</v>
      </c>
      <c r="L80" s="85" t="s">
        <v>47</v>
      </c>
      <c r="M80" s="85"/>
      <c r="N80" s="85"/>
      <c r="O80" s="85"/>
      <c r="P80" s="85"/>
      <c r="Q80" s="24"/>
      <c r="R80" s="42"/>
      <c r="S80" s="62"/>
      <c r="T80" s="62"/>
      <c r="U80" s="62"/>
      <c r="V80" s="62"/>
      <c r="W80" s="62"/>
      <c r="X80" s="62"/>
      <c r="Y80" s="62"/>
    </row>
    <row r="81" spans="1:25" ht="24.95" customHeight="1">
      <c r="B81" s="20" t="s">
        <v>10</v>
      </c>
      <c r="C81" s="73" t="s">
        <v>68</v>
      </c>
      <c r="D81" s="73" t="s">
        <v>69</v>
      </c>
      <c r="E81" s="22" t="s">
        <v>306</v>
      </c>
      <c r="F81" s="22">
        <v>55511</v>
      </c>
      <c r="G81" s="84">
        <v>5</v>
      </c>
      <c r="H81" s="22" t="s">
        <v>278</v>
      </c>
      <c r="I81" s="22"/>
      <c r="J81" s="25"/>
      <c r="K81" s="22" t="s">
        <v>29</v>
      </c>
      <c r="L81" s="81" t="s">
        <v>694</v>
      </c>
      <c r="M81" s="81"/>
      <c r="N81" s="81"/>
      <c r="O81" s="81"/>
      <c r="P81" s="81" t="s">
        <v>187</v>
      </c>
      <c r="Q81" s="24">
        <v>1.05</v>
      </c>
      <c r="R81" s="208"/>
      <c r="T81" s="14"/>
      <c r="U81" s="14"/>
      <c r="V81" s="14"/>
      <c r="W81" s="14"/>
      <c r="X81" s="14"/>
      <c r="Y81" s="14"/>
    </row>
    <row r="82" spans="1:25" ht="24.95" customHeight="1">
      <c r="B82" s="20" t="s">
        <v>10</v>
      </c>
      <c r="C82" s="198" t="s">
        <v>70</v>
      </c>
      <c r="D82" s="21" t="s">
        <v>71</v>
      </c>
      <c r="E82" s="22" t="s">
        <v>309</v>
      </c>
      <c r="F82" s="22">
        <v>55511</v>
      </c>
      <c r="G82" s="84">
        <v>5</v>
      </c>
      <c r="H82" s="22" t="s">
        <v>289</v>
      </c>
      <c r="I82" s="22"/>
      <c r="J82" s="25"/>
      <c r="K82" s="22" t="s">
        <v>72</v>
      </c>
      <c r="L82" s="87" t="s">
        <v>695</v>
      </c>
      <c r="M82" s="87" t="s">
        <v>696</v>
      </c>
      <c r="N82" s="88"/>
      <c r="O82" s="88"/>
      <c r="P82" s="88" t="s">
        <v>308</v>
      </c>
      <c r="Q82" s="24">
        <v>3.3</v>
      </c>
      <c r="R82" s="208"/>
      <c r="T82" s="14"/>
      <c r="U82" s="14"/>
      <c r="V82" s="14"/>
      <c r="W82" s="14"/>
      <c r="X82" s="14"/>
      <c r="Y82" s="14"/>
    </row>
    <row r="83" spans="1:25" ht="24.95" customHeight="1">
      <c r="B83" s="20" t="s">
        <v>10</v>
      </c>
      <c r="C83" s="198"/>
      <c r="D83" s="21" t="s">
        <v>73</v>
      </c>
      <c r="E83" s="22" t="s">
        <v>310</v>
      </c>
      <c r="F83" s="22">
        <v>55511</v>
      </c>
      <c r="G83" s="84">
        <v>3</v>
      </c>
      <c r="H83" s="22"/>
      <c r="I83" s="22"/>
      <c r="J83" s="25"/>
      <c r="K83" s="22" t="s">
        <v>74</v>
      </c>
      <c r="L83" s="87" t="s">
        <v>697</v>
      </c>
      <c r="M83" s="87" t="s">
        <v>698</v>
      </c>
      <c r="N83" s="88"/>
      <c r="O83" s="88"/>
      <c r="P83" s="88" t="s">
        <v>35</v>
      </c>
      <c r="Q83" s="24">
        <v>4.0199999999999996</v>
      </c>
      <c r="R83" s="208"/>
      <c r="T83" s="14"/>
      <c r="U83" s="14"/>
      <c r="V83" s="14"/>
      <c r="W83" s="14"/>
      <c r="X83" s="14"/>
      <c r="Y83" s="14"/>
    </row>
    <row r="84" spans="1:25" ht="24.95" customHeight="1">
      <c r="B84" s="20" t="s">
        <v>10</v>
      </c>
      <c r="C84" s="198"/>
      <c r="D84" s="21" t="s">
        <v>75</v>
      </c>
      <c r="E84" s="22" t="s">
        <v>311</v>
      </c>
      <c r="F84" s="22">
        <v>60031</v>
      </c>
      <c r="G84" s="84">
        <v>7</v>
      </c>
      <c r="H84" s="22" t="s">
        <v>278</v>
      </c>
      <c r="I84" s="22"/>
      <c r="J84" s="25"/>
      <c r="K84" s="22" t="s">
        <v>76</v>
      </c>
      <c r="L84" s="87" t="s">
        <v>699</v>
      </c>
      <c r="M84" s="87" t="s">
        <v>700</v>
      </c>
      <c r="N84" s="88"/>
      <c r="O84" s="88"/>
      <c r="P84" s="88" t="s">
        <v>76</v>
      </c>
      <c r="Q84" s="24">
        <v>5.03</v>
      </c>
      <c r="R84" s="208"/>
      <c r="T84" s="14"/>
      <c r="U84" s="14"/>
      <c r="V84" s="14"/>
      <c r="W84" s="14"/>
      <c r="X84" s="14"/>
      <c r="Y84" s="14"/>
    </row>
    <row r="85" spans="1:25" ht="24.95" customHeight="1">
      <c r="B85" s="20" t="s">
        <v>6</v>
      </c>
      <c r="C85" s="199"/>
      <c r="D85" s="21" t="s">
        <v>77</v>
      </c>
      <c r="E85" s="22" t="s">
        <v>313</v>
      </c>
      <c r="F85" s="22">
        <v>51803</v>
      </c>
      <c r="G85" s="84">
        <v>4</v>
      </c>
      <c r="H85" s="22" t="s">
        <v>314</v>
      </c>
      <c r="I85" s="22"/>
      <c r="J85" s="25"/>
      <c r="K85" s="22" t="s">
        <v>78</v>
      </c>
      <c r="L85" s="87" t="s">
        <v>701</v>
      </c>
      <c r="M85" s="87" t="s">
        <v>702</v>
      </c>
      <c r="N85" s="88"/>
      <c r="O85" s="88"/>
      <c r="P85" s="88" t="s">
        <v>312</v>
      </c>
      <c r="Q85" s="24">
        <v>1.1299999999999999</v>
      </c>
      <c r="R85" s="208"/>
      <c r="T85" s="14"/>
      <c r="U85" s="14"/>
      <c r="V85" s="14"/>
      <c r="W85" s="14"/>
      <c r="X85" s="14"/>
      <c r="Y85" s="14"/>
    </row>
    <row r="86" spans="1:25" ht="24.95" customHeight="1">
      <c r="B86" s="20" t="s">
        <v>10</v>
      </c>
      <c r="C86" s="198" t="s">
        <v>79</v>
      </c>
      <c r="D86" s="48" t="s">
        <v>80</v>
      </c>
      <c r="E86" s="26" t="s">
        <v>316</v>
      </c>
      <c r="F86" s="26">
        <v>43748</v>
      </c>
      <c r="G86" s="84">
        <v>4</v>
      </c>
      <c r="H86" s="25" t="s">
        <v>272</v>
      </c>
      <c r="I86" s="22" t="s">
        <v>317</v>
      </c>
      <c r="J86" s="22" t="s">
        <v>318</v>
      </c>
      <c r="K86" s="22" t="s">
        <v>29</v>
      </c>
      <c r="L86" s="89" t="s">
        <v>703</v>
      </c>
      <c r="M86" s="90" t="s">
        <v>704</v>
      </c>
      <c r="N86" s="90" t="s">
        <v>705</v>
      </c>
      <c r="O86" s="23"/>
      <c r="P86" s="85" t="s">
        <v>187</v>
      </c>
      <c r="Q86" s="24">
        <v>1.04</v>
      </c>
      <c r="R86" s="211"/>
      <c r="S86" s="213" t="s">
        <v>315</v>
      </c>
      <c r="T86" s="214"/>
      <c r="U86" s="14"/>
      <c r="V86" s="14"/>
      <c r="W86" s="14"/>
      <c r="X86" s="14"/>
      <c r="Y86" s="14"/>
    </row>
    <row r="87" spans="1:25" ht="24.95" customHeight="1">
      <c r="B87" s="20" t="s">
        <v>10</v>
      </c>
      <c r="C87" s="198"/>
      <c r="D87" s="21" t="s">
        <v>81</v>
      </c>
      <c r="E87" s="22" t="s">
        <v>322</v>
      </c>
      <c r="F87" s="22">
        <v>52576</v>
      </c>
      <c r="G87" s="84">
        <v>8</v>
      </c>
      <c r="H87" s="22" t="s">
        <v>289</v>
      </c>
      <c r="I87" s="22" t="s">
        <v>323</v>
      </c>
      <c r="J87" s="27" t="s">
        <v>324</v>
      </c>
      <c r="K87" s="22" t="s">
        <v>82</v>
      </c>
      <c r="L87" s="91"/>
      <c r="M87" s="90"/>
      <c r="N87" s="23" t="s">
        <v>706</v>
      </c>
      <c r="O87" s="23"/>
      <c r="P87" s="23" t="s">
        <v>319</v>
      </c>
      <c r="Q87" s="24">
        <v>3.3</v>
      </c>
      <c r="R87" s="211"/>
      <c r="S87" s="14" t="s">
        <v>320</v>
      </c>
      <c r="T87" s="15" t="s">
        <v>321</v>
      </c>
      <c r="U87" s="14" t="s">
        <v>83</v>
      </c>
      <c r="V87" s="14"/>
      <c r="W87" s="14"/>
      <c r="X87" s="14"/>
      <c r="Y87" s="14"/>
    </row>
    <row r="88" spans="1:25" ht="24.95" customHeight="1">
      <c r="B88" s="20" t="s">
        <v>10</v>
      </c>
      <c r="C88" s="198"/>
      <c r="D88" s="21" t="s">
        <v>84</v>
      </c>
      <c r="E88" s="29" t="s">
        <v>328</v>
      </c>
      <c r="F88" s="29">
        <v>52576</v>
      </c>
      <c r="G88" s="84">
        <v>7</v>
      </c>
      <c r="H88" s="29" t="s">
        <v>278</v>
      </c>
      <c r="I88" s="29" t="s">
        <v>329</v>
      </c>
      <c r="J88" s="30" t="s">
        <v>330</v>
      </c>
      <c r="K88" s="29" t="s">
        <v>31</v>
      </c>
      <c r="L88" s="91" t="s">
        <v>707</v>
      </c>
      <c r="M88" s="90" t="s">
        <v>708</v>
      </c>
      <c r="N88" s="92" t="s">
        <v>709</v>
      </c>
      <c r="O88" s="93"/>
      <c r="P88" s="93" t="s">
        <v>325</v>
      </c>
      <c r="Q88" s="32">
        <v>2.2999999999999998</v>
      </c>
      <c r="R88" s="211"/>
      <c r="S88" s="14" t="s">
        <v>326</v>
      </c>
      <c r="T88" s="15" t="s">
        <v>327</v>
      </c>
      <c r="U88" s="14" t="s">
        <v>85</v>
      </c>
      <c r="V88" s="14"/>
      <c r="W88" s="14"/>
      <c r="X88" s="14"/>
      <c r="Y88" s="14"/>
    </row>
    <row r="89" spans="1:25" ht="24.95" customHeight="1">
      <c r="B89" s="20" t="s">
        <v>10</v>
      </c>
      <c r="C89" s="198"/>
      <c r="D89" s="21" t="s">
        <v>86</v>
      </c>
      <c r="E89" s="22" t="s">
        <v>331</v>
      </c>
      <c r="F89" s="22">
        <v>53292</v>
      </c>
      <c r="G89" s="84">
        <v>5</v>
      </c>
      <c r="H89" s="22" t="s">
        <v>278</v>
      </c>
      <c r="I89" s="22" t="s">
        <v>332</v>
      </c>
      <c r="J89" s="27" t="s">
        <v>333</v>
      </c>
      <c r="K89" s="22" t="s">
        <v>87</v>
      </c>
      <c r="L89" s="85" t="s">
        <v>47</v>
      </c>
      <c r="M89" s="90" t="s">
        <v>710</v>
      </c>
      <c r="N89" s="85" t="s">
        <v>47</v>
      </c>
      <c r="O89" s="92"/>
      <c r="P89" s="92" t="s">
        <v>87</v>
      </c>
      <c r="Q89" s="24">
        <v>4.12</v>
      </c>
      <c r="R89" s="211"/>
      <c r="T89" s="15"/>
      <c r="U89" s="14"/>
      <c r="V89" s="14"/>
      <c r="W89" s="14"/>
      <c r="X89" s="14"/>
      <c r="Y89" s="14"/>
    </row>
    <row r="90" spans="1:25" ht="24.95" customHeight="1">
      <c r="B90" s="20" t="s">
        <v>6</v>
      </c>
      <c r="C90" s="198"/>
      <c r="D90" s="21" t="s">
        <v>88</v>
      </c>
      <c r="E90" s="22" t="s">
        <v>335</v>
      </c>
      <c r="F90" s="22">
        <v>54464</v>
      </c>
      <c r="G90" s="84">
        <v>5</v>
      </c>
      <c r="H90" s="22" t="s">
        <v>278</v>
      </c>
      <c r="I90" s="22" t="s">
        <v>336</v>
      </c>
      <c r="J90" s="27" t="s">
        <v>337</v>
      </c>
      <c r="K90" s="22" t="s">
        <v>89</v>
      </c>
      <c r="L90" s="85" t="s">
        <v>47</v>
      </c>
      <c r="M90" s="90" t="s">
        <v>711</v>
      </c>
      <c r="N90" s="94" t="s">
        <v>711</v>
      </c>
      <c r="O90" s="23"/>
      <c r="P90" s="23" t="s">
        <v>334</v>
      </c>
      <c r="Q90" s="24"/>
      <c r="R90" s="211"/>
      <c r="T90" s="15"/>
      <c r="U90" s="14"/>
      <c r="V90" s="14"/>
      <c r="W90" s="14"/>
      <c r="X90" s="14"/>
      <c r="Y90" s="14"/>
    </row>
    <row r="91" spans="1:25" ht="24.95" customHeight="1">
      <c r="B91" s="20" t="s">
        <v>90</v>
      </c>
      <c r="C91" s="198"/>
      <c r="D91" s="21" t="s">
        <v>91</v>
      </c>
      <c r="E91" s="22" t="s">
        <v>338</v>
      </c>
      <c r="F91" s="22">
        <v>52576</v>
      </c>
      <c r="G91" s="84">
        <v>7</v>
      </c>
      <c r="H91" s="22" t="s">
        <v>278</v>
      </c>
      <c r="I91" s="22" t="s">
        <v>339</v>
      </c>
      <c r="J91" s="22" t="s">
        <v>340</v>
      </c>
      <c r="K91" s="22" t="s">
        <v>92</v>
      </c>
      <c r="L91" s="85" t="s">
        <v>47</v>
      </c>
      <c r="M91" s="90"/>
      <c r="N91" s="85"/>
      <c r="O91" s="85"/>
      <c r="P91" s="85"/>
      <c r="Q91" s="24"/>
      <c r="R91" s="211"/>
      <c r="S91" s="15" t="s">
        <v>341</v>
      </c>
      <c r="T91" s="15" t="s">
        <v>342</v>
      </c>
      <c r="U91" s="14"/>
      <c r="V91" s="15"/>
      <c r="W91" s="14"/>
      <c r="X91" s="14"/>
      <c r="Y91" s="14"/>
    </row>
    <row r="92" spans="1:25" ht="24.95" customHeight="1">
      <c r="B92" s="20" t="s">
        <v>90</v>
      </c>
      <c r="C92" s="198"/>
      <c r="D92" s="21" t="s">
        <v>93</v>
      </c>
      <c r="E92" s="22" t="s">
        <v>343</v>
      </c>
      <c r="F92" s="22">
        <v>52576</v>
      </c>
      <c r="G92" s="84">
        <v>6</v>
      </c>
      <c r="H92" s="22" t="s">
        <v>278</v>
      </c>
      <c r="I92" s="22" t="s">
        <v>344</v>
      </c>
      <c r="J92" s="22" t="s">
        <v>345</v>
      </c>
      <c r="K92" s="22" t="s">
        <v>94</v>
      </c>
      <c r="L92" s="85" t="s">
        <v>47</v>
      </c>
      <c r="M92" s="90"/>
      <c r="N92" s="85"/>
      <c r="O92" s="85"/>
      <c r="P92" s="85"/>
      <c r="Q92" s="24"/>
      <c r="R92" s="211"/>
      <c r="S92" s="15" t="s">
        <v>346</v>
      </c>
      <c r="T92" s="15" t="s">
        <v>347</v>
      </c>
      <c r="U92" s="14"/>
      <c r="V92" s="15"/>
      <c r="W92" s="14"/>
      <c r="X92" s="14"/>
      <c r="Y92" s="14"/>
    </row>
    <row r="93" spans="1:25" ht="24.95" customHeight="1">
      <c r="B93" s="20" t="s">
        <v>90</v>
      </c>
      <c r="C93" s="198"/>
      <c r="D93" s="21" t="s">
        <v>95</v>
      </c>
      <c r="E93" s="22" t="s">
        <v>348</v>
      </c>
      <c r="F93" s="22">
        <v>52576</v>
      </c>
      <c r="G93" s="84">
        <v>2</v>
      </c>
      <c r="H93" s="22" t="s">
        <v>278</v>
      </c>
      <c r="I93" s="22" t="s">
        <v>349</v>
      </c>
      <c r="J93" s="27" t="s">
        <v>350</v>
      </c>
      <c r="K93" s="22" t="s">
        <v>96</v>
      </c>
      <c r="L93" s="85" t="s">
        <v>712</v>
      </c>
      <c r="M93" s="85" t="s">
        <v>713</v>
      </c>
      <c r="N93" s="85"/>
      <c r="O93" s="85"/>
      <c r="P93" s="85"/>
      <c r="Q93" s="24"/>
      <c r="R93" s="211"/>
      <c r="T93" s="15" t="s">
        <v>351</v>
      </c>
      <c r="U93" s="14"/>
      <c r="V93" s="14"/>
      <c r="W93" s="14"/>
      <c r="X93" s="14"/>
      <c r="Y93" s="14"/>
    </row>
    <row r="94" spans="1:25" ht="24.95" customHeight="1">
      <c r="B94" s="20" t="s">
        <v>90</v>
      </c>
      <c r="C94" s="199"/>
      <c r="D94" s="21" t="s">
        <v>97</v>
      </c>
      <c r="E94" s="22" t="s">
        <v>352</v>
      </c>
      <c r="F94" s="22">
        <v>52576</v>
      </c>
      <c r="G94" s="84">
        <v>2</v>
      </c>
      <c r="H94" s="22" t="s">
        <v>278</v>
      </c>
      <c r="I94" s="22" t="s">
        <v>353</v>
      </c>
      <c r="J94" s="27" t="s">
        <v>354</v>
      </c>
      <c r="K94" s="22" t="s">
        <v>98</v>
      </c>
      <c r="L94" s="85" t="s">
        <v>712</v>
      </c>
      <c r="M94" s="85" t="s">
        <v>713</v>
      </c>
      <c r="N94" s="85"/>
      <c r="O94" s="85"/>
      <c r="P94" s="85"/>
      <c r="Q94" s="24">
        <v>3.9</v>
      </c>
      <c r="R94" s="212"/>
      <c r="T94" s="15" t="s">
        <v>351</v>
      </c>
      <c r="U94" s="14"/>
      <c r="V94" s="14"/>
      <c r="W94" s="14"/>
      <c r="X94" s="14"/>
      <c r="Y94" s="14"/>
    </row>
    <row r="95" spans="1:25" ht="24.95" customHeight="1">
      <c r="A95" s="113" t="s">
        <v>1221</v>
      </c>
      <c r="B95" s="20" t="s">
        <v>6</v>
      </c>
      <c r="C95" s="22" t="s">
        <v>498</v>
      </c>
      <c r="D95" s="21" t="s">
        <v>1222</v>
      </c>
      <c r="E95" s="22" t="s">
        <v>1223</v>
      </c>
      <c r="F95" s="22">
        <v>62636</v>
      </c>
      <c r="G95" s="84">
        <v>0</v>
      </c>
      <c r="H95" s="22" t="s">
        <v>278</v>
      </c>
      <c r="I95" s="22" t="s">
        <v>47</v>
      </c>
      <c r="J95" s="27" t="s">
        <v>47</v>
      </c>
      <c r="K95" s="22" t="s">
        <v>1224</v>
      </c>
      <c r="L95" s="85"/>
      <c r="M95" s="85"/>
      <c r="N95" s="85"/>
      <c r="O95" s="85"/>
      <c r="P95" s="146" t="s">
        <v>1309</v>
      </c>
      <c r="Q95" s="24"/>
      <c r="R95" s="107"/>
      <c r="T95" s="15"/>
      <c r="U95" s="14"/>
      <c r="V95" s="14"/>
      <c r="W95" s="14"/>
      <c r="X95" s="14"/>
      <c r="Y95" s="14"/>
    </row>
    <row r="96" spans="1:25" ht="24.95" customHeight="1">
      <c r="B96" s="28" t="s">
        <v>6</v>
      </c>
      <c r="C96" s="198" t="s">
        <v>99</v>
      </c>
      <c r="D96" s="46" t="s">
        <v>100</v>
      </c>
      <c r="E96" s="29" t="s">
        <v>271</v>
      </c>
      <c r="F96" s="29">
        <v>55511</v>
      </c>
      <c r="G96" s="84">
        <v>4</v>
      </c>
      <c r="H96" s="29" t="s">
        <v>278</v>
      </c>
      <c r="I96" s="29"/>
      <c r="J96" s="30"/>
      <c r="K96" s="29" t="s">
        <v>101</v>
      </c>
      <c r="L96" s="31" t="s">
        <v>714</v>
      </c>
      <c r="M96" s="31"/>
      <c r="N96" s="31"/>
      <c r="O96" s="31"/>
      <c r="P96" s="95" t="s">
        <v>187</v>
      </c>
      <c r="Q96" s="32">
        <v>1.03</v>
      </c>
      <c r="R96" s="215"/>
      <c r="T96" s="15"/>
      <c r="U96" s="14"/>
      <c r="V96" s="14"/>
      <c r="W96" s="14"/>
      <c r="X96" s="14"/>
      <c r="Y96" s="14"/>
    </row>
    <row r="97" spans="1:25" ht="24.95" customHeight="1">
      <c r="B97" s="28" t="s">
        <v>6</v>
      </c>
      <c r="C97" s="199"/>
      <c r="D97" s="46" t="s">
        <v>102</v>
      </c>
      <c r="E97" s="29" t="s">
        <v>356</v>
      </c>
      <c r="F97" s="29">
        <v>55616</v>
      </c>
      <c r="G97" s="84">
        <v>5</v>
      </c>
      <c r="H97" s="29" t="s">
        <v>278</v>
      </c>
      <c r="I97" s="29"/>
      <c r="J97" s="30"/>
      <c r="K97" s="29" t="s">
        <v>103</v>
      </c>
      <c r="L97" s="31" t="s">
        <v>715</v>
      </c>
      <c r="M97" s="31"/>
      <c r="N97" s="31"/>
      <c r="O97" s="31"/>
      <c r="P97" s="31" t="s">
        <v>355</v>
      </c>
      <c r="Q97" s="32">
        <v>2</v>
      </c>
      <c r="R97" s="216"/>
      <c r="T97" s="15"/>
      <c r="U97" s="14"/>
      <c r="V97" s="14"/>
      <c r="W97" s="14"/>
      <c r="X97" s="14"/>
      <c r="Y97" s="14"/>
    </row>
    <row r="98" spans="1:25" ht="24.95" customHeight="1">
      <c r="B98" s="20" t="s">
        <v>10</v>
      </c>
      <c r="C98" s="197" t="s">
        <v>104</v>
      </c>
      <c r="D98" s="22" t="s">
        <v>105</v>
      </c>
      <c r="E98" s="22" t="s">
        <v>357</v>
      </c>
      <c r="F98" s="22">
        <v>42074</v>
      </c>
      <c r="G98" s="84">
        <v>0</v>
      </c>
      <c r="H98" s="22" t="s">
        <v>272</v>
      </c>
      <c r="I98" s="22" t="s">
        <v>358</v>
      </c>
      <c r="J98" s="22" t="s">
        <v>359</v>
      </c>
      <c r="K98" s="25" t="s">
        <v>106</v>
      </c>
      <c r="L98" s="85" t="s">
        <v>716</v>
      </c>
      <c r="M98" s="85"/>
      <c r="N98" s="85"/>
      <c r="O98" s="85"/>
      <c r="P98" s="85" t="s">
        <v>360</v>
      </c>
      <c r="Q98" s="24">
        <v>1</v>
      </c>
      <c r="R98" s="42"/>
      <c r="S98" s="15" t="s">
        <v>361</v>
      </c>
      <c r="T98" s="14"/>
      <c r="U98" s="14"/>
      <c r="V98" s="14"/>
      <c r="W98" s="14"/>
      <c r="X98" s="14"/>
      <c r="Y98" s="14"/>
    </row>
    <row r="99" spans="1:25" ht="24.95" customHeight="1">
      <c r="B99" s="20" t="s">
        <v>10</v>
      </c>
      <c r="C99" s="198"/>
      <c r="D99" s="26" t="s">
        <v>107</v>
      </c>
      <c r="E99" s="26" t="s">
        <v>364</v>
      </c>
      <c r="F99" s="26">
        <v>55511</v>
      </c>
      <c r="G99" s="84">
        <v>1</v>
      </c>
      <c r="H99" s="22" t="s">
        <v>278</v>
      </c>
      <c r="I99" s="22" t="s">
        <v>365</v>
      </c>
      <c r="J99" s="22" t="s">
        <v>366</v>
      </c>
      <c r="K99" s="25" t="s">
        <v>106</v>
      </c>
      <c r="L99" s="85" t="s">
        <v>717</v>
      </c>
      <c r="M99" s="85"/>
      <c r="N99" s="85"/>
      <c r="O99" s="85"/>
      <c r="P99" s="85" t="s">
        <v>362</v>
      </c>
      <c r="Q99" s="24">
        <v>1</v>
      </c>
      <c r="R99" s="42" t="s">
        <v>363</v>
      </c>
      <c r="T99" s="14"/>
      <c r="U99" s="14"/>
      <c r="V99" s="14"/>
      <c r="W99" s="14"/>
      <c r="X99" s="14"/>
      <c r="Y99" s="14"/>
    </row>
    <row r="100" spans="1:25" ht="24.95" customHeight="1">
      <c r="B100" s="20" t="s">
        <v>10</v>
      </c>
      <c r="C100" s="199"/>
      <c r="D100" s="74" t="s">
        <v>108</v>
      </c>
      <c r="E100" s="26" t="s">
        <v>368</v>
      </c>
      <c r="F100" s="26">
        <v>55511</v>
      </c>
      <c r="G100" s="84">
        <v>3</v>
      </c>
      <c r="H100" s="22" t="s">
        <v>278</v>
      </c>
      <c r="I100" s="26" t="s">
        <v>369</v>
      </c>
      <c r="J100" s="22" t="s">
        <v>47</v>
      </c>
      <c r="K100" s="25" t="s">
        <v>109</v>
      </c>
      <c r="L100" s="85" t="s">
        <v>718</v>
      </c>
      <c r="M100" s="85"/>
      <c r="N100" s="85"/>
      <c r="O100" s="85"/>
      <c r="P100" s="85" t="s">
        <v>367</v>
      </c>
      <c r="Q100" s="24">
        <v>1.04</v>
      </c>
      <c r="R100" s="42" t="s">
        <v>363</v>
      </c>
      <c r="T100" s="14"/>
      <c r="U100" s="14"/>
      <c r="V100" s="14"/>
      <c r="W100" s="14"/>
      <c r="X100" s="14"/>
      <c r="Y100" s="14"/>
    </row>
    <row r="101" spans="1:25" ht="24.95" customHeight="1">
      <c r="B101" s="20" t="s">
        <v>10</v>
      </c>
      <c r="C101" s="197" t="s">
        <v>110</v>
      </c>
      <c r="D101" s="22" t="s">
        <v>111</v>
      </c>
      <c r="E101" s="26" t="s">
        <v>316</v>
      </c>
      <c r="F101" s="26">
        <v>42055</v>
      </c>
      <c r="G101" s="84">
        <v>6</v>
      </c>
      <c r="H101" s="22" t="s">
        <v>272</v>
      </c>
      <c r="I101" s="22" t="s">
        <v>371</v>
      </c>
      <c r="J101" s="22" t="s">
        <v>372</v>
      </c>
      <c r="K101" s="25" t="s">
        <v>106</v>
      </c>
      <c r="L101" s="85" t="s">
        <v>719</v>
      </c>
      <c r="M101" s="85" t="s">
        <v>720</v>
      </c>
      <c r="N101" s="85"/>
      <c r="O101" s="85"/>
      <c r="P101" s="85" t="s">
        <v>187</v>
      </c>
      <c r="Q101" s="24">
        <v>1.05</v>
      </c>
      <c r="R101" s="42"/>
      <c r="S101" s="14" t="s">
        <v>370</v>
      </c>
      <c r="T101" s="14"/>
      <c r="U101" s="14"/>
      <c r="V101" s="14"/>
      <c r="W101" s="14"/>
      <c r="X101" s="14"/>
      <c r="Y101" s="14"/>
    </row>
    <row r="102" spans="1:25" ht="24.95" customHeight="1">
      <c r="B102" s="20" t="s">
        <v>10</v>
      </c>
      <c r="C102" s="199"/>
      <c r="D102" s="22" t="s">
        <v>112</v>
      </c>
      <c r="E102" s="26" t="s">
        <v>364</v>
      </c>
      <c r="F102" s="26">
        <v>55511</v>
      </c>
      <c r="G102" s="84">
        <v>1</v>
      </c>
      <c r="H102" s="22" t="s">
        <v>278</v>
      </c>
      <c r="I102" s="22" t="s">
        <v>373</v>
      </c>
      <c r="J102" s="22" t="s">
        <v>374</v>
      </c>
      <c r="K102" s="25" t="s">
        <v>106</v>
      </c>
      <c r="L102" s="85" t="s">
        <v>717</v>
      </c>
      <c r="M102" s="85"/>
      <c r="N102" s="85"/>
      <c r="O102" s="85"/>
      <c r="P102" s="85" t="s">
        <v>362</v>
      </c>
      <c r="Q102" s="24">
        <v>1</v>
      </c>
      <c r="R102" s="42" t="s">
        <v>363</v>
      </c>
      <c r="T102" s="14"/>
      <c r="U102" s="14"/>
      <c r="V102" s="14"/>
      <c r="W102" s="14"/>
      <c r="X102" s="14"/>
      <c r="Y102" s="14"/>
    </row>
    <row r="103" spans="1:25" ht="24.95" customHeight="1">
      <c r="B103" s="20" t="s">
        <v>10</v>
      </c>
      <c r="C103" s="217" t="s">
        <v>113</v>
      </c>
      <c r="D103" s="22" t="s">
        <v>114</v>
      </c>
      <c r="E103" s="26" t="s">
        <v>316</v>
      </c>
      <c r="F103" s="26">
        <v>55511</v>
      </c>
      <c r="G103" s="84">
        <v>2</v>
      </c>
      <c r="H103" s="22" t="s">
        <v>272</v>
      </c>
      <c r="I103" s="22" t="s">
        <v>375</v>
      </c>
      <c r="J103" s="22" t="s">
        <v>376</v>
      </c>
      <c r="K103" s="22"/>
      <c r="L103" s="23" t="s">
        <v>721</v>
      </c>
      <c r="M103" s="23"/>
      <c r="N103" s="23"/>
      <c r="O103" s="23"/>
      <c r="P103" s="85" t="s">
        <v>187</v>
      </c>
      <c r="Q103" s="24">
        <v>1.03</v>
      </c>
      <c r="R103" s="219" t="s">
        <v>113</v>
      </c>
      <c r="T103" s="14"/>
      <c r="U103" s="14"/>
      <c r="V103" s="14"/>
      <c r="W103" s="14"/>
      <c r="X103" s="14"/>
      <c r="Y103" s="14"/>
    </row>
    <row r="104" spans="1:25" ht="24.95" customHeight="1">
      <c r="B104" s="20" t="s">
        <v>10</v>
      </c>
      <c r="C104" s="218"/>
      <c r="D104" s="22" t="s">
        <v>115</v>
      </c>
      <c r="E104" s="26" t="s">
        <v>377</v>
      </c>
      <c r="F104" s="26">
        <v>55511</v>
      </c>
      <c r="G104" s="84">
        <v>2</v>
      </c>
      <c r="H104" s="22" t="s">
        <v>278</v>
      </c>
      <c r="I104" s="22" t="s">
        <v>378</v>
      </c>
      <c r="J104" s="22" t="s">
        <v>379</v>
      </c>
      <c r="K104" s="22" t="s">
        <v>116</v>
      </c>
      <c r="L104" s="23" t="s">
        <v>722</v>
      </c>
      <c r="M104" s="23"/>
      <c r="N104" s="23"/>
      <c r="O104" s="23"/>
      <c r="P104" s="23" t="s">
        <v>362</v>
      </c>
      <c r="Q104" s="24">
        <v>1</v>
      </c>
      <c r="R104" s="212"/>
      <c r="T104" s="14"/>
      <c r="U104" s="14"/>
      <c r="V104" s="14"/>
      <c r="W104" s="14"/>
      <c r="X104" s="14"/>
      <c r="Y104" s="14"/>
    </row>
    <row r="105" spans="1:25" ht="24.95" customHeight="1">
      <c r="B105" s="20" t="s">
        <v>10</v>
      </c>
      <c r="C105" s="33" t="s">
        <v>117</v>
      </c>
      <c r="D105" s="26" t="s">
        <v>118</v>
      </c>
      <c r="E105" s="26" t="s">
        <v>264</v>
      </c>
      <c r="F105" s="26">
        <v>55511</v>
      </c>
      <c r="G105" s="84">
        <v>5</v>
      </c>
      <c r="H105" s="22" t="s">
        <v>278</v>
      </c>
      <c r="I105" s="26" t="s">
        <v>47</v>
      </c>
      <c r="J105" s="22" t="s">
        <v>47</v>
      </c>
      <c r="K105" s="25" t="s">
        <v>106</v>
      </c>
      <c r="L105" s="23" t="s">
        <v>723</v>
      </c>
      <c r="M105" s="23"/>
      <c r="N105" s="23"/>
      <c r="O105" s="23"/>
      <c r="P105" s="23" t="s">
        <v>380</v>
      </c>
      <c r="Q105" s="24">
        <v>1.03</v>
      </c>
      <c r="R105" s="219" t="s">
        <v>117</v>
      </c>
      <c r="T105" s="14"/>
      <c r="U105" s="14"/>
      <c r="V105" s="14"/>
      <c r="W105" s="14"/>
      <c r="X105" s="14"/>
      <c r="Y105" s="14"/>
    </row>
    <row r="106" spans="1:25" ht="24.95" customHeight="1">
      <c r="B106" s="20" t="s">
        <v>10</v>
      </c>
      <c r="C106" s="209" t="s">
        <v>119</v>
      </c>
      <c r="D106" s="26" t="s">
        <v>120</v>
      </c>
      <c r="E106" s="26" t="s">
        <v>382</v>
      </c>
      <c r="F106" s="26">
        <v>55511</v>
      </c>
      <c r="G106" s="84">
        <v>7</v>
      </c>
      <c r="H106" s="22" t="s">
        <v>278</v>
      </c>
      <c r="I106" s="26" t="s">
        <v>47</v>
      </c>
      <c r="J106" s="22" t="s">
        <v>47</v>
      </c>
      <c r="K106" s="25" t="s">
        <v>72</v>
      </c>
      <c r="L106" s="94" t="s">
        <v>724</v>
      </c>
      <c r="M106" s="90" t="s">
        <v>725</v>
      </c>
      <c r="N106" s="90" t="s">
        <v>726</v>
      </c>
      <c r="O106" s="90" t="s">
        <v>727</v>
      </c>
      <c r="P106" s="90" t="s">
        <v>381</v>
      </c>
      <c r="Q106" s="24">
        <v>2.15</v>
      </c>
      <c r="R106" s="211"/>
      <c r="T106" s="14"/>
      <c r="U106" s="14"/>
      <c r="V106" s="14"/>
      <c r="W106" s="14"/>
      <c r="X106" s="14"/>
      <c r="Y106" s="14"/>
    </row>
    <row r="107" spans="1:25" s="18" customFormat="1" ht="24.95" customHeight="1">
      <c r="B107" s="20" t="s">
        <v>10</v>
      </c>
      <c r="C107" s="220"/>
      <c r="D107" s="26" t="s">
        <v>121</v>
      </c>
      <c r="E107" s="26" t="s">
        <v>267</v>
      </c>
      <c r="F107" s="26">
        <v>55511</v>
      </c>
      <c r="G107" s="84">
        <v>3</v>
      </c>
      <c r="H107" s="22" t="s">
        <v>278</v>
      </c>
      <c r="I107" s="26" t="s">
        <v>47</v>
      </c>
      <c r="J107" s="22" t="s">
        <v>47</v>
      </c>
      <c r="K107" s="25" t="s">
        <v>122</v>
      </c>
      <c r="L107" s="94" t="s">
        <v>728</v>
      </c>
      <c r="M107" s="90" t="s">
        <v>729</v>
      </c>
      <c r="N107" s="90" t="s">
        <v>730</v>
      </c>
      <c r="O107" s="90" t="s">
        <v>731</v>
      </c>
      <c r="P107" s="90" t="s">
        <v>122</v>
      </c>
      <c r="Q107" s="24">
        <v>4.03</v>
      </c>
      <c r="R107" s="211"/>
      <c r="S107" s="14"/>
      <c r="T107" s="14"/>
      <c r="U107" s="14"/>
      <c r="V107" s="14"/>
      <c r="W107" s="14"/>
      <c r="X107" s="14"/>
      <c r="Y107" s="14"/>
    </row>
    <row r="108" spans="1:25" ht="24.95" customHeight="1">
      <c r="A108" s="106" t="s">
        <v>1352</v>
      </c>
      <c r="B108" s="20" t="s">
        <v>10</v>
      </c>
      <c r="C108" s="220"/>
      <c r="D108" s="26" t="s">
        <v>123</v>
      </c>
      <c r="E108" s="71" t="s">
        <v>1356</v>
      </c>
      <c r="F108" s="71">
        <v>62927</v>
      </c>
      <c r="G108" s="72">
        <v>5</v>
      </c>
      <c r="H108" s="22" t="s">
        <v>278</v>
      </c>
      <c r="I108" s="26" t="s">
        <v>47</v>
      </c>
      <c r="J108" s="22" t="s">
        <v>47</v>
      </c>
      <c r="K108" s="25" t="s">
        <v>124</v>
      </c>
      <c r="L108" s="94" t="s">
        <v>732</v>
      </c>
      <c r="M108" s="90" t="s">
        <v>733</v>
      </c>
      <c r="N108" s="90" t="s">
        <v>734</v>
      </c>
      <c r="O108" s="90" t="s">
        <v>735</v>
      </c>
      <c r="P108" s="90" t="s">
        <v>124</v>
      </c>
      <c r="Q108" s="24">
        <v>5.0199999999999996</v>
      </c>
      <c r="R108" s="211"/>
      <c r="T108" s="14"/>
      <c r="U108" s="14"/>
      <c r="V108" s="14"/>
      <c r="W108" s="14"/>
      <c r="X108" s="14"/>
      <c r="Y108" s="14"/>
    </row>
    <row r="109" spans="1:25" ht="24.95" customHeight="1">
      <c r="A109" s="106" t="s">
        <v>1352</v>
      </c>
      <c r="B109" s="20" t="s">
        <v>10</v>
      </c>
      <c r="C109" s="220"/>
      <c r="D109" s="26" t="s">
        <v>125</v>
      </c>
      <c r="E109" s="71" t="s">
        <v>1355</v>
      </c>
      <c r="F109" s="71">
        <v>62927</v>
      </c>
      <c r="G109" s="72">
        <v>4</v>
      </c>
      <c r="H109" s="22" t="s">
        <v>278</v>
      </c>
      <c r="I109" s="26" t="s">
        <v>47</v>
      </c>
      <c r="J109" s="22" t="s">
        <v>47</v>
      </c>
      <c r="K109" s="25" t="s">
        <v>124</v>
      </c>
      <c r="L109" s="94" t="s">
        <v>736</v>
      </c>
      <c r="M109" s="90" t="s">
        <v>737</v>
      </c>
      <c r="N109" s="90" t="s">
        <v>738</v>
      </c>
      <c r="O109" s="90" t="s">
        <v>739</v>
      </c>
      <c r="P109" s="90" t="s">
        <v>124</v>
      </c>
      <c r="Q109" s="24">
        <v>6.1</v>
      </c>
      <c r="R109" s="211"/>
      <c r="T109" s="14"/>
      <c r="U109" s="14"/>
      <c r="V109" s="14"/>
      <c r="W109" s="14"/>
      <c r="X109" s="14"/>
      <c r="Y109" s="14"/>
    </row>
    <row r="110" spans="1:25" ht="24.95" customHeight="1">
      <c r="A110" s="106" t="s">
        <v>1352</v>
      </c>
      <c r="B110" s="20" t="s">
        <v>10</v>
      </c>
      <c r="C110" s="220"/>
      <c r="D110" s="26" t="s">
        <v>126</v>
      </c>
      <c r="E110" s="71" t="s">
        <v>1354</v>
      </c>
      <c r="F110" s="71">
        <v>62927</v>
      </c>
      <c r="G110" s="72">
        <v>4</v>
      </c>
      <c r="H110" s="22" t="s">
        <v>278</v>
      </c>
      <c r="I110" s="26" t="s">
        <v>47</v>
      </c>
      <c r="J110" s="22" t="s">
        <v>47</v>
      </c>
      <c r="K110" s="25" t="s">
        <v>127</v>
      </c>
      <c r="L110" s="94" t="s">
        <v>740</v>
      </c>
      <c r="M110" s="90" t="s">
        <v>741</v>
      </c>
      <c r="N110" s="90" t="s">
        <v>742</v>
      </c>
      <c r="O110" s="90" t="s">
        <v>743</v>
      </c>
      <c r="P110" s="90" t="s">
        <v>385</v>
      </c>
      <c r="Q110" s="24">
        <v>7</v>
      </c>
      <c r="R110" s="211"/>
      <c r="T110" s="14"/>
      <c r="U110" s="14"/>
      <c r="V110" s="14"/>
      <c r="W110" s="14"/>
      <c r="X110" s="14"/>
      <c r="Y110" s="14"/>
    </row>
    <row r="111" spans="1:25" ht="24.95" customHeight="1">
      <c r="A111" s="106" t="s">
        <v>1352</v>
      </c>
      <c r="B111" s="20" t="s">
        <v>10</v>
      </c>
      <c r="C111" s="220"/>
      <c r="D111" s="26" t="s">
        <v>128</v>
      </c>
      <c r="E111" s="71" t="s">
        <v>1353</v>
      </c>
      <c r="F111" s="71">
        <v>62927</v>
      </c>
      <c r="G111" s="72">
        <v>8</v>
      </c>
      <c r="H111" s="22" t="s">
        <v>278</v>
      </c>
      <c r="I111" s="26"/>
      <c r="J111" s="22"/>
      <c r="K111" s="22" t="s">
        <v>129</v>
      </c>
      <c r="L111" s="94" t="s">
        <v>1225</v>
      </c>
      <c r="M111" s="90" t="s">
        <v>1226</v>
      </c>
      <c r="N111" s="90" t="s">
        <v>1227</v>
      </c>
      <c r="O111" s="90" t="s">
        <v>1228</v>
      </c>
      <c r="P111" s="90" t="s">
        <v>76</v>
      </c>
      <c r="Q111" s="24"/>
      <c r="R111" s="54"/>
      <c r="T111" s="14"/>
      <c r="U111" s="14"/>
      <c r="V111" s="14"/>
      <c r="W111" s="14"/>
      <c r="X111" s="14"/>
      <c r="Y111" s="14"/>
    </row>
    <row r="112" spans="1:25" ht="24.95" customHeight="1">
      <c r="A112" s="106" t="s">
        <v>1352</v>
      </c>
      <c r="B112" s="20" t="s">
        <v>130</v>
      </c>
      <c r="C112" s="210"/>
      <c r="D112" s="26" t="s">
        <v>131</v>
      </c>
      <c r="E112" s="71" t="s">
        <v>1351</v>
      </c>
      <c r="F112" s="71">
        <v>62927</v>
      </c>
      <c r="G112" s="72">
        <v>2</v>
      </c>
      <c r="H112" s="22" t="s">
        <v>289</v>
      </c>
      <c r="I112" s="26"/>
      <c r="J112" s="22"/>
      <c r="K112" s="22" t="s">
        <v>42</v>
      </c>
      <c r="L112" s="94" t="s">
        <v>1229</v>
      </c>
      <c r="M112" s="90" t="s">
        <v>1230</v>
      </c>
      <c r="N112" s="111" t="s">
        <v>1231</v>
      </c>
      <c r="O112" s="90" t="s">
        <v>1232</v>
      </c>
      <c r="P112" s="22" t="s">
        <v>42</v>
      </c>
      <c r="Q112" s="24"/>
      <c r="R112" s="54"/>
      <c r="T112" s="14"/>
      <c r="U112" s="14"/>
      <c r="V112" s="14"/>
      <c r="W112" s="14"/>
      <c r="X112" s="14"/>
      <c r="Y112" s="14"/>
    </row>
    <row r="113" spans="1:25" ht="24.95" customHeight="1">
      <c r="B113" s="20" t="s">
        <v>6</v>
      </c>
      <c r="C113" s="209" t="s">
        <v>132</v>
      </c>
      <c r="D113" s="22" t="s">
        <v>133</v>
      </c>
      <c r="E113" s="26" t="s">
        <v>390</v>
      </c>
      <c r="F113" s="26">
        <v>55511</v>
      </c>
      <c r="G113" s="84">
        <v>9</v>
      </c>
      <c r="H113" s="22" t="s">
        <v>278</v>
      </c>
      <c r="I113" s="22" t="s">
        <v>47</v>
      </c>
      <c r="J113" s="22" t="s">
        <v>47</v>
      </c>
      <c r="K113" s="22" t="s">
        <v>48</v>
      </c>
      <c r="L113" s="85" t="s">
        <v>744</v>
      </c>
      <c r="M113" s="85" t="s">
        <v>745</v>
      </c>
      <c r="N113" s="85" t="s">
        <v>746</v>
      </c>
      <c r="O113" s="85"/>
      <c r="P113" s="85" t="s">
        <v>187</v>
      </c>
      <c r="Q113" s="24"/>
      <c r="R113" s="42" t="s">
        <v>389</v>
      </c>
      <c r="T113" s="14"/>
      <c r="U113" s="14"/>
      <c r="V113" s="14"/>
      <c r="W113" s="14"/>
      <c r="X113" s="14"/>
      <c r="Y113" s="14"/>
    </row>
    <row r="114" spans="1:25" ht="24.95" customHeight="1">
      <c r="B114" s="20" t="s">
        <v>6</v>
      </c>
      <c r="C114" s="210"/>
      <c r="D114" s="22" t="s">
        <v>134</v>
      </c>
      <c r="E114" s="26" t="s">
        <v>392</v>
      </c>
      <c r="F114" s="26">
        <v>55511</v>
      </c>
      <c r="G114" s="84">
        <v>5</v>
      </c>
      <c r="H114" s="22" t="s">
        <v>278</v>
      </c>
      <c r="I114" s="22" t="s">
        <v>47</v>
      </c>
      <c r="J114" s="22" t="s">
        <v>47</v>
      </c>
      <c r="K114" s="22" t="s">
        <v>135</v>
      </c>
      <c r="L114" s="85" t="s">
        <v>747</v>
      </c>
      <c r="M114" s="85" t="s">
        <v>747</v>
      </c>
      <c r="N114" s="85" t="s">
        <v>747</v>
      </c>
      <c r="O114" s="85"/>
      <c r="P114" s="85" t="s">
        <v>391</v>
      </c>
      <c r="Q114" s="24"/>
      <c r="R114" s="42" t="s">
        <v>389</v>
      </c>
      <c r="T114" s="14"/>
      <c r="U114" s="14"/>
      <c r="V114" s="14"/>
      <c r="W114" s="14"/>
      <c r="X114" s="14"/>
      <c r="Y114" s="14"/>
    </row>
    <row r="115" spans="1:25" ht="24.95" customHeight="1">
      <c r="B115" s="20" t="s">
        <v>90</v>
      </c>
      <c r="C115" s="209" t="s">
        <v>136</v>
      </c>
      <c r="D115" s="22" t="s">
        <v>138</v>
      </c>
      <c r="E115" s="26" t="s">
        <v>397</v>
      </c>
      <c r="F115" s="26">
        <v>55511</v>
      </c>
      <c r="G115" s="84">
        <v>3</v>
      </c>
      <c r="H115" s="22" t="s">
        <v>278</v>
      </c>
      <c r="I115" s="22" t="s">
        <v>47</v>
      </c>
      <c r="J115" s="22" t="s">
        <v>47</v>
      </c>
      <c r="K115" s="22" t="s">
        <v>139</v>
      </c>
      <c r="L115" s="23" t="s">
        <v>752</v>
      </c>
      <c r="M115" s="94" t="s">
        <v>753</v>
      </c>
      <c r="N115" s="94" t="s">
        <v>754</v>
      </c>
      <c r="O115" s="94" t="s">
        <v>755</v>
      </c>
      <c r="P115" s="94"/>
      <c r="Q115" s="24"/>
      <c r="R115" s="42" t="s">
        <v>147</v>
      </c>
      <c r="S115" s="15"/>
      <c r="T115" s="15" t="s">
        <v>398</v>
      </c>
      <c r="U115" s="14"/>
      <c r="V115" s="15"/>
      <c r="W115" s="14"/>
      <c r="X115" s="14"/>
      <c r="Y115" s="14"/>
    </row>
    <row r="116" spans="1:25" ht="24.95" customHeight="1">
      <c r="B116" s="20" t="s">
        <v>6</v>
      </c>
      <c r="C116" s="220"/>
      <c r="D116" s="22" t="s">
        <v>137</v>
      </c>
      <c r="E116" s="26" t="s">
        <v>394</v>
      </c>
      <c r="F116" s="26">
        <v>55511</v>
      </c>
      <c r="G116" s="84">
        <v>12</v>
      </c>
      <c r="H116" s="22" t="s">
        <v>278</v>
      </c>
      <c r="I116" s="22" t="s">
        <v>395</v>
      </c>
      <c r="J116" s="22" t="s">
        <v>47</v>
      </c>
      <c r="K116" s="22" t="s">
        <v>48</v>
      </c>
      <c r="L116" s="94" t="s">
        <v>748</v>
      </c>
      <c r="M116" s="94" t="s">
        <v>749</v>
      </c>
      <c r="N116" s="94" t="s">
        <v>750</v>
      </c>
      <c r="O116" s="94" t="s">
        <v>751</v>
      </c>
      <c r="P116" s="85" t="s">
        <v>325</v>
      </c>
      <c r="Q116" s="24">
        <v>3.14</v>
      </c>
      <c r="R116" s="42" t="s">
        <v>147</v>
      </c>
      <c r="S116" s="15" t="s">
        <v>393</v>
      </c>
      <c r="T116" s="14" t="s">
        <v>396</v>
      </c>
      <c r="U116" s="14"/>
      <c r="V116" s="15"/>
      <c r="W116" s="14"/>
      <c r="X116" s="14"/>
      <c r="Y116" s="14"/>
    </row>
    <row r="117" spans="1:25" ht="24.95" customHeight="1">
      <c r="B117" s="20" t="s">
        <v>6</v>
      </c>
      <c r="C117" s="220"/>
      <c r="D117" s="22" t="s">
        <v>142</v>
      </c>
      <c r="E117" s="26" t="s">
        <v>401</v>
      </c>
      <c r="F117" s="26">
        <v>55511</v>
      </c>
      <c r="G117" s="84">
        <v>2</v>
      </c>
      <c r="H117" s="22" t="s">
        <v>278</v>
      </c>
      <c r="I117" s="22"/>
      <c r="J117" s="22"/>
      <c r="K117" s="22" t="s">
        <v>143</v>
      </c>
      <c r="L117" s="85" t="s">
        <v>760</v>
      </c>
      <c r="M117" s="85" t="s">
        <v>761</v>
      </c>
      <c r="N117" s="85" t="s">
        <v>762</v>
      </c>
      <c r="O117" s="85" t="s">
        <v>47</v>
      </c>
      <c r="P117" s="85"/>
      <c r="Q117" s="24"/>
      <c r="R117" s="42" t="s">
        <v>147</v>
      </c>
      <c r="T117" s="14"/>
      <c r="U117" s="14"/>
      <c r="V117" s="15"/>
      <c r="W117" s="14"/>
      <c r="X117" s="14"/>
      <c r="Y117" s="14"/>
    </row>
    <row r="118" spans="1:25" ht="24.95" customHeight="1">
      <c r="B118" s="28" t="s">
        <v>6</v>
      </c>
      <c r="C118" s="210"/>
      <c r="D118" s="29" t="s">
        <v>140</v>
      </c>
      <c r="E118" s="26" t="s">
        <v>400</v>
      </c>
      <c r="F118" s="26">
        <v>55511</v>
      </c>
      <c r="G118" s="84">
        <v>8</v>
      </c>
      <c r="H118" s="29" t="s">
        <v>278</v>
      </c>
      <c r="I118" s="29" t="s">
        <v>47</v>
      </c>
      <c r="J118" s="29" t="s">
        <v>47</v>
      </c>
      <c r="K118" s="29" t="s">
        <v>141</v>
      </c>
      <c r="L118" s="94" t="s">
        <v>756</v>
      </c>
      <c r="M118" s="94" t="s">
        <v>757</v>
      </c>
      <c r="N118" s="94" t="s">
        <v>758</v>
      </c>
      <c r="O118" s="94" t="s">
        <v>759</v>
      </c>
      <c r="P118" s="85" t="s">
        <v>399</v>
      </c>
      <c r="Q118" s="32">
        <v>4.0599999999999996</v>
      </c>
      <c r="R118" s="43" t="s">
        <v>147</v>
      </c>
      <c r="S118" s="15"/>
      <c r="T118" s="14"/>
      <c r="U118" s="14"/>
      <c r="V118" s="15"/>
      <c r="W118" s="14"/>
      <c r="X118" s="14"/>
      <c r="Y118" s="14"/>
    </row>
    <row r="119" spans="1:25" ht="24.95" customHeight="1">
      <c r="A119" s="113" t="s">
        <v>1221</v>
      </c>
      <c r="B119" s="20" t="s">
        <v>6</v>
      </c>
      <c r="C119" s="110" t="s">
        <v>809</v>
      </c>
      <c r="D119" s="22" t="s">
        <v>1233</v>
      </c>
      <c r="E119" s="26" t="s">
        <v>1223</v>
      </c>
      <c r="F119" s="26">
        <v>63015</v>
      </c>
      <c r="G119" s="84">
        <v>0</v>
      </c>
      <c r="H119" s="29" t="s">
        <v>278</v>
      </c>
      <c r="I119" s="29" t="s">
        <v>47</v>
      </c>
      <c r="J119" s="29" t="s">
        <v>47</v>
      </c>
      <c r="K119" s="22" t="s">
        <v>1237</v>
      </c>
      <c r="L119" s="85"/>
      <c r="M119" s="85"/>
      <c r="N119" s="85"/>
      <c r="O119" s="85"/>
      <c r="P119" s="22" t="s">
        <v>1237</v>
      </c>
      <c r="Q119" s="24"/>
      <c r="R119" s="45"/>
      <c r="T119" s="14"/>
      <c r="U119" s="14"/>
      <c r="V119" s="15"/>
      <c r="W119" s="14"/>
      <c r="X119" s="14"/>
      <c r="Y119" s="14"/>
    </row>
    <row r="120" spans="1:25" ht="24.95" customHeight="1">
      <c r="A120" s="113" t="s">
        <v>1221</v>
      </c>
      <c r="B120" s="20" t="s">
        <v>6</v>
      </c>
      <c r="C120" s="110" t="s">
        <v>502</v>
      </c>
      <c r="D120" s="22" t="s">
        <v>1234</v>
      </c>
      <c r="E120" s="26" t="s">
        <v>1223</v>
      </c>
      <c r="F120" s="26">
        <v>62121</v>
      </c>
      <c r="G120" s="84">
        <v>0</v>
      </c>
      <c r="H120" s="29" t="s">
        <v>278</v>
      </c>
      <c r="I120" s="29" t="s">
        <v>47</v>
      </c>
      <c r="J120" s="29" t="s">
        <v>47</v>
      </c>
      <c r="K120" s="22" t="s">
        <v>1224</v>
      </c>
      <c r="L120" s="85"/>
      <c r="M120" s="85"/>
      <c r="N120" s="85"/>
      <c r="O120" s="85"/>
      <c r="P120" s="22" t="s">
        <v>1310</v>
      </c>
      <c r="Q120" s="24"/>
      <c r="R120" s="45"/>
      <c r="T120" s="14"/>
      <c r="U120" s="14"/>
      <c r="V120" s="15"/>
      <c r="W120" s="14"/>
      <c r="X120" s="14"/>
      <c r="Y120" s="14"/>
    </row>
    <row r="121" spans="1:25" ht="24.95" customHeight="1">
      <c r="B121" s="20" t="s">
        <v>10</v>
      </c>
      <c r="C121" s="83" t="s">
        <v>144</v>
      </c>
      <c r="D121" s="22" t="s">
        <v>145</v>
      </c>
      <c r="E121" s="26" t="s">
        <v>293</v>
      </c>
      <c r="F121" s="26">
        <v>55511</v>
      </c>
      <c r="G121" s="84">
        <v>7</v>
      </c>
      <c r="H121" s="22" t="s">
        <v>272</v>
      </c>
      <c r="I121" s="29" t="s">
        <v>47</v>
      </c>
      <c r="J121" s="29" t="s">
        <v>47</v>
      </c>
      <c r="K121" s="22" t="s">
        <v>146</v>
      </c>
      <c r="L121" s="23" t="s">
        <v>763</v>
      </c>
      <c r="M121" s="23"/>
      <c r="N121" s="23"/>
      <c r="O121" s="23"/>
      <c r="P121" s="85" t="s">
        <v>187</v>
      </c>
      <c r="Q121" s="24">
        <v>2.0099999999999998</v>
      </c>
      <c r="R121" s="219" t="s">
        <v>147</v>
      </c>
      <c r="T121" s="14"/>
      <c r="U121" s="14"/>
      <c r="V121" s="14"/>
      <c r="W121" s="14"/>
      <c r="X121" s="14"/>
      <c r="Y121" s="14"/>
    </row>
    <row r="122" spans="1:25" ht="24.95" customHeight="1">
      <c r="B122" s="20" t="s">
        <v>10</v>
      </c>
      <c r="C122" s="209" t="s">
        <v>147</v>
      </c>
      <c r="D122" s="22" t="s">
        <v>148</v>
      </c>
      <c r="E122" s="26" t="s">
        <v>301</v>
      </c>
      <c r="F122" s="26">
        <v>55511</v>
      </c>
      <c r="G122" s="84">
        <v>3</v>
      </c>
      <c r="H122" s="22" t="s">
        <v>272</v>
      </c>
      <c r="I122" s="22" t="s">
        <v>402</v>
      </c>
      <c r="J122" s="22" t="s">
        <v>403</v>
      </c>
      <c r="K122" s="22" t="s">
        <v>149</v>
      </c>
      <c r="L122" s="23" t="s">
        <v>763</v>
      </c>
      <c r="M122" s="23"/>
      <c r="N122" s="23"/>
      <c r="O122" s="23"/>
      <c r="P122" s="85" t="s">
        <v>149</v>
      </c>
      <c r="Q122" s="24">
        <v>1</v>
      </c>
      <c r="R122" s="211"/>
      <c r="T122" s="14"/>
      <c r="U122" s="14"/>
      <c r="V122" s="14"/>
      <c r="W122" s="14"/>
      <c r="X122" s="14"/>
      <c r="Y122" s="14"/>
    </row>
    <row r="123" spans="1:25" ht="24.95" customHeight="1">
      <c r="B123" s="20" t="s">
        <v>6</v>
      </c>
      <c r="C123" s="220"/>
      <c r="D123" s="22" t="s">
        <v>150</v>
      </c>
      <c r="E123" s="26" t="s">
        <v>322</v>
      </c>
      <c r="F123" s="26">
        <v>55511</v>
      </c>
      <c r="G123" s="84">
        <v>6</v>
      </c>
      <c r="H123" s="22" t="s">
        <v>278</v>
      </c>
      <c r="I123" s="22"/>
      <c r="J123" s="22"/>
      <c r="K123" s="22" t="s">
        <v>151</v>
      </c>
      <c r="L123" s="23" t="s">
        <v>764</v>
      </c>
      <c r="M123" s="23"/>
      <c r="N123" s="23"/>
      <c r="O123" s="23"/>
      <c r="P123" s="23" t="s">
        <v>404</v>
      </c>
      <c r="Q123" s="24">
        <v>3.54</v>
      </c>
      <c r="R123" s="212"/>
      <c r="T123" s="14"/>
      <c r="U123" s="14"/>
      <c r="V123" s="15"/>
      <c r="W123" s="14"/>
      <c r="X123" s="14"/>
      <c r="Y123" s="14"/>
    </row>
    <row r="124" spans="1:25" ht="24.95" customHeight="1">
      <c r="B124" s="20" t="s">
        <v>6</v>
      </c>
      <c r="C124" s="210"/>
      <c r="D124" s="22" t="s">
        <v>152</v>
      </c>
      <c r="E124" s="26" t="s">
        <v>406</v>
      </c>
      <c r="F124" s="26">
        <v>55511</v>
      </c>
      <c r="G124" s="84">
        <v>2</v>
      </c>
      <c r="H124" s="22" t="s">
        <v>278</v>
      </c>
      <c r="I124" s="22"/>
      <c r="J124" s="22"/>
      <c r="K124" s="22" t="s">
        <v>153</v>
      </c>
      <c r="L124" s="23" t="s">
        <v>765</v>
      </c>
      <c r="M124" s="23"/>
      <c r="N124" s="23"/>
      <c r="O124" s="23"/>
      <c r="P124" s="23" t="s">
        <v>405</v>
      </c>
      <c r="Q124" s="24"/>
      <c r="R124" s="54"/>
      <c r="T124" s="14"/>
      <c r="U124" s="14"/>
      <c r="V124" s="15"/>
      <c r="W124" s="14"/>
      <c r="X124" s="14"/>
      <c r="Y124" s="14"/>
    </row>
    <row r="125" spans="1:25" ht="24.95" customHeight="1">
      <c r="B125" s="28" t="s">
        <v>6</v>
      </c>
      <c r="C125" s="103" t="s">
        <v>154</v>
      </c>
      <c r="D125" s="29" t="s">
        <v>155</v>
      </c>
      <c r="E125" s="29" t="s">
        <v>408</v>
      </c>
      <c r="F125" s="29">
        <v>54790</v>
      </c>
      <c r="G125" s="84">
        <v>8</v>
      </c>
      <c r="H125" s="29" t="s">
        <v>278</v>
      </c>
      <c r="I125" s="29"/>
      <c r="J125" s="38"/>
      <c r="K125" s="29"/>
      <c r="L125" s="23" t="s">
        <v>766</v>
      </c>
      <c r="M125" s="23" t="s">
        <v>767</v>
      </c>
      <c r="N125" s="23"/>
      <c r="O125" s="23"/>
      <c r="P125" s="85" t="s">
        <v>187</v>
      </c>
      <c r="Q125" s="31">
        <v>1.1399999999999999</v>
      </c>
      <c r="R125" s="31" t="s">
        <v>407</v>
      </c>
      <c r="T125" s="14"/>
      <c r="U125" s="14"/>
      <c r="V125" s="14"/>
      <c r="W125" s="14"/>
      <c r="X125" s="14"/>
      <c r="Y125" s="14"/>
    </row>
    <row r="126" spans="1:25" ht="24.95" customHeight="1">
      <c r="A126" s="113" t="s">
        <v>1221</v>
      </c>
      <c r="B126" s="20" t="s">
        <v>6</v>
      </c>
      <c r="C126" s="147" t="s">
        <v>407</v>
      </c>
      <c r="D126" s="29" t="s">
        <v>1235</v>
      </c>
      <c r="E126" s="29" t="s">
        <v>1236</v>
      </c>
      <c r="F126" s="29">
        <v>63015</v>
      </c>
      <c r="G126" s="84">
        <v>0</v>
      </c>
      <c r="H126" s="29" t="s">
        <v>278</v>
      </c>
      <c r="I126" s="29" t="s">
        <v>47</v>
      </c>
      <c r="J126" s="29" t="s">
        <v>47</v>
      </c>
      <c r="K126" s="22" t="s">
        <v>1237</v>
      </c>
      <c r="L126" s="23"/>
      <c r="M126" s="23"/>
      <c r="N126" s="23"/>
      <c r="O126" s="23"/>
      <c r="P126" s="22" t="s">
        <v>1237</v>
      </c>
      <c r="Q126" s="31"/>
      <c r="R126" s="31"/>
      <c r="T126" s="14"/>
      <c r="U126" s="14"/>
      <c r="V126" s="14"/>
      <c r="W126" s="14"/>
      <c r="X126" s="14"/>
      <c r="Y126" s="14"/>
    </row>
    <row r="127" spans="1:25" ht="24.95" customHeight="1">
      <c r="A127" s="113" t="s">
        <v>1221</v>
      </c>
      <c r="B127" s="28" t="s">
        <v>6</v>
      </c>
      <c r="C127" s="147" t="s">
        <v>940</v>
      </c>
      <c r="D127" s="29" t="s">
        <v>1238</v>
      </c>
      <c r="E127" s="29" t="s">
        <v>1236</v>
      </c>
      <c r="F127" s="29">
        <v>62121</v>
      </c>
      <c r="G127" s="84">
        <v>0</v>
      </c>
      <c r="H127" s="29" t="s">
        <v>278</v>
      </c>
      <c r="I127" s="29" t="s">
        <v>47</v>
      </c>
      <c r="J127" s="29" t="s">
        <v>47</v>
      </c>
      <c r="K127" s="22" t="s">
        <v>1224</v>
      </c>
      <c r="L127" s="23"/>
      <c r="M127" s="23"/>
      <c r="N127" s="23"/>
      <c r="O127" s="23"/>
      <c r="P127" s="22" t="s">
        <v>1310</v>
      </c>
      <c r="Q127" s="31"/>
      <c r="R127" s="31"/>
      <c r="T127" s="14"/>
      <c r="U127" s="14"/>
      <c r="V127" s="14"/>
      <c r="W127" s="14"/>
      <c r="X127" s="14"/>
      <c r="Y127" s="14"/>
    </row>
    <row r="128" spans="1:25" s="63" customFormat="1" ht="24.95" customHeight="1">
      <c r="B128" s="56" t="s">
        <v>10</v>
      </c>
      <c r="C128" s="223" t="s">
        <v>156</v>
      </c>
      <c r="D128" s="64" t="s">
        <v>157</v>
      </c>
      <c r="E128" s="64"/>
      <c r="F128" s="64"/>
      <c r="G128" s="64"/>
      <c r="H128" s="64" t="s">
        <v>411</v>
      </c>
      <c r="I128" s="64" t="s">
        <v>412</v>
      </c>
      <c r="J128" s="64" t="s">
        <v>413</v>
      </c>
      <c r="K128" s="64"/>
      <c r="L128" s="65">
        <v>1.1100000000000001</v>
      </c>
      <c r="M128" s="65"/>
      <c r="N128" s="65"/>
      <c r="O128" s="65"/>
      <c r="P128" s="65"/>
      <c r="Q128" s="66">
        <v>1.1100000000000001</v>
      </c>
      <c r="R128" s="67"/>
      <c r="S128" s="64" t="s">
        <v>410</v>
      </c>
      <c r="T128" s="62"/>
      <c r="U128" s="62"/>
      <c r="V128" s="62"/>
      <c r="W128" s="62"/>
      <c r="X128" s="62"/>
      <c r="Y128" s="62"/>
    </row>
    <row r="129" spans="1:25" s="63" customFormat="1" ht="24.95" customHeight="1">
      <c r="B129" s="56" t="s">
        <v>6</v>
      </c>
      <c r="C129" s="224"/>
      <c r="D129" s="68" t="s">
        <v>158</v>
      </c>
      <c r="E129" s="68"/>
      <c r="F129" s="68"/>
      <c r="G129" s="68"/>
      <c r="H129" s="64" t="s">
        <v>414</v>
      </c>
      <c r="I129" s="64" t="s">
        <v>47</v>
      </c>
      <c r="J129" s="69" t="s">
        <v>47</v>
      </c>
      <c r="K129" s="64" t="s">
        <v>159</v>
      </c>
      <c r="L129" s="65">
        <v>2</v>
      </c>
      <c r="M129" s="65"/>
      <c r="N129" s="65"/>
      <c r="O129" s="65"/>
      <c r="P129" s="65"/>
      <c r="Q129" s="66"/>
      <c r="R129" s="67"/>
      <c r="S129" s="64" t="s">
        <v>410</v>
      </c>
      <c r="T129" s="62"/>
      <c r="U129" s="62"/>
      <c r="V129" s="62"/>
      <c r="W129" s="62"/>
      <c r="X129" s="62"/>
      <c r="Y129" s="62"/>
    </row>
    <row r="130" spans="1:25" s="18" customFormat="1" ht="24.95" customHeight="1">
      <c r="B130" s="20" t="s">
        <v>6</v>
      </c>
      <c r="C130" s="76" t="s">
        <v>160</v>
      </c>
      <c r="D130" s="77" t="s">
        <v>161</v>
      </c>
      <c r="E130" s="77" t="s">
        <v>417</v>
      </c>
      <c r="F130" s="77" t="s">
        <v>47</v>
      </c>
      <c r="G130" s="78"/>
      <c r="H130" s="77" t="s">
        <v>414</v>
      </c>
      <c r="I130" s="77" t="s">
        <v>418</v>
      </c>
      <c r="J130" s="79" t="s">
        <v>47</v>
      </c>
      <c r="K130" s="77"/>
      <c r="L130" s="80">
        <v>0.04</v>
      </c>
      <c r="M130" s="80"/>
      <c r="N130" s="80"/>
      <c r="O130" s="80"/>
      <c r="P130" s="80"/>
      <c r="Q130" s="80">
        <v>0.04</v>
      </c>
      <c r="R130" s="80" t="s">
        <v>415</v>
      </c>
      <c r="S130" s="96" t="s">
        <v>416</v>
      </c>
      <c r="T130" s="14"/>
      <c r="U130" s="14"/>
      <c r="V130" s="14"/>
      <c r="W130" s="14"/>
      <c r="X130" s="14"/>
      <c r="Y130" s="14"/>
    </row>
    <row r="131" spans="1:25" ht="24.95" customHeight="1">
      <c r="B131" s="28" t="s">
        <v>6</v>
      </c>
      <c r="C131" s="33" t="s">
        <v>162</v>
      </c>
      <c r="D131" s="22" t="s">
        <v>163</v>
      </c>
      <c r="E131" s="22" t="s">
        <v>301</v>
      </c>
      <c r="F131" s="22">
        <v>54378</v>
      </c>
      <c r="G131" s="84">
        <v>4</v>
      </c>
      <c r="H131" s="22" t="s">
        <v>419</v>
      </c>
      <c r="I131" s="22"/>
      <c r="J131" s="25" t="s">
        <v>47</v>
      </c>
      <c r="K131" s="22"/>
      <c r="L131" s="85" t="s">
        <v>47</v>
      </c>
      <c r="M131" s="85"/>
      <c r="N131" s="85"/>
      <c r="O131" s="85"/>
      <c r="P131" s="85"/>
      <c r="Q131" s="23">
        <v>1.01</v>
      </c>
      <c r="R131" s="23" t="s">
        <v>162</v>
      </c>
      <c r="T131" s="14"/>
      <c r="U131" s="14"/>
      <c r="V131" s="14"/>
      <c r="W131" s="14"/>
      <c r="X131" s="14"/>
      <c r="Y131" s="14"/>
    </row>
    <row r="132" spans="1:25" ht="24.95" customHeight="1">
      <c r="B132" s="20" t="s">
        <v>6</v>
      </c>
      <c r="C132" s="33" t="s">
        <v>164</v>
      </c>
      <c r="D132" s="22" t="s">
        <v>165</v>
      </c>
      <c r="E132" s="22"/>
      <c r="F132" s="22"/>
      <c r="G132" s="84"/>
      <c r="H132" s="22" t="s">
        <v>414</v>
      </c>
      <c r="I132" s="22"/>
      <c r="J132" s="25"/>
      <c r="K132" s="22"/>
      <c r="L132" s="85"/>
      <c r="M132" s="85"/>
      <c r="N132" s="85"/>
      <c r="O132" s="85"/>
      <c r="P132" s="85"/>
      <c r="Q132" s="23"/>
      <c r="R132" s="23"/>
      <c r="T132" s="14"/>
      <c r="U132" s="14"/>
      <c r="V132" s="14"/>
      <c r="W132" s="14"/>
      <c r="X132" s="14"/>
      <c r="Y132" s="14"/>
    </row>
    <row r="133" spans="1:25" ht="24.95" customHeight="1">
      <c r="B133" s="20" t="s">
        <v>6</v>
      </c>
      <c r="C133" s="76" t="s">
        <v>166</v>
      </c>
      <c r="D133" s="77" t="s">
        <v>167</v>
      </c>
      <c r="E133" s="77" t="s">
        <v>422</v>
      </c>
      <c r="F133" s="77" t="s">
        <v>47</v>
      </c>
      <c r="G133" s="78">
        <v>44470</v>
      </c>
      <c r="H133" s="77" t="s">
        <v>414</v>
      </c>
      <c r="I133" s="77"/>
      <c r="J133" s="79"/>
      <c r="K133" s="77"/>
      <c r="L133" s="80">
        <v>0.05</v>
      </c>
      <c r="M133" s="80"/>
      <c r="N133" s="80"/>
      <c r="O133" s="80"/>
      <c r="P133" s="80"/>
      <c r="Q133" s="80">
        <v>0.05</v>
      </c>
      <c r="R133" s="80" t="s">
        <v>420</v>
      </c>
      <c r="S133" s="96" t="s">
        <v>421</v>
      </c>
      <c r="T133" s="14"/>
      <c r="U133" s="14"/>
      <c r="V133" s="14"/>
      <c r="W133" s="14"/>
      <c r="X133" s="14"/>
      <c r="Y133" s="14"/>
    </row>
    <row r="134" spans="1:25" ht="24.95" customHeight="1">
      <c r="B134" s="28" t="s">
        <v>6</v>
      </c>
      <c r="C134" s="33" t="s">
        <v>168</v>
      </c>
      <c r="D134" s="22" t="s">
        <v>169</v>
      </c>
      <c r="E134" s="22" t="s">
        <v>316</v>
      </c>
      <c r="F134" s="22">
        <v>53624</v>
      </c>
      <c r="G134" s="84">
        <v>3</v>
      </c>
      <c r="H134" s="22" t="s">
        <v>414</v>
      </c>
      <c r="I134" s="22"/>
      <c r="J134" s="25"/>
      <c r="K134" s="22"/>
      <c r="L134" s="23" t="s">
        <v>768</v>
      </c>
      <c r="M134" s="23"/>
      <c r="N134" s="23"/>
      <c r="O134" s="23"/>
      <c r="P134" s="115" t="s">
        <v>187</v>
      </c>
      <c r="Q134" s="23">
        <v>1</v>
      </c>
      <c r="R134" s="23" t="s">
        <v>168</v>
      </c>
      <c r="T134" s="14"/>
      <c r="U134" s="14"/>
      <c r="V134" s="14"/>
      <c r="W134" s="14"/>
      <c r="X134" s="14"/>
      <c r="Y134" s="14"/>
    </row>
    <row r="135" spans="1:25" ht="24.95" customHeight="1">
      <c r="B135" s="20" t="s">
        <v>6</v>
      </c>
      <c r="C135" s="33" t="s">
        <v>170</v>
      </c>
      <c r="D135" s="22" t="s">
        <v>171</v>
      </c>
      <c r="E135" s="22"/>
      <c r="F135" s="22"/>
      <c r="G135" s="84"/>
      <c r="H135" s="22" t="s">
        <v>414</v>
      </c>
      <c r="I135" s="22"/>
      <c r="J135" s="25"/>
      <c r="K135" s="22"/>
      <c r="L135" s="23" t="s">
        <v>1350</v>
      </c>
      <c r="M135" s="23"/>
      <c r="N135" s="23"/>
      <c r="O135" s="23"/>
      <c r="P135" s="149" t="s">
        <v>187</v>
      </c>
      <c r="Q135" s="23"/>
      <c r="R135" s="23"/>
      <c r="T135" s="14"/>
      <c r="U135" s="14"/>
      <c r="V135" s="14"/>
      <c r="W135" s="14"/>
      <c r="X135" s="14"/>
      <c r="Y135" s="14"/>
    </row>
    <row r="136" spans="1:25" ht="24.95" customHeight="1">
      <c r="B136" s="112" t="s">
        <v>49</v>
      </c>
      <c r="C136" s="109" t="s">
        <v>172</v>
      </c>
      <c r="D136" s="22" t="s">
        <v>173</v>
      </c>
      <c r="E136" s="22"/>
      <c r="F136" s="22"/>
      <c r="G136" s="22"/>
      <c r="H136" s="22" t="s">
        <v>423</v>
      </c>
      <c r="I136" s="22"/>
      <c r="J136" s="25"/>
      <c r="K136" s="22"/>
      <c r="L136" s="23"/>
      <c r="M136" s="23"/>
      <c r="N136" s="23"/>
      <c r="O136" s="23"/>
      <c r="P136" s="23"/>
      <c r="Q136" s="23"/>
      <c r="R136" s="23"/>
      <c r="S136" s="53" t="s">
        <v>424</v>
      </c>
      <c r="T136" s="14"/>
      <c r="U136" s="14"/>
      <c r="V136" s="14"/>
      <c r="W136" s="14"/>
      <c r="X136" s="14"/>
      <c r="Y136" s="14"/>
    </row>
    <row r="137" spans="1:25" ht="24.95" customHeight="1">
      <c r="A137" s="113"/>
      <c r="B137" s="20" t="s">
        <v>6</v>
      </c>
      <c r="C137" s="217" t="s">
        <v>174</v>
      </c>
      <c r="D137" s="22" t="s">
        <v>179</v>
      </c>
      <c r="E137" s="22"/>
      <c r="F137" s="22"/>
      <c r="G137" s="22"/>
      <c r="H137" s="22" t="s">
        <v>278</v>
      </c>
      <c r="I137" s="22"/>
      <c r="J137" s="25"/>
      <c r="K137" s="22" t="s">
        <v>180</v>
      </c>
      <c r="L137" s="23">
        <v>0</v>
      </c>
      <c r="M137" s="23"/>
      <c r="N137" s="23"/>
      <c r="O137" s="23"/>
      <c r="P137" s="23"/>
      <c r="Q137" s="23"/>
      <c r="R137" s="23"/>
      <c r="T137" s="14"/>
      <c r="U137" s="14"/>
      <c r="V137" s="14"/>
      <c r="W137" s="14"/>
      <c r="X137" s="14"/>
      <c r="Y137" s="14"/>
    </row>
    <row r="138" spans="1:25" ht="24.95" customHeight="1">
      <c r="B138" s="20" t="s">
        <v>6</v>
      </c>
      <c r="C138" s="221"/>
      <c r="D138" s="22" t="s">
        <v>175</v>
      </c>
      <c r="E138" s="22"/>
      <c r="F138" s="22"/>
      <c r="G138" s="22"/>
      <c r="H138" s="22" t="s">
        <v>425</v>
      </c>
      <c r="I138" s="22"/>
      <c r="J138" s="25"/>
      <c r="K138" s="22" t="s">
        <v>176</v>
      </c>
      <c r="L138" s="23">
        <v>0</v>
      </c>
      <c r="M138" s="23"/>
      <c r="N138" s="23"/>
      <c r="O138" s="23"/>
      <c r="P138" s="23"/>
      <c r="Q138" s="23"/>
      <c r="R138" s="23"/>
      <c r="T138" s="14"/>
      <c r="U138" s="14"/>
      <c r="V138" s="14"/>
      <c r="W138" s="14"/>
      <c r="X138" s="14"/>
      <c r="Y138" s="14"/>
    </row>
    <row r="139" spans="1:25" ht="24.95" customHeight="1">
      <c r="B139" s="20" t="s">
        <v>1239</v>
      </c>
      <c r="C139" s="221"/>
      <c r="D139" s="22" t="s">
        <v>177</v>
      </c>
      <c r="E139" s="22" t="s">
        <v>1240</v>
      </c>
      <c r="F139" s="22">
        <v>50187</v>
      </c>
      <c r="G139" s="22"/>
      <c r="H139" s="22" t="s">
        <v>426</v>
      </c>
      <c r="I139" s="22"/>
      <c r="J139" s="25"/>
      <c r="K139" s="22" t="s">
        <v>178</v>
      </c>
      <c r="L139" s="23" t="s">
        <v>1241</v>
      </c>
      <c r="M139" s="23"/>
      <c r="N139" s="23"/>
      <c r="O139" s="23"/>
      <c r="P139" s="23" t="s">
        <v>1242</v>
      </c>
      <c r="Q139" s="23"/>
      <c r="R139" s="23"/>
      <c r="T139" s="14"/>
      <c r="U139" s="14"/>
      <c r="V139" s="14"/>
      <c r="W139" s="14"/>
      <c r="X139" s="14"/>
      <c r="Y139" s="14"/>
    </row>
    <row r="140" spans="1:25" ht="24.95" customHeight="1">
      <c r="B140" s="20" t="s">
        <v>6</v>
      </c>
      <c r="C140" s="221"/>
      <c r="D140" s="22" t="s">
        <v>1243</v>
      </c>
      <c r="E140" s="22" t="s">
        <v>1244</v>
      </c>
      <c r="F140" s="22">
        <v>55360</v>
      </c>
      <c r="G140" s="22"/>
      <c r="H140" s="22" t="s">
        <v>426</v>
      </c>
      <c r="I140" s="22"/>
      <c r="J140" s="25"/>
      <c r="K140" s="22" t="s">
        <v>1245</v>
      </c>
      <c r="L140" s="23" t="s">
        <v>1246</v>
      </c>
      <c r="M140" s="23"/>
      <c r="N140" s="23"/>
      <c r="O140" s="23"/>
      <c r="P140" s="23" t="s">
        <v>1247</v>
      </c>
      <c r="Q140" s="23"/>
      <c r="R140" s="23"/>
      <c r="T140" s="14"/>
      <c r="U140" s="14"/>
      <c r="V140" s="14"/>
      <c r="W140" s="14"/>
      <c r="X140" s="14"/>
      <c r="Y140" s="14"/>
    </row>
    <row r="141" spans="1:25" ht="24.95" customHeight="1">
      <c r="A141" s="113" t="s">
        <v>1221</v>
      </c>
      <c r="B141" s="20" t="s">
        <v>1239</v>
      </c>
      <c r="C141" s="221"/>
      <c r="D141" s="22" t="s">
        <v>1248</v>
      </c>
      <c r="E141" s="22" t="s">
        <v>1249</v>
      </c>
      <c r="F141" s="22"/>
      <c r="G141" s="22"/>
      <c r="H141" s="22" t="s">
        <v>426</v>
      </c>
      <c r="I141" s="22" t="s">
        <v>1250</v>
      </c>
      <c r="J141" s="25" t="s">
        <v>47</v>
      </c>
      <c r="K141" s="22" t="s">
        <v>1251</v>
      </c>
      <c r="L141" s="23"/>
      <c r="M141" s="23"/>
      <c r="N141" s="23"/>
      <c r="O141" s="23"/>
      <c r="P141" s="23"/>
      <c r="Q141" s="23"/>
      <c r="R141" s="23"/>
      <c r="T141" s="14"/>
      <c r="U141" s="14"/>
      <c r="V141" s="14"/>
      <c r="W141" s="14"/>
      <c r="X141" s="14"/>
      <c r="Y141" s="14"/>
    </row>
    <row r="142" spans="1:25" ht="24.95" customHeight="1">
      <c r="A142" s="1" t="s">
        <v>1221</v>
      </c>
      <c r="B142" s="20" t="s">
        <v>1239</v>
      </c>
      <c r="C142" s="221"/>
      <c r="D142" s="22" t="s">
        <v>1252</v>
      </c>
      <c r="E142" s="22" t="s">
        <v>1223</v>
      </c>
      <c r="F142" s="22"/>
      <c r="G142" s="22"/>
      <c r="H142" s="22" t="s">
        <v>426</v>
      </c>
      <c r="I142" s="22" t="s">
        <v>1253</v>
      </c>
      <c r="J142" s="25" t="s">
        <v>47</v>
      </c>
      <c r="K142" s="22" t="s">
        <v>1254</v>
      </c>
      <c r="L142" s="23"/>
      <c r="M142" s="23"/>
      <c r="N142" s="23"/>
      <c r="O142" s="23"/>
      <c r="P142" s="23"/>
      <c r="Q142" s="23"/>
      <c r="R142" s="23"/>
      <c r="T142" s="14"/>
      <c r="U142" s="14"/>
      <c r="V142" s="14"/>
      <c r="W142" s="14"/>
      <c r="X142" s="14"/>
      <c r="Y142" s="14"/>
    </row>
    <row r="143" spans="1:25" ht="24.95" customHeight="1">
      <c r="A143" s="1" t="s">
        <v>1221</v>
      </c>
      <c r="B143" s="20" t="s">
        <v>1239</v>
      </c>
      <c r="C143" s="221"/>
      <c r="D143" s="22" t="s">
        <v>1255</v>
      </c>
      <c r="E143" s="22" t="s">
        <v>1256</v>
      </c>
      <c r="F143" s="22"/>
      <c r="G143" s="22"/>
      <c r="H143" s="22" t="s">
        <v>426</v>
      </c>
      <c r="I143" s="22" t="s">
        <v>1257</v>
      </c>
      <c r="J143" s="25" t="s">
        <v>47</v>
      </c>
      <c r="K143" s="22" t="s">
        <v>1258</v>
      </c>
      <c r="L143" s="23"/>
      <c r="M143" s="23"/>
      <c r="N143" s="23"/>
      <c r="O143" s="23"/>
      <c r="P143" s="23"/>
      <c r="Q143" s="23"/>
      <c r="R143" s="23"/>
      <c r="T143" s="14"/>
      <c r="U143" s="14"/>
      <c r="V143" s="14"/>
      <c r="W143" s="14"/>
      <c r="X143" s="14"/>
      <c r="Y143" s="14"/>
    </row>
    <row r="144" spans="1:25" ht="24.95" customHeight="1">
      <c r="A144" s="1" t="s">
        <v>1221</v>
      </c>
      <c r="B144" s="20" t="s">
        <v>1239</v>
      </c>
      <c r="C144" s="218"/>
      <c r="D144" s="22" t="s">
        <v>1259</v>
      </c>
      <c r="E144" s="22" t="s">
        <v>1260</v>
      </c>
      <c r="F144" s="22"/>
      <c r="G144" s="22"/>
      <c r="H144" s="22" t="s">
        <v>426</v>
      </c>
      <c r="I144" s="22" t="s">
        <v>1261</v>
      </c>
      <c r="J144" s="25" t="s">
        <v>47</v>
      </c>
      <c r="K144" s="22" t="s">
        <v>1262</v>
      </c>
      <c r="L144" s="23"/>
      <c r="M144" s="23"/>
      <c r="N144" s="23"/>
      <c r="O144" s="23"/>
      <c r="P144" s="23"/>
      <c r="Q144" s="23"/>
      <c r="R144" s="23"/>
      <c r="T144" s="14"/>
      <c r="U144" s="14"/>
      <c r="V144" s="14"/>
      <c r="W144" s="14"/>
      <c r="X144" s="14"/>
      <c r="Y144" s="14"/>
    </row>
    <row r="145" spans="1:25" ht="24.95" customHeight="1">
      <c r="B145" s="20" t="s">
        <v>6</v>
      </c>
      <c r="C145" s="109" t="s">
        <v>1311</v>
      </c>
      <c r="D145" s="22" t="s">
        <v>181</v>
      </c>
      <c r="E145" s="22" t="s">
        <v>1349</v>
      </c>
      <c r="F145" s="22"/>
      <c r="G145" s="22"/>
      <c r="H145" s="22" t="s">
        <v>426</v>
      </c>
      <c r="I145" s="22"/>
      <c r="J145" s="25"/>
      <c r="K145" s="22"/>
      <c r="L145" s="23"/>
      <c r="M145" s="23"/>
      <c r="N145" s="23"/>
      <c r="O145" s="23"/>
      <c r="P145" s="23"/>
      <c r="Q145" s="23"/>
      <c r="R145" s="23"/>
      <c r="T145" s="14"/>
      <c r="U145" s="14"/>
      <c r="V145" s="14"/>
      <c r="W145" s="14"/>
      <c r="X145" s="14"/>
      <c r="Y145" s="14"/>
    </row>
    <row r="146" spans="1:25" ht="24.95" customHeight="1">
      <c r="B146" s="112" t="s">
        <v>49</v>
      </c>
      <c r="C146" s="109" t="s">
        <v>182</v>
      </c>
      <c r="D146" s="22" t="s">
        <v>1312</v>
      </c>
      <c r="E146" s="22"/>
      <c r="F146" s="22"/>
      <c r="G146" s="22"/>
      <c r="H146" s="22" t="s">
        <v>425</v>
      </c>
      <c r="I146" s="22"/>
      <c r="J146" s="25"/>
      <c r="K146" s="22"/>
      <c r="L146" s="23"/>
      <c r="M146" s="23"/>
      <c r="N146" s="23"/>
      <c r="O146" s="23"/>
      <c r="P146" s="23"/>
      <c r="Q146" s="23"/>
      <c r="R146" s="23"/>
      <c r="T146" s="14"/>
      <c r="U146" s="14"/>
      <c r="V146" s="14"/>
      <c r="W146" s="14"/>
      <c r="X146" s="14"/>
      <c r="Y146" s="14"/>
    </row>
    <row r="147" spans="1:25" s="18" customFormat="1" ht="24.95" customHeight="1">
      <c r="B147" s="20" t="s">
        <v>6</v>
      </c>
      <c r="C147" s="34" t="s">
        <v>183</v>
      </c>
      <c r="D147" s="29" t="s">
        <v>184</v>
      </c>
      <c r="E147" s="29" t="s">
        <v>427</v>
      </c>
      <c r="F147" s="29">
        <v>55134</v>
      </c>
      <c r="G147" s="84">
        <v>8</v>
      </c>
      <c r="H147" s="29" t="s">
        <v>428</v>
      </c>
      <c r="I147" s="29" t="s">
        <v>47</v>
      </c>
      <c r="J147" s="29" t="s">
        <v>47</v>
      </c>
      <c r="K147" s="29"/>
      <c r="L147" s="31" t="s">
        <v>769</v>
      </c>
      <c r="M147" s="31"/>
      <c r="N147" s="31"/>
      <c r="O147" s="31"/>
      <c r="P147" s="95" t="s">
        <v>187</v>
      </c>
      <c r="Q147" s="32">
        <v>1.03</v>
      </c>
      <c r="R147" s="43" t="s">
        <v>183</v>
      </c>
      <c r="S147" s="19"/>
      <c r="T147" s="19"/>
      <c r="U147" s="19"/>
      <c r="V147" s="19"/>
      <c r="W147" s="19"/>
      <c r="X147" s="19"/>
      <c r="Y147" s="19"/>
    </row>
    <row r="148" spans="1:25" ht="24.95" customHeight="1">
      <c r="B148" s="70" t="s">
        <v>10</v>
      </c>
      <c r="C148" s="197" t="s">
        <v>185</v>
      </c>
      <c r="D148" s="22" t="s">
        <v>186</v>
      </c>
      <c r="E148" s="22" t="s">
        <v>427</v>
      </c>
      <c r="F148" s="22">
        <v>55511</v>
      </c>
      <c r="G148" s="84">
        <v>7</v>
      </c>
      <c r="H148" s="25" t="s">
        <v>272</v>
      </c>
      <c r="I148" s="22" t="s">
        <v>429</v>
      </c>
      <c r="J148" s="25" t="s">
        <v>47</v>
      </c>
      <c r="K148" s="22" t="s">
        <v>187</v>
      </c>
      <c r="L148" s="23" t="s">
        <v>770</v>
      </c>
      <c r="M148" s="23"/>
      <c r="N148" s="23"/>
      <c r="O148" s="23"/>
      <c r="P148" s="85" t="s">
        <v>187</v>
      </c>
      <c r="Q148" s="24">
        <v>1.02</v>
      </c>
      <c r="R148" s="222" t="s">
        <v>185</v>
      </c>
      <c r="T148" s="14"/>
      <c r="U148" s="14"/>
      <c r="V148" s="14"/>
      <c r="W148" s="14"/>
      <c r="X148" s="14"/>
      <c r="Y148" s="14"/>
    </row>
    <row r="149" spans="1:25" ht="24.95" customHeight="1">
      <c r="B149" s="70" t="s">
        <v>10</v>
      </c>
      <c r="C149" s="198"/>
      <c r="D149" s="22" t="s">
        <v>188</v>
      </c>
      <c r="E149" s="22" t="s">
        <v>265</v>
      </c>
      <c r="F149" s="22">
        <v>55511</v>
      </c>
      <c r="G149" s="84">
        <v>7</v>
      </c>
      <c r="H149" s="22" t="s">
        <v>278</v>
      </c>
      <c r="I149" s="22" t="s">
        <v>47</v>
      </c>
      <c r="J149" s="27" t="s">
        <v>47</v>
      </c>
      <c r="K149" s="22" t="s">
        <v>189</v>
      </c>
      <c r="L149" s="23" t="s">
        <v>771</v>
      </c>
      <c r="M149" s="23"/>
      <c r="N149" s="23"/>
      <c r="O149" s="23"/>
      <c r="P149" s="85" t="s">
        <v>189</v>
      </c>
      <c r="Q149" s="24">
        <v>2.1</v>
      </c>
      <c r="R149" s="215"/>
      <c r="T149" s="14"/>
      <c r="U149" s="14"/>
      <c r="V149" s="14"/>
      <c r="W149" s="14"/>
      <c r="X149" s="14"/>
      <c r="Y149" s="14"/>
    </row>
    <row r="150" spans="1:25" ht="24.95" customHeight="1">
      <c r="B150" s="70" t="s">
        <v>10</v>
      </c>
      <c r="C150" s="198"/>
      <c r="D150" s="22" t="s">
        <v>190</v>
      </c>
      <c r="E150" s="22" t="s">
        <v>430</v>
      </c>
      <c r="F150" s="22">
        <v>55511</v>
      </c>
      <c r="G150" s="84">
        <v>2</v>
      </c>
      <c r="H150" s="22" t="s">
        <v>278</v>
      </c>
      <c r="I150" s="22" t="s">
        <v>47</v>
      </c>
      <c r="J150" s="27" t="s">
        <v>47</v>
      </c>
      <c r="K150" s="36" t="s">
        <v>191</v>
      </c>
      <c r="L150" s="37" t="s">
        <v>772</v>
      </c>
      <c r="M150" s="23" t="s">
        <v>773</v>
      </c>
      <c r="N150" s="23"/>
      <c r="O150" s="23"/>
      <c r="P150" s="23"/>
      <c r="Q150" s="24"/>
      <c r="R150" s="215"/>
      <c r="T150" s="14"/>
      <c r="U150" s="14"/>
      <c r="V150" s="14"/>
      <c r="W150" s="14"/>
      <c r="X150" s="14"/>
      <c r="Y150" s="14"/>
    </row>
    <row r="151" spans="1:25" ht="24.95" customHeight="1">
      <c r="B151" s="70" t="s">
        <v>6</v>
      </c>
      <c r="C151" s="198"/>
      <c r="D151" s="22" t="s">
        <v>192</v>
      </c>
      <c r="E151" s="29" t="s">
        <v>431</v>
      </c>
      <c r="F151" s="29">
        <v>55581</v>
      </c>
      <c r="G151" s="84">
        <v>7</v>
      </c>
      <c r="H151" s="29" t="s">
        <v>278</v>
      </c>
      <c r="I151" s="29" t="s">
        <v>47</v>
      </c>
      <c r="J151" s="30" t="s">
        <v>47</v>
      </c>
      <c r="K151" s="29" t="s">
        <v>193</v>
      </c>
      <c r="L151" s="31" t="s">
        <v>774</v>
      </c>
      <c r="M151" s="31"/>
      <c r="N151" s="31"/>
      <c r="O151" s="31"/>
      <c r="P151" s="95" t="s">
        <v>193</v>
      </c>
      <c r="Q151" s="32">
        <v>3.04</v>
      </c>
      <c r="R151" s="216"/>
      <c r="T151" s="15"/>
      <c r="U151" s="14"/>
      <c r="V151" s="14"/>
      <c r="W151" s="14"/>
      <c r="X151" s="14"/>
      <c r="Y151" s="14"/>
    </row>
    <row r="152" spans="1:25" ht="24.95" customHeight="1">
      <c r="B152" s="70" t="s">
        <v>10</v>
      </c>
      <c r="C152" s="198"/>
      <c r="D152" s="22" t="s">
        <v>194</v>
      </c>
      <c r="E152" s="29" t="s">
        <v>432</v>
      </c>
      <c r="F152" s="29">
        <v>50466</v>
      </c>
      <c r="G152" s="84">
        <v>1</v>
      </c>
      <c r="H152" s="29" t="s">
        <v>278</v>
      </c>
      <c r="I152" s="29"/>
      <c r="J152" s="30"/>
      <c r="K152" s="29" t="s">
        <v>195</v>
      </c>
      <c r="L152" s="37" t="s">
        <v>775</v>
      </c>
      <c r="M152" s="23" t="s">
        <v>773</v>
      </c>
      <c r="N152" s="31"/>
      <c r="O152" s="31"/>
      <c r="P152" s="31"/>
      <c r="Q152" s="32"/>
      <c r="R152" s="55"/>
      <c r="T152" s="97" t="s">
        <v>433</v>
      </c>
      <c r="U152" s="14"/>
      <c r="V152" s="14"/>
      <c r="W152" s="14"/>
      <c r="X152" s="14"/>
      <c r="Y152" s="14"/>
    </row>
    <row r="153" spans="1:25" ht="24.95" customHeight="1">
      <c r="B153" s="70" t="s">
        <v>90</v>
      </c>
      <c r="C153" s="199"/>
      <c r="D153" s="22" t="s">
        <v>196</v>
      </c>
      <c r="E153" s="22" t="s">
        <v>434</v>
      </c>
      <c r="F153" s="22">
        <v>47519</v>
      </c>
      <c r="G153" s="84">
        <v>1</v>
      </c>
      <c r="H153" s="22" t="s">
        <v>278</v>
      </c>
      <c r="I153" s="22" t="s">
        <v>47</v>
      </c>
      <c r="J153" s="22" t="s">
        <v>47</v>
      </c>
      <c r="K153" s="22" t="s">
        <v>139</v>
      </c>
      <c r="L153" s="23" t="s">
        <v>775</v>
      </c>
      <c r="M153" s="23"/>
      <c r="N153" s="23"/>
      <c r="O153" s="23"/>
      <c r="P153" s="23"/>
      <c r="Q153" s="24"/>
      <c r="R153" s="42"/>
      <c r="S153" s="15"/>
      <c r="T153" s="98" t="s">
        <v>435</v>
      </c>
      <c r="U153" s="14"/>
      <c r="V153" s="15"/>
      <c r="W153" s="14"/>
      <c r="X153" s="14"/>
      <c r="Y153" s="14"/>
    </row>
    <row r="154" spans="1:25" ht="24.95" customHeight="1">
      <c r="B154" s="20" t="s">
        <v>6</v>
      </c>
      <c r="C154" s="33" t="s">
        <v>197</v>
      </c>
      <c r="D154" s="22" t="s">
        <v>198</v>
      </c>
      <c r="E154" s="22" t="s">
        <v>269</v>
      </c>
      <c r="F154" s="22">
        <v>60238</v>
      </c>
      <c r="G154" s="84">
        <v>11</v>
      </c>
      <c r="H154" s="22" t="s">
        <v>436</v>
      </c>
      <c r="I154" s="22" t="s">
        <v>47</v>
      </c>
      <c r="J154" s="22" t="s">
        <v>47</v>
      </c>
      <c r="K154" s="22"/>
      <c r="L154" s="114" t="s">
        <v>1263</v>
      </c>
      <c r="M154" s="23" t="s">
        <v>776</v>
      </c>
      <c r="N154" s="23"/>
      <c r="O154" s="23"/>
      <c r="P154" s="85" t="s">
        <v>187</v>
      </c>
      <c r="Q154" s="24"/>
      <c r="R154" s="42" t="s">
        <v>199</v>
      </c>
      <c r="T154" s="14"/>
      <c r="U154" s="14"/>
      <c r="V154" s="14"/>
      <c r="W154" s="14"/>
      <c r="X154" s="14"/>
      <c r="Y154" s="14"/>
    </row>
    <row r="155" spans="1:25" ht="24.95" customHeight="1">
      <c r="A155" s="4" t="s">
        <v>1313</v>
      </c>
      <c r="B155" s="20" t="s">
        <v>6</v>
      </c>
      <c r="C155" s="33" t="s">
        <v>199</v>
      </c>
      <c r="D155" s="22" t="s">
        <v>200</v>
      </c>
      <c r="E155" s="22" t="s">
        <v>437</v>
      </c>
      <c r="F155" s="22">
        <v>62516</v>
      </c>
      <c r="G155" s="84">
        <v>11</v>
      </c>
      <c r="H155" s="22" t="s">
        <v>436</v>
      </c>
      <c r="I155" s="22" t="s">
        <v>1314</v>
      </c>
      <c r="J155" s="22" t="s">
        <v>47</v>
      </c>
      <c r="K155" s="22" t="s">
        <v>201</v>
      </c>
      <c r="L155" s="23" t="s">
        <v>1264</v>
      </c>
      <c r="M155" s="23"/>
      <c r="N155" s="23"/>
      <c r="O155" s="23"/>
      <c r="P155" s="115" t="s">
        <v>1265</v>
      </c>
      <c r="Q155" s="24"/>
      <c r="R155" s="42"/>
      <c r="T155" s="14"/>
      <c r="U155" s="14"/>
      <c r="V155" s="14"/>
      <c r="W155" s="14"/>
      <c r="X155" s="14"/>
      <c r="Y155" s="14"/>
    </row>
    <row r="156" spans="1:25" ht="24.95" customHeight="1">
      <c r="B156" s="20" t="s">
        <v>6</v>
      </c>
      <c r="C156" s="217" t="s">
        <v>202</v>
      </c>
      <c r="D156" s="26" t="s">
        <v>203</v>
      </c>
      <c r="E156" s="26" t="s">
        <v>301</v>
      </c>
      <c r="F156" s="26">
        <v>55511</v>
      </c>
      <c r="G156" s="84">
        <v>3</v>
      </c>
      <c r="H156" s="22" t="s">
        <v>278</v>
      </c>
      <c r="I156" s="22"/>
      <c r="J156" s="22"/>
      <c r="K156" s="22"/>
      <c r="L156" s="23" t="s">
        <v>777</v>
      </c>
      <c r="M156" s="23"/>
      <c r="N156" s="23"/>
      <c r="O156" s="23"/>
      <c r="P156" s="85" t="s">
        <v>187</v>
      </c>
      <c r="Q156" s="24">
        <v>1.01</v>
      </c>
      <c r="R156" s="222" t="s">
        <v>202</v>
      </c>
      <c r="S156" s="14" t="s">
        <v>438</v>
      </c>
      <c r="T156" s="14" t="s">
        <v>439</v>
      </c>
      <c r="U156" s="14"/>
      <c r="V156" s="14"/>
      <c r="W156" s="14"/>
      <c r="X156" s="14"/>
      <c r="Y156" s="14"/>
    </row>
    <row r="157" spans="1:25" ht="24.95" customHeight="1">
      <c r="B157" s="28" t="s">
        <v>6</v>
      </c>
      <c r="C157" s="218"/>
      <c r="D157" s="39" t="s">
        <v>204</v>
      </c>
      <c r="E157" s="39" t="s">
        <v>441</v>
      </c>
      <c r="F157" s="39">
        <v>55535</v>
      </c>
      <c r="G157" s="84">
        <v>6</v>
      </c>
      <c r="H157" s="29" t="s">
        <v>278</v>
      </c>
      <c r="I157" s="29"/>
      <c r="J157" s="29"/>
      <c r="K157" s="29" t="s">
        <v>141</v>
      </c>
      <c r="L157" s="31" t="s">
        <v>778</v>
      </c>
      <c r="M157" s="31" t="s">
        <v>779</v>
      </c>
      <c r="N157" s="31"/>
      <c r="O157" s="31"/>
      <c r="P157" s="31" t="s">
        <v>440</v>
      </c>
      <c r="Q157" s="32">
        <v>2.0099999999999998</v>
      </c>
      <c r="R157" s="216"/>
      <c r="S157" s="19"/>
      <c r="T157" s="19"/>
      <c r="U157" s="19"/>
      <c r="V157" s="19"/>
      <c r="W157" s="19"/>
      <c r="X157" s="19"/>
      <c r="Y157" s="19"/>
    </row>
    <row r="158" spans="1:25" ht="24.95" customHeight="1">
      <c r="B158" s="20" t="s">
        <v>6</v>
      </c>
      <c r="C158" s="217" t="s">
        <v>205</v>
      </c>
      <c r="D158" s="22" t="s">
        <v>206</v>
      </c>
      <c r="E158" s="22" t="s">
        <v>444</v>
      </c>
      <c r="F158" s="22">
        <v>55511</v>
      </c>
      <c r="G158" s="84">
        <v>3</v>
      </c>
      <c r="H158" s="22" t="s">
        <v>278</v>
      </c>
      <c r="I158" s="22" t="s">
        <v>47</v>
      </c>
      <c r="J158" s="22" t="s">
        <v>47</v>
      </c>
      <c r="K158" s="22" t="s">
        <v>207</v>
      </c>
      <c r="L158" s="23" t="s">
        <v>780</v>
      </c>
      <c r="M158" s="24"/>
      <c r="N158" s="23"/>
      <c r="O158" s="23"/>
      <c r="P158" s="23" t="s">
        <v>442</v>
      </c>
      <c r="Q158" s="24">
        <v>3.1</v>
      </c>
      <c r="R158" s="219" t="s">
        <v>443</v>
      </c>
      <c r="T158" s="14"/>
      <c r="U158" s="14"/>
      <c r="V158" s="14"/>
      <c r="W158" s="14"/>
      <c r="X158" s="14"/>
      <c r="Y158" s="14"/>
    </row>
    <row r="159" spans="1:25" ht="24.95" customHeight="1">
      <c r="B159" s="20" t="s">
        <v>6</v>
      </c>
      <c r="C159" s="218"/>
      <c r="D159" s="22" t="s">
        <v>208</v>
      </c>
      <c r="E159" s="22" t="s">
        <v>445</v>
      </c>
      <c r="F159" s="22">
        <v>55511</v>
      </c>
      <c r="G159" s="84">
        <v>1</v>
      </c>
      <c r="H159" s="22" t="s">
        <v>278</v>
      </c>
      <c r="I159" s="22" t="s">
        <v>47</v>
      </c>
      <c r="J159" s="22" t="s">
        <v>47</v>
      </c>
      <c r="K159" s="22" t="s">
        <v>141</v>
      </c>
      <c r="L159" s="23"/>
      <c r="M159" s="24" t="s">
        <v>781</v>
      </c>
      <c r="N159" s="23"/>
      <c r="O159" s="23"/>
      <c r="P159" s="85" t="s">
        <v>399</v>
      </c>
      <c r="Q159" s="24">
        <v>5</v>
      </c>
      <c r="R159" s="211"/>
      <c r="T159" s="14"/>
      <c r="U159" s="14"/>
      <c r="V159" s="14"/>
      <c r="W159" s="14"/>
      <c r="X159" s="14"/>
      <c r="Y159" s="14"/>
    </row>
    <row r="160" spans="1:25" ht="24.95" customHeight="1">
      <c r="B160" s="20" t="s">
        <v>10</v>
      </c>
      <c r="C160" s="33" t="s">
        <v>209</v>
      </c>
      <c r="D160" s="22" t="s">
        <v>210</v>
      </c>
      <c r="E160" s="22" t="s">
        <v>447</v>
      </c>
      <c r="F160" s="22">
        <v>55511</v>
      </c>
      <c r="G160" s="84">
        <v>15</v>
      </c>
      <c r="H160" s="22" t="s">
        <v>272</v>
      </c>
      <c r="I160" s="22" t="s">
        <v>448</v>
      </c>
      <c r="J160" s="22" t="s">
        <v>449</v>
      </c>
      <c r="K160" s="22"/>
      <c r="L160" s="23" t="s">
        <v>782</v>
      </c>
      <c r="M160" s="23" t="s">
        <v>783</v>
      </c>
      <c r="N160" s="23" t="s">
        <v>784</v>
      </c>
      <c r="O160" s="23"/>
      <c r="P160" s="85" t="s">
        <v>187</v>
      </c>
      <c r="Q160" s="24">
        <v>1.36</v>
      </c>
      <c r="R160" s="211"/>
      <c r="T160" s="14"/>
      <c r="U160" s="14"/>
      <c r="V160" s="14"/>
      <c r="W160" s="14"/>
      <c r="X160" s="14"/>
      <c r="Y160" s="14"/>
    </row>
    <row r="161" spans="1:25" ht="24.95" customHeight="1">
      <c r="B161" s="20" t="s">
        <v>10</v>
      </c>
      <c r="C161" s="217" t="s">
        <v>211</v>
      </c>
      <c r="D161" s="26" t="s">
        <v>212</v>
      </c>
      <c r="E161" s="26" t="s">
        <v>277</v>
      </c>
      <c r="F161" s="26">
        <v>55511</v>
      </c>
      <c r="G161" s="84">
        <v>1</v>
      </c>
      <c r="H161" s="22" t="s">
        <v>272</v>
      </c>
      <c r="I161" s="22" t="s">
        <v>451</v>
      </c>
      <c r="J161" s="22" t="s">
        <v>452</v>
      </c>
      <c r="K161" s="22" t="s">
        <v>213</v>
      </c>
      <c r="L161" s="23" t="s">
        <v>785</v>
      </c>
      <c r="M161" s="23"/>
      <c r="N161" s="23"/>
      <c r="O161" s="23"/>
      <c r="P161" s="23" t="s">
        <v>450</v>
      </c>
      <c r="Q161" s="24"/>
      <c r="R161" s="211"/>
      <c r="T161" s="14"/>
      <c r="U161" s="14"/>
      <c r="V161" s="14"/>
      <c r="W161" s="14"/>
      <c r="X161" s="14"/>
      <c r="Y161" s="14"/>
    </row>
    <row r="162" spans="1:25" ht="24.95" customHeight="1">
      <c r="B162" s="20" t="s">
        <v>10</v>
      </c>
      <c r="C162" s="218"/>
      <c r="D162" s="26" t="s">
        <v>214</v>
      </c>
      <c r="E162" s="26" t="s">
        <v>453</v>
      </c>
      <c r="F162" s="26">
        <v>55511</v>
      </c>
      <c r="G162" s="84">
        <v>1</v>
      </c>
      <c r="H162" s="22" t="s">
        <v>278</v>
      </c>
      <c r="I162" s="22" t="s">
        <v>454</v>
      </c>
      <c r="J162" s="22" t="s">
        <v>455</v>
      </c>
      <c r="K162" s="22" t="s">
        <v>213</v>
      </c>
      <c r="L162" s="23" t="s">
        <v>786</v>
      </c>
      <c r="M162" s="23"/>
      <c r="N162" s="23"/>
      <c r="O162" s="23"/>
      <c r="P162" s="23"/>
      <c r="Q162" s="24">
        <v>4</v>
      </c>
      <c r="R162" s="212"/>
      <c r="T162" s="14"/>
      <c r="U162" s="14"/>
      <c r="V162" s="14"/>
      <c r="W162" s="14"/>
      <c r="X162" s="14"/>
      <c r="Y162" s="14"/>
    </row>
    <row r="163" spans="1:25" s="18" customFormat="1" ht="24.95" customHeight="1">
      <c r="B163" s="20" t="s">
        <v>6</v>
      </c>
      <c r="C163" s="34" t="s">
        <v>215</v>
      </c>
      <c r="D163" s="29" t="s">
        <v>216</v>
      </c>
      <c r="E163" s="29" t="s">
        <v>456</v>
      </c>
      <c r="F163" s="29">
        <v>54790</v>
      </c>
      <c r="G163" s="84">
        <v>6</v>
      </c>
      <c r="H163" s="29" t="s">
        <v>428</v>
      </c>
      <c r="I163" s="29" t="s">
        <v>47</v>
      </c>
      <c r="J163" s="29" t="s">
        <v>47</v>
      </c>
      <c r="K163" s="29"/>
      <c r="L163" s="31" t="s">
        <v>787</v>
      </c>
      <c r="M163" s="31"/>
      <c r="N163" s="31"/>
      <c r="O163" s="31"/>
      <c r="P163" s="95" t="s">
        <v>187</v>
      </c>
      <c r="Q163" s="32">
        <v>2.02</v>
      </c>
      <c r="R163" s="43" t="s">
        <v>215</v>
      </c>
      <c r="S163" s="14"/>
      <c r="T163" s="14"/>
      <c r="U163" s="14"/>
      <c r="V163" s="14"/>
      <c r="W163" s="14"/>
      <c r="X163" s="14"/>
      <c r="Y163" s="14"/>
    </row>
    <row r="164" spans="1:25" ht="24.95" customHeight="1">
      <c r="B164" s="20" t="s">
        <v>10</v>
      </c>
      <c r="C164" s="217" t="s">
        <v>217</v>
      </c>
      <c r="D164" s="22" t="s">
        <v>218</v>
      </c>
      <c r="E164" s="22" t="s">
        <v>458</v>
      </c>
      <c r="F164" s="22">
        <v>55511</v>
      </c>
      <c r="G164" s="84">
        <v>12</v>
      </c>
      <c r="H164" s="22" t="s">
        <v>278</v>
      </c>
      <c r="I164" s="22" t="s">
        <v>47</v>
      </c>
      <c r="J164" s="22" t="s">
        <v>47</v>
      </c>
      <c r="K164" s="22" t="s">
        <v>219</v>
      </c>
      <c r="L164" s="23" t="s">
        <v>788</v>
      </c>
      <c r="M164" s="24"/>
      <c r="N164" s="24"/>
      <c r="O164" s="22" t="s">
        <v>187</v>
      </c>
      <c r="P164" s="83" t="s">
        <v>457</v>
      </c>
      <c r="Q164" s="24">
        <v>1.3</v>
      </c>
      <c r="R164" s="222" t="s">
        <v>459</v>
      </c>
      <c r="T164" s="14"/>
      <c r="U164" s="14"/>
      <c r="V164" s="14"/>
      <c r="W164" s="14"/>
      <c r="X164" s="14"/>
      <c r="Y164" s="14"/>
    </row>
    <row r="165" spans="1:25" ht="24.95" customHeight="1">
      <c r="B165" s="20" t="s">
        <v>6</v>
      </c>
      <c r="C165" s="221"/>
      <c r="D165" s="22" t="s">
        <v>220</v>
      </c>
      <c r="E165" s="22" t="s">
        <v>461</v>
      </c>
      <c r="F165" s="22">
        <v>55511</v>
      </c>
      <c r="G165" s="84">
        <v>9</v>
      </c>
      <c r="H165" s="22" t="s">
        <v>278</v>
      </c>
      <c r="I165" s="22" t="s">
        <v>47</v>
      </c>
      <c r="J165" s="22" t="s">
        <v>47</v>
      </c>
      <c r="K165" s="22" t="s">
        <v>219</v>
      </c>
      <c r="L165" s="94" t="s">
        <v>789</v>
      </c>
      <c r="M165" s="94" t="s">
        <v>790</v>
      </c>
      <c r="N165" s="94" t="s">
        <v>791</v>
      </c>
      <c r="O165" s="22" t="s">
        <v>792</v>
      </c>
      <c r="P165" s="22" t="s">
        <v>460</v>
      </c>
      <c r="Q165" s="24">
        <v>2.2000000000000002</v>
      </c>
      <c r="R165" s="215"/>
      <c r="T165" s="14"/>
      <c r="U165" s="14"/>
      <c r="V165" s="14"/>
      <c r="W165" s="14"/>
      <c r="X165" s="14"/>
      <c r="Y165" s="14"/>
    </row>
    <row r="166" spans="1:25" ht="24.95" customHeight="1">
      <c r="B166" s="20" t="s">
        <v>6</v>
      </c>
      <c r="C166" s="221"/>
      <c r="D166" s="22" t="s">
        <v>221</v>
      </c>
      <c r="E166" s="22" t="s">
        <v>463</v>
      </c>
      <c r="F166" s="22">
        <v>55535</v>
      </c>
      <c r="G166" s="84">
        <v>5</v>
      </c>
      <c r="H166" s="22" t="s">
        <v>278</v>
      </c>
      <c r="I166" s="22" t="s">
        <v>47</v>
      </c>
      <c r="J166" s="22" t="s">
        <v>47</v>
      </c>
      <c r="K166" s="22" t="s">
        <v>222</v>
      </c>
      <c r="L166" s="94" t="s">
        <v>793</v>
      </c>
      <c r="M166" s="94" t="s">
        <v>794</v>
      </c>
      <c r="N166" s="94" t="s">
        <v>795</v>
      </c>
      <c r="O166" s="22" t="s">
        <v>796</v>
      </c>
      <c r="P166" s="22" t="s">
        <v>462</v>
      </c>
      <c r="Q166" s="24">
        <v>3.02</v>
      </c>
      <c r="R166" s="216"/>
      <c r="T166" s="14"/>
      <c r="U166" s="14"/>
      <c r="V166" s="14"/>
      <c r="W166" s="14"/>
      <c r="X166" s="14"/>
      <c r="Y166" s="14"/>
    </row>
    <row r="167" spans="1:25" ht="24.95" customHeight="1">
      <c r="B167" s="20" t="s">
        <v>6</v>
      </c>
      <c r="C167" s="218"/>
      <c r="D167" s="26" t="s">
        <v>223</v>
      </c>
      <c r="E167" s="26" t="s">
        <v>364</v>
      </c>
      <c r="F167" s="26">
        <v>45611</v>
      </c>
      <c r="G167" s="84">
        <v>1</v>
      </c>
      <c r="H167" s="22" t="s">
        <v>414</v>
      </c>
      <c r="I167" s="22" t="s">
        <v>47</v>
      </c>
      <c r="J167" s="22" t="s">
        <v>47</v>
      </c>
      <c r="K167" s="22" t="s">
        <v>224</v>
      </c>
      <c r="L167" s="94" t="s">
        <v>797</v>
      </c>
      <c r="M167" s="99" t="s">
        <v>798</v>
      </c>
      <c r="N167" s="99" t="s">
        <v>799</v>
      </c>
      <c r="O167" s="94"/>
      <c r="P167" s="100" t="s">
        <v>464</v>
      </c>
      <c r="Q167" s="24"/>
      <c r="R167" s="42" t="s">
        <v>465</v>
      </c>
      <c r="T167" s="14"/>
      <c r="U167" s="14"/>
      <c r="V167" s="14"/>
      <c r="W167" s="14"/>
      <c r="X167" s="14"/>
      <c r="Y167" s="14"/>
    </row>
    <row r="168" spans="1:25" ht="24.95" customHeight="1">
      <c r="B168" s="47" t="s">
        <v>6</v>
      </c>
      <c r="C168" s="217" t="s">
        <v>225</v>
      </c>
      <c r="D168" s="48" t="s">
        <v>226</v>
      </c>
      <c r="E168" s="48" t="s">
        <v>310</v>
      </c>
      <c r="F168" s="26">
        <v>55535</v>
      </c>
      <c r="G168" s="84">
        <v>5</v>
      </c>
      <c r="H168" s="29" t="s">
        <v>278</v>
      </c>
      <c r="I168" s="21" t="s">
        <v>47</v>
      </c>
      <c r="J168" s="21" t="s">
        <v>47</v>
      </c>
      <c r="K168" s="21" t="s">
        <v>227</v>
      </c>
      <c r="L168" s="101" t="s">
        <v>800</v>
      </c>
      <c r="M168" s="101" t="s">
        <v>801</v>
      </c>
      <c r="N168" s="50"/>
      <c r="O168" s="101"/>
      <c r="P168" s="102" t="s">
        <v>467</v>
      </c>
      <c r="Q168" s="50"/>
      <c r="R168" s="45" t="s">
        <v>459</v>
      </c>
      <c r="T168" s="14"/>
      <c r="U168" s="14"/>
      <c r="V168" s="14"/>
      <c r="W168" s="14"/>
      <c r="X168" s="14"/>
      <c r="Y168" s="14"/>
    </row>
    <row r="169" spans="1:25" ht="24.95" customHeight="1">
      <c r="B169" s="47"/>
      <c r="C169" s="221"/>
      <c r="D169" s="48" t="s">
        <v>228</v>
      </c>
      <c r="E169" s="48" t="s">
        <v>437</v>
      </c>
      <c r="F169" s="26">
        <v>52999</v>
      </c>
      <c r="G169" s="84">
        <v>0</v>
      </c>
      <c r="H169" s="21" t="s">
        <v>419</v>
      </c>
      <c r="I169" s="21"/>
      <c r="J169" s="21"/>
      <c r="K169" s="21" t="s">
        <v>229</v>
      </c>
      <c r="L169" s="101" t="s">
        <v>802</v>
      </c>
      <c r="M169" s="101" t="s">
        <v>801</v>
      </c>
      <c r="N169" s="50"/>
      <c r="O169" s="101"/>
      <c r="P169" s="102" t="s">
        <v>468</v>
      </c>
      <c r="Q169" s="50"/>
      <c r="R169" s="45"/>
      <c r="T169" s="14"/>
      <c r="U169" s="14"/>
      <c r="V169" s="14"/>
      <c r="W169" s="14"/>
      <c r="X169" s="14"/>
      <c r="Y169" s="14"/>
    </row>
    <row r="170" spans="1:25" ht="24.95" customHeight="1">
      <c r="B170" s="47"/>
      <c r="C170" s="218"/>
      <c r="D170" s="48" t="s">
        <v>230</v>
      </c>
      <c r="E170" s="48" t="s">
        <v>471</v>
      </c>
      <c r="F170" s="26">
        <v>55511</v>
      </c>
      <c r="G170" s="84">
        <v>1</v>
      </c>
      <c r="H170" s="46" t="s">
        <v>278</v>
      </c>
      <c r="I170" s="21"/>
      <c r="J170" s="21"/>
      <c r="K170" s="21" t="s">
        <v>231</v>
      </c>
      <c r="L170" s="49" t="s">
        <v>803</v>
      </c>
      <c r="M170" s="50"/>
      <c r="N170" s="50"/>
      <c r="O170" s="49"/>
      <c r="P170" s="102" t="s">
        <v>470</v>
      </c>
      <c r="Q170" s="50"/>
      <c r="R170" s="45"/>
      <c r="T170" s="14"/>
      <c r="U170" s="14"/>
      <c r="V170" s="14"/>
      <c r="W170" s="14"/>
      <c r="X170" s="14"/>
      <c r="Y170" s="14"/>
    </row>
    <row r="171" spans="1:25" ht="24.95" customHeight="1">
      <c r="B171" s="35" t="s">
        <v>6</v>
      </c>
      <c r="C171" s="217" t="s">
        <v>232</v>
      </c>
      <c r="D171" s="26" t="s">
        <v>233</v>
      </c>
      <c r="E171" s="26" t="s">
        <v>1315</v>
      </c>
      <c r="F171" s="26"/>
      <c r="G171" s="26"/>
      <c r="H171" s="29" t="s">
        <v>472</v>
      </c>
      <c r="I171" s="22"/>
      <c r="J171" s="22"/>
      <c r="K171" s="22"/>
      <c r="L171" s="23" t="s">
        <v>1316</v>
      </c>
      <c r="M171" s="23"/>
      <c r="N171" s="23"/>
      <c r="O171" s="23"/>
      <c r="P171" s="23" t="s">
        <v>1242</v>
      </c>
      <c r="Q171" s="24"/>
      <c r="R171" s="42"/>
      <c r="T171" s="14"/>
      <c r="U171" s="14"/>
      <c r="V171" s="14"/>
      <c r="W171" s="14"/>
      <c r="X171" s="14"/>
      <c r="Y171" s="14"/>
    </row>
    <row r="172" spans="1:25" ht="24.95" customHeight="1">
      <c r="A172" s="4" t="s">
        <v>1313</v>
      </c>
      <c r="B172" s="108" t="s">
        <v>6</v>
      </c>
      <c r="C172" s="218"/>
      <c r="D172" s="26" t="s">
        <v>1317</v>
      </c>
      <c r="E172" s="26" t="s">
        <v>437</v>
      </c>
      <c r="F172" s="26">
        <v>62740</v>
      </c>
      <c r="G172" s="26"/>
      <c r="H172" s="29" t="s">
        <v>472</v>
      </c>
      <c r="I172" s="22"/>
      <c r="J172" s="22"/>
      <c r="K172" s="22" t="s">
        <v>1318</v>
      </c>
      <c r="L172" s="23" t="s">
        <v>1319</v>
      </c>
      <c r="M172" s="23"/>
      <c r="N172" s="23"/>
      <c r="O172" s="23"/>
      <c r="P172" s="148" t="s">
        <v>1348</v>
      </c>
      <c r="Q172" s="24"/>
      <c r="R172" s="42"/>
      <c r="T172" s="14"/>
      <c r="U172" s="14"/>
      <c r="V172" s="14"/>
      <c r="W172" s="14"/>
      <c r="X172" s="14"/>
      <c r="Y172" s="14"/>
    </row>
    <row r="173" spans="1:25" ht="24" customHeight="1">
      <c r="B173" s="52" t="s">
        <v>10</v>
      </c>
      <c r="C173" s="225" t="s">
        <v>234</v>
      </c>
      <c r="D173" s="34" t="s">
        <v>235</v>
      </c>
      <c r="E173" s="34" t="s">
        <v>306</v>
      </c>
      <c r="F173" s="26">
        <v>61020</v>
      </c>
      <c r="G173" s="84">
        <v>9</v>
      </c>
      <c r="H173" s="34" t="s">
        <v>474</v>
      </c>
      <c r="I173" s="34" t="s">
        <v>47</v>
      </c>
      <c r="J173" s="34" t="s">
        <v>47</v>
      </c>
      <c r="K173" s="34" t="s">
        <v>219</v>
      </c>
      <c r="L173" s="28" t="s">
        <v>1266</v>
      </c>
      <c r="M173" s="28"/>
      <c r="N173" s="28"/>
      <c r="O173" s="28"/>
      <c r="P173" s="28" t="s">
        <v>473</v>
      </c>
      <c r="Q173" s="28" t="s">
        <v>47</v>
      </c>
      <c r="R173" s="28" t="s">
        <v>234</v>
      </c>
    </row>
    <row r="174" spans="1:25" ht="24" customHeight="1">
      <c r="B174" s="52" t="s">
        <v>10</v>
      </c>
      <c r="C174" s="226"/>
      <c r="D174" s="34" t="s">
        <v>236</v>
      </c>
      <c r="E174" s="34" t="s">
        <v>306</v>
      </c>
      <c r="F174" s="26">
        <v>61020</v>
      </c>
      <c r="G174" s="84">
        <v>9</v>
      </c>
      <c r="H174" s="34" t="s">
        <v>474</v>
      </c>
      <c r="I174" s="34" t="s">
        <v>47</v>
      </c>
      <c r="J174" s="34" t="s">
        <v>47</v>
      </c>
      <c r="K174" s="34" t="s">
        <v>237</v>
      </c>
      <c r="L174" s="28" t="s">
        <v>1267</v>
      </c>
      <c r="M174" s="28"/>
      <c r="N174" s="28"/>
      <c r="O174" s="28"/>
      <c r="P174" s="28" t="s">
        <v>475</v>
      </c>
      <c r="Q174" s="28" t="s">
        <v>47</v>
      </c>
      <c r="R174" s="28" t="s">
        <v>234</v>
      </c>
    </row>
    <row r="175" spans="1:25" ht="24" customHeight="1">
      <c r="B175" s="52" t="s">
        <v>6</v>
      </c>
      <c r="C175" s="226"/>
      <c r="D175" s="34" t="s">
        <v>238</v>
      </c>
      <c r="E175" s="34" t="s">
        <v>437</v>
      </c>
      <c r="F175" s="26">
        <v>61591</v>
      </c>
      <c r="G175" s="84">
        <v>1</v>
      </c>
      <c r="H175" s="34" t="s">
        <v>474</v>
      </c>
      <c r="I175" s="34" t="s">
        <v>47</v>
      </c>
      <c r="J175" s="34" t="s">
        <v>47</v>
      </c>
      <c r="K175" s="34" t="s">
        <v>239</v>
      </c>
      <c r="L175" s="28" t="s">
        <v>805</v>
      </c>
      <c r="M175" s="28"/>
      <c r="N175" s="28"/>
      <c r="O175" s="28"/>
      <c r="P175" s="28" t="s">
        <v>1268</v>
      </c>
      <c r="Q175" s="28" t="s">
        <v>47</v>
      </c>
      <c r="R175" s="28" t="s">
        <v>234</v>
      </c>
    </row>
    <row r="176" spans="1:25" ht="24" customHeight="1">
      <c r="B176" s="52" t="s">
        <v>6</v>
      </c>
      <c r="C176" s="226"/>
      <c r="D176" s="34" t="s">
        <v>240</v>
      </c>
      <c r="E176" s="34" t="s">
        <v>437</v>
      </c>
      <c r="F176" s="26">
        <v>61591</v>
      </c>
      <c r="G176" s="84">
        <v>1</v>
      </c>
      <c r="H176" s="34" t="s">
        <v>474</v>
      </c>
      <c r="I176" s="34" t="s">
        <v>47</v>
      </c>
      <c r="J176" s="34" t="s">
        <v>47</v>
      </c>
      <c r="K176" s="34" t="s">
        <v>241</v>
      </c>
      <c r="L176" s="28" t="s">
        <v>1269</v>
      </c>
      <c r="M176" s="28"/>
      <c r="N176" s="28"/>
      <c r="O176" s="28"/>
      <c r="P176" s="116" t="s">
        <v>1270</v>
      </c>
      <c r="Q176" s="28" t="s">
        <v>47</v>
      </c>
      <c r="R176" s="28" t="s">
        <v>234</v>
      </c>
    </row>
    <row r="177" spans="2:20" ht="24" customHeight="1">
      <c r="B177" s="52" t="s">
        <v>6</v>
      </c>
      <c r="C177" s="226"/>
      <c r="D177" s="34" t="s">
        <v>242</v>
      </c>
      <c r="E177" s="34" t="s">
        <v>364</v>
      </c>
      <c r="F177" s="26">
        <v>60495</v>
      </c>
      <c r="G177" s="84">
        <v>2</v>
      </c>
      <c r="H177" s="34" t="s">
        <v>423</v>
      </c>
      <c r="I177" s="34" t="s">
        <v>47</v>
      </c>
      <c r="J177" s="34" t="s">
        <v>47</v>
      </c>
      <c r="K177" s="34" t="s">
        <v>224</v>
      </c>
      <c r="L177" s="28" t="s">
        <v>804</v>
      </c>
      <c r="M177" s="28"/>
      <c r="N177" s="28"/>
      <c r="O177" s="28"/>
      <c r="P177" s="103" t="s">
        <v>224</v>
      </c>
      <c r="Q177" s="28" t="s">
        <v>47</v>
      </c>
      <c r="R177" s="28" t="s">
        <v>477</v>
      </c>
    </row>
    <row r="178" spans="2:20" ht="24" customHeight="1">
      <c r="B178" s="52" t="s">
        <v>6</v>
      </c>
      <c r="C178" s="227"/>
      <c r="D178" s="34" t="s">
        <v>243</v>
      </c>
      <c r="E178" s="34" t="s">
        <v>301</v>
      </c>
      <c r="F178" s="26">
        <v>60495</v>
      </c>
      <c r="G178" s="84">
        <v>1</v>
      </c>
      <c r="H178" s="34" t="s">
        <v>423</v>
      </c>
      <c r="I178" s="34" t="s">
        <v>47</v>
      </c>
      <c r="J178" s="34" t="s">
        <v>47</v>
      </c>
      <c r="K178" s="34" t="s">
        <v>244</v>
      </c>
      <c r="L178" s="28" t="s">
        <v>804</v>
      </c>
      <c r="M178" s="28"/>
      <c r="N178" s="28"/>
      <c r="O178" s="28"/>
      <c r="P178" s="28" t="s">
        <v>478</v>
      </c>
      <c r="Q178" s="28" t="s">
        <v>47</v>
      </c>
      <c r="R178" s="28" t="s">
        <v>479</v>
      </c>
    </row>
    <row r="179" spans="2:20" ht="24" customHeight="1">
      <c r="B179" s="52" t="s">
        <v>10</v>
      </c>
      <c r="C179" s="228" t="s">
        <v>245</v>
      </c>
      <c r="D179" s="34" t="s">
        <v>246</v>
      </c>
      <c r="E179" s="34" t="s">
        <v>364</v>
      </c>
      <c r="F179" s="26">
        <v>60282</v>
      </c>
      <c r="G179" s="84">
        <v>1</v>
      </c>
      <c r="H179" s="33" t="s">
        <v>474</v>
      </c>
      <c r="I179" s="104" t="s">
        <v>47</v>
      </c>
      <c r="J179" s="104" t="s">
        <v>47</v>
      </c>
      <c r="K179" s="33" t="s">
        <v>219</v>
      </c>
      <c r="L179" s="117" t="s">
        <v>1271</v>
      </c>
      <c r="M179" s="3"/>
      <c r="N179" s="3"/>
      <c r="O179" s="3"/>
      <c r="P179" s="105" t="s">
        <v>187</v>
      </c>
      <c r="Q179" s="20" t="s">
        <v>47</v>
      </c>
      <c r="R179" s="12" t="s">
        <v>245</v>
      </c>
    </row>
    <row r="180" spans="2:20" ht="24" customHeight="1">
      <c r="B180" s="52" t="s">
        <v>10</v>
      </c>
      <c r="C180" s="229"/>
      <c r="D180" s="34" t="s">
        <v>247</v>
      </c>
      <c r="E180" s="34" t="s">
        <v>364</v>
      </c>
      <c r="F180" s="26">
        <v>60282</v>
      </c>
      <c r="G180" s="84">
        <v>1</v>
      </c>
      <c r="H180" s="33" t="s">
        <v>474</v>
      </c>
      <c r="I180" s="104" t="s">
        <v>47</v>
      </c>
      <c r="J180" s="104" t="s">
        <v>47</v>
      </c>
      <c r="K180" s="34" t="s">
        <v>237</v>
      </c>
      <c r="L180" s="117" t="s">
        <v>1271</v>
      </c>
      <c r="M180" s="3"/>
      <c r="N180" s="3"/>
      <c r="O180" s="3"/>
      <c r="P180" s="105"/>
      <c r="Q180" s="20"/>
      <c r="R180" s="12" t="s">
        <v>245</v>
      </c>
    </row>
    <row r="181" spans="2:20" ht="24" customHeight="1">
      <c r="B181" s="52" t="s">
        <v>6</v>
      </c>
      <c r="C181" s="229"/>
      <c r="D181" s="34" t="s">
        <v>248</v>
      </c>
      <c r="E181" s="34" t="s">
        <v>437</v>
      </c>
      <c r="F181" s="26">
        <v>61591</v>
      </c>
      <c r="G181" s="84">
        <v>1</v>
      </c>
      <c r="H181" s="33" t="s">
        <v>474</v>
      </c>
      <c r="I181" s="104" t="s">
        <v>47</v>
      </c>
      <c r="J181" s="104" t="s">
        <v>47</v>
      </c>
      <c r="K181" s="34" t="s">
        <v>42</v>
      </c>
      <c r="L181" s="117" t="s">
        <v>1272</v>
      </c>
      <c r="M181" s="3"/>
      <c r="N181" s="3"/>
      <c r="O181" s="3"/>
      <c r="P181" s="118" t="s">
        <v>1268</v>
      </c>
      <c r="Q181" s="20"/>
      <c r="R181" s="12" t="s">
        <v>245</v>
      </c>
    </row>
    <row r="182" spans="2:20" ht="24" customHeight="1">
      <c r="B182" s="52" t="s">
        <v>6</v>
      </c>
      <c r="C182" s="229"/>
      <c r="D182" s="34" t="s">
        <v>249</v>
      </c>
      <c r="E182" s="34" t="s">
        <v>437</v>
      </c>
      <c r="F182" s="26">
        <v>61591</v>
      </c>
      <c r="G182" s="84">
        <v>1</v>
      </c>
      <c r="H182" s="33" t="s">
        <v>474</v>
      </c>
      <c r="I182" s="104" t="s">
        <v>47</v>
      </c>
      <c r="J182" s="104" t="s">
        <v>47</v>
      </c>
      <c r="K182" s="34" t="s">
        <v>250</v>
      </c>
      <c r="L182" s="117" t="s">
        <v>1272</v>
      </c>
      <c r="M182" s="3"/>
      <c r="N182" s="3"/>
      <c r="O182" s="3"/>
      <c r="P182" s="118" t="s">
        <v>1268</v>
      </c>
      <c r="Q182" s="20"/>
      <c r="R182" s="12" t="s">
        <v>245</v>
      </c>
    </row>
    <row r="183" spans="2:20" ht="26.25" customHeight="1">
      <c r="B183" s="28" t="s">
        <v>6</v>
      </c>
      <c r="C183" s="229"/>
      <c r="D183" s="33" t="s">
        <v>242</v>
      </c>
      <c r="E183" s="231" t="s">
        <v>806</v>
      </c>
      <c r="F183" s="232"/>
      <c r="G183" s="233"/>
      <c r="H183" s="33" t="s">
        <v>423</v>
      </c>
      <c r="I183" s="104" t="s">
        <v>47</v>
      </c>
      <c r="J183" s="104" t="s">
        <v>47</v>
      </c>
      <c r="K183" s="33" t="s">
        <v>224</v>
      </c>
      <c r="L183" s="3"/>
      <c r="M183" s="3"/>
      <c r="N183" s="3"/>
      <c r="O183" s="3"/>
      <c r="P183" s="105" t="s">
        <v>224</v>
      </c>
      <c r="Q183" s="20" t="s">
        <v>47</v>
      </c>
      <c r="R183" s="28" t="s">
        <v>477</v>
      </c>
      <c r="T183" s="17" t="s">
        <v>807</v>
      </c>
    </row>
    <row r="184" spans="2:20" ht="24" customHeight="1">
      <c r="B184" s="28" t="s">
        <v>6</v>
      </c>
      <c r="C184" s="230"/>
      <c r="D184" s="33" t="s">
        <v>243</v>
      </c>
      <c r="E184" s="231" t="s">
        <v>806</v>
      </c>
      <c r="F184" s="232"/>
      <c r="G184" s="233"/>
      <c r="H184" s="33" t="s">
        <v>423</v>
      </c>
      <c r="I184" s="104" t="s">
        <v>47</v>
      </c>
      <c r="J184" s="104" t="s">
        <v>47</v>
      </c>
      <c r="K184" s="33" t="s">
        <v>244</v>
      </c>
      <c r="L184" s="3"/>
      <c r="M184" s="3"/>
      <c r="N184" s="3"/>
      <c r="O184" s="3"/>
      <c r="P184" s="105" t="s">
        <v>478</v>
      </c>
      <c r="Q184" s="20" t="s">
        <v>47</v>
      </c>
      <c r="R184" s="28" t="s">
        <v>479</v>
      </c>
    </row>
  </sheetData>
  <autoFilter ref="B53:Q184" xr:uid="{00000000-0009-0000-0000-000000000000}"/>
  <mergeCells count="93">
    <mergeCell ref="C173:C178"/>
    <mergeCell ref="C179:C184"/>
    <mergeCell ref="E183:G183"/>
    <mergeCell ref="E184:G184"/>
    <mergeCell ref="R156:R157"/>
    <mergeCell ref="C158:C159"/>
    <mergeCell ref="R158:R162"/>
    <mergeCell ref="C161:C162"/>
    <mergeCell ref="C168:C170"/>
    <mergeCell ref="C171:C172"/>
    <mergeCell ref="C164:C167"/>
    <mergeCell ref="R164:R166"/>
    <mergeCell ref="C148:C153"/>
    <mergeCell ref="R148:R151"/>
    <mergeCell ref="C156:C157"/>
    <mergeCell ref="S86:T86"/>
    <mergeCell ref="C96:C97"/>
    <mergeCell ref="R96:R97"/>
    <mergeCell ref="C98:C100"/>
    <mergeCell ref="C101:C102"/>
    <mergeCell ref="C103:C104"/>
    <mergeCell ref="R103:R104"/>
    <mergeCell ref="C115:C118"/>
    <mergeCell ref="R121:R123"/>
    <mergeCell ref="C122:C124"/>
    <mergeCell ref="C128:C129"/>
    <mergeCell ref="C137:C144"/>
    <mergeCell ref="C74:C80"/>
    <mergeCell ref="R81:R85"/>
    <mergeCell ref="C82:C85"/>
    <mergeCell ref="C113:C114"/>
    <mergeCell ref="C86:C94"/>
    <mergeCell ref="R86:R94"/>
    <mergeCell ref="R105:R110"/>
    <mergeCell ref="C106:C112"/>
    <mergeCell ref="C55:C62"/>
    <mergeCell ref="C63:C66"/>
    <mergeCell ref="R63:R66"/>
    <mergeCell ref="C71:C72"/>
    <mergeCell ref="D71:D72"/>
    <mergeCell ref="R71:R72"/>
    <mergeCell ref="C67:C69"/>
    <mergeCell ref="R67:R68"/>
    <mergeCell ref="D47:G47"/>
    <mergeCell ref="D48:G48"/>
    <mergeCell ref="C50:K50"/>
    <mergeCell ref="D35:G35"/>
    <mergeCell ref="D36:G36"/>
    <mergeCell ref="D37:G37"/>
    <mergeCell ref="D38:G38"/>
    <mergeCell ref="D39:G39"/>
    <mergeCell ref="D40:G40"/>
    <mergeCell ref="D42:G42"/>
    <mergeCell ref="D43:G43"/>
    <mergeCell ref="D44:G44"/>
    <mergeCell ref="D45:G45"/>
    <mergeCell ref="D46:G46"/>
    <mergeCell ref="L26:Q26"/>
    <mergeCell ref="D27:G27"/>
    <mergeCell ref="L27:Q27"/>
    <mergeCell ref="D28:G28"/>
    <mergeCell ref="D41:G41"/>
    <mergeCell ref="D30:G30"/>
    <mergeCell ref="D31:G31"/>
    <mergeCell ref="D32:G32"/>
    <mergeCell ref="D33:G33"/>
    <mergeCell ref="D34:G34"/>
    <mergeCell ref="D17:G17"/>
    <mergeCell ref="D18:G18"/>
    <mergeCell ref="D29:G29"/>
    <mergeCell ref="D20:G20"/>
    <mergeCell ref="D21:G21"/>
    <mergeCell ref="D22:G22"/>
    <mergeCell ref="D23:G23"/>
    <mergeCell ref="D24:G24"/>
    <mergeCell ref="D25:G25"/>
    <mergeCell ref="D26:G26"/>
    <mergeCell ref="D19:G19"/>
    <mergeCell ref="D13:G13"/>
    <mergeCell ref="D14:G14"/>
    <mergeCell ref="D15:G15"/>
    <mergeCell ref="D16:G16"/>
    <mergeCell ref="D7:G7"/>
    <mergeCell ref="D8:G8"/>
    <mergeCell ref="D9:G9"/>
    <mergeCell ref="D10:G10"/>
    <mergeCell ref="D11:G11"/>
    <mergeCell ref="D12:G12"/>
    <mergeCell ref="D2:G2"/>
    <mergeCell ref="D3:G3"/>
    <mergeCell ref="D4:G4"/>
    <mergeCell ref="D5:G5"/>
    <mergeCell ref="D6:G6"/>
  </mergeCells>
  <phoneticPr fontId="1"/>
  <pageMargins left="0.35433070866141736" right="0.27559055118110237" top="0.55118110236220474" bottom="0.47244094488188981" header="0.51181102362204722" footer="0.51181102362204722"/>
  <pageSetup paperSize="9" scale="50" orientation="portrait" horizontalDpi="300" verticalDpi="300" r:id="rId1"/>
  <headerFooter alignWithMargins="0"/>
  <rowBreaks count="1" manualBreakCount="1">
    <brk id="5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1d85bdb-9e43-4612-a355-15dcada7f308">
      <Terms xmlns="http://schemas.microsoft.com/office/infopath/2007/PartnerControls"/>
    </lcf76f155ced4ddcb4097134ff3c332f>
    <TaxCatchAll xmlns="59ea8695-c762-4878-851f-fa6dcb8e5ca6" xsi:nil="true"/>
  </documentManagement>
</p:propertie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35C72C03AE168243B5B9E5D1E81515B6" ma:contentTypeVersion="16" ma:contentTypeDescription="新しいドキュメントを作成します。" ma:contentTypeScope="" ma:versionID="07f015596866f3bb30c527f478b0e2ca">
  <xsd:schema xmlns:xsd="http://www.w3.org/2001/XMLSchema" xmlns:xs="http://www.w3.org/2001/XMLSchema" xmlns:p="http://schemas.microsoft.com/office/2006/metadata/properties" xmlns:ns2="91d85bdb-9e43-4612-a355-15dcada7f308" xmlns:ns3="59ea8695-c762-4878-851f-fa6dcb8e5ca6" targetNamespace="http://schemas.microsoft.com/office/2006/metadata/properties" ma:root="true" ma:fieldsID="f0bae843de98ba6a800a80b6193d6941" ns2:_="" ns3:_="">
    <xsd:import namespace="91d85bdb-9e43-4612-a355-15dcada7f308"/>
    <xsd:import namespace="59ea8695-c762-4878-851f-fa6dcb8e5ca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d85bdb-9e43-4612-a355-15dcada7f3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画像タグ" ma:readOnly="false" ma:fieldId="{5cf76f15-5ced-4ddc-b409-7134ff3c332f}" ma:taxonomyMulti="true" ma:sspId="45c48354-4d24-49e8-bf58-b3da240e2a7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ea8695-c762-4878-851f-fa6dcb8e5ca6"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1" nillable="true" ma:displayName="Taxonomy Catch All Column" ma:hidden="true" ma:list="{79e52e2c-f935-4f7b-bd6d-ca8da43bdc58}" ma:internalName="TaxCatchAll" ma:showField="CatchAllData" ma:web="59ea8695-c762-4878-851f-fa6dcb8e5c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A65B04-09B4-4C85-8512-1DFC0D49F61A}">
  <ds:schemaRefs>
    <ds:schemaRef ds:uri="http://schemas.microsoft.com/sharepoint/v3/contenttype/forms"/>
  </ds:schemaRefs>
</ds:datastoreItem>
</file>

<file path=customXml/itemProps2.xml><?xml version="1.0" encoding="utf-8"?>
<ds:datastoreItem xmlns:ds="http://schemas.openxmlformats.org/officeDocument/2006/customXml" ds:itemID="{B49E0AE3-D4F1-472B-A3D2-25D628FB1D27}">
  <ds:schemaRefs>
    <ds:schemaRef ds:uri="http://schemas.microsoft.com/DataMashup"/>
  </ds:schemaRefs>
</ds:datastoreItem>
</file>

<file path=customXml/itemProps3.xml><?xml version="1.0" encoding="utf-8"?>
<ds:datastoreItem xmlns:ds="http://schemas.openxmlformats.org/officeDocument/2006/customXml" ds:itemID="{876C132A-861B-42F5-8545-9D1F1DA06BBA}">
  <ds:schemaRefs>
    <ds:schemaRef ds:uri="http://schemas.openxmlformats.org/package/2006/metadata/core-properties"/>
    <ds:schemaRef ds:uri="http://schemas.microsoft.com/office/2006/metadata/properties"/>
    <ds:schemaRef ds:uri="http://schemas.microsoft.com/office/infopath/2007/PartnerControls"/>
    <ds:schemaRef ds:uri="http://www.w3.org/XML/1998/namespace"/>
    <ds:schemaRef ds:uri="59ea8695-c762-4878-851f-fa6dcb8e5ca6"/>
    <ds:schemaRef ds:uri="http://purl.org/dc/terms/"/>
    <ds:schemaRef ds:uri="http://schemas.microsoft.com/office/2006/documentManagement/types"/>
    <ds:schemaRef ds:uri="91d85bdb-9e43-4612-a355-15dcada7f308"/>
    <ds:schemaRef ds:uri="http://purl.org/dc/dcmitype/"/>
    <ds:schemaRef ds:uri="http://purl.org/dc/elements/1.1/"/>
  </ds:schemaRefs>
</ds:datastoreItem>
</file>

<file path=customXml/itemProps4.xml><?xml version="1.0" encoding="utf-8"?>
<ds:datastoreItem xmlns:ds="http://schemas.openxmlformats.org/officeDocument/2006/customXml" ds:itemID="{99A80381-6AFA-47C4-B429-753276B076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d85bdb-9e43-4612-a355-15dcada7f308"/>
    <ds:schemaRef ds:uri="59ea8695-c762-4878-851f-fa6dcb8e5c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5</vt:i4>
      </vt:variant>
    </vt:vector>
  </HeadingPairs>
  <TitlesOfParts>
    <vt:vector size="13" baseType="lpstr">
      <vt:lpstr>品番</vt:lpstr>
      <vt:lpstr>改定</vt:lpstr>
      <vt:lpstr>Sheet2</vt:lpstr>
      <vt:lpstr>適用号機</vt:lpstr>
      <vt:lpstr>テーブル2</vt:lpstr>
      <vt:lpstr>Sheet1</vt:lpstr>
      <vt:lpstr>d30</vt:lpstr>
      <vt:lpstr>d29</vt:lpstr>
      <vt:lpstr>'d29'!Print_Area</vt:lpstr>
      <vt:lpstr>'d30'!Print_Area</vt:lpstr>
      <vt:lpstr>改定!Print_Area</vt:lpstr>
      <vt:lpstr>適用号機!Print_Area</vt:lpstr>
      <vt:lpstr>品番!Print_Area</vt:lpstr>
    </vt:vector>
  </TitlesOfParts>
  <Manager/>
  <Company>竹内製作所</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平林　哲哉</dc:creator>
  <cp:keywords/>
  <dc:description/>
  <cp:lastModifiedBy>孝広 渡辺</cp:lastModifiedBy>
  <cp:revision/>
  <dcterms:created xsi:type="dcterms:W3CDTF">2011-03-17T00:05:17Z</dcterms:created>
  <dcterms:modified xsi:type="dcterms:W3CDTF">2026-01-30T13:29:25Z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0x01010035C72C03AE168243B5B9E5D1E81515B6</vt:lpwstr>
  </property>
  <property fmtid="{D5CDD505-2E9C-101B-9397-08002B2CF9AE}" pid="3" name="MediaServiceImageTags">
    <vt:lpwstr/>
  </property>
</Properties>
</file>