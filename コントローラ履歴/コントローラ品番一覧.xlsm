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117029\Documents\Git\myTest\コントローラ履歴\"/>
    </mc:Choice>
  </mc:AlternateContent>
  <xr:revisionPtr revIDLastSave="0" documentId="13_ncr:1_{526734C7-8AFE-4F74-B309-2D4806C5C87E}" xr6:coauthVersionLast="47" xr6:coauthVersionMax="47" xr10:uidLastSave="{00000000-0000-0000-0000-000000000000}"/>
  <bookViews>
    <workbookView xWindow="57480" yWindow="-120" windowWidth="29040" windowHeight="15720" activeTab="2" xr2:uid="{00000000-000D-0000-FFFF-FFFF00000000}"/>
  </bookViews>
  <sheets>
    <sheet name="品番" sheetId="37" r:id="rId1"/>
    <sheet name="改定" sheetId="36" r:id="rId2"/>
    <sheet name="適用" sheetId="38" r:id="rId3"/>
    <sheet name="d30" sheetId="42" r:id="rId4"/>
    <sheet name="d29" sheetId="41" r:id="rId5"/>
  </sheets>
  <definedNames>
    <definedName name="_xlnm._FilterDatabase" localSheetId="4" hidden="1">'d29'!$B$53:$Q$184</definedName>
    <definedName name="_xlnm._FilterDatabase" localSheetId="3" hidden="1">'d30'!$B$53:$Q$188</definedName>
    <definedName name="_xlnm._FilterDatabase" localSheetId="1" hidden="1">改定!$A$1:$O$914</definedName>
    <definedName name="_xlnm._FilterDatabase" localSheetId="2" hidden="1">適用!$A$1:$X$1595</definedName>
    <definedName name="_xlnm._FilterDatabase" localSheetId="0" hidden="1">品番!$A$1:$J$237</definedName>
    <definedName name="_xlnm.Print_Area" localSheetId="4">'d29'!$B$1:$Q$179</definedName>
    <definedName name="_xlnm.Print_Area" localSheetId="3">'d30'!$B$1:$Q$181</definedName>
    <definedName name="_xlnm.Print_Area" localSheetId="1">改定!$B$1:$L$591</definedName>
    <definedName name="_xlnm.Print_Area" localSheetId="2">適用!$F$1:$S$477</definedName>
    <definedName name="_xlnm.Print_Area" localSheetId="0">品番!$A$1:$J$127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15" i="36" l="1"/>
  <c r="A916" i="36"/>
  <c r="A917" i="36"/>
  <c r="A918" i="36"/>
  <c r="A919" i="36"/>
  <c r="A920" i="36"/>
  <c r="A921" i="36"/>
  <c r="A922" i="36"/>
  <c r="A923" i="36"/>
  <c r="A924" i="36"/>
  <c r="A925" i="36"/>
  <c r="A926" i="36"/>
  <c r="A927" i="36"/>
  <c r="A928" i="36"/>
  <c r="A929" i="36"/>
  <c r="A930" i="36"/>
  <c r="A931" i="36"/>
  <c r="A932" i="36"/>
  <c r="A933" i="36"/>
  <c r="A934" i="36"/>
  <c r="A935" i="36"/>
  <c r="A936" i="36"/>
  <c r="A895" i="36"/>
  <c r="A896" i="36"/>
  <c r="A897" i="36"/>
  <c r="A898" i="36"/>
  <c r="A899" i="36"/>
  <c r="A900" i="36"/>
  <c r="A901" i="36"/>
  <c r="A902" i="36"/>
  <c r="A903" i="36"/>
  <c r="A904" i="36"/>
  <c r="A905" i="36"/>
  <c r="A906" i="36"/>
  <c r="A907" i="36"/>
  <c r="A908" i="36"/>
  <c r="A909" i="36"/>
  <c r="A910" i="36"/>
  <c r="A911" i="36"/>
  <c r="A912" i="36"/>
  <c r="A913" i="36"/>
  <c r="A914" i="36"/>
  <c r="A894" i="36"/>
  <c r="A893" i="36"/>
  <c r="A887" i="36"/>
  <c r="A891" i="36"/>
  <c r="A888" i="36"/>
  <c r="A889" i="36"/>
  <c r="A890" i="36"/>
  <c r="A892" i="36"/>
  <c r="A1517" i="38"/>
  <c r="A1518" i="38"/>
  <c r="A1519" i="38"/>
  <c r="A1520" i="38"/>
  <c r="A1521" i="38"/>
  <c r="A1522" i="38"/>
  <c r="A1523" i="38"/>
  <c r="A1524" i="38"/>
  <c r="A1525" i="38"/>
  <c r="A1526" i="38"/>
  <c r="A1527" i="38"/>
  <c r="A1528" i="38"/>
  <c r="A1529" i="38"/>
  <c r="A1530" i="38"/>
  <c r="A1531" i="38"/>
  <c r="A1532" i="38"/>
  <c r="A1533" i="38"/>
  <c r="A1534" i="38"/>
  <c r="A1535" i="38"/>
  <c r="A1536" i="38"/>
  <c r="A1537" i="38"/>
  <c r="A1538" i="38"/>
  <c r="A1539" i="38"/>
  <c r="A1540" i="38"/>
  <c r="A1541" i="38"/>
  <c r="A1542" i="38"/>
  <c r="A1543" i="38"/>
  <c r="A1544" i="38"/>
  <c r="A1545" i="38"/>
  <c r="A1546" i="38"/>
  <c r="A1547" i="38"/>
  <c r="A1548" i="38"/>
  <c r="A1549" i="38"/>
  <c r="A1550" i="38"/>
  <c r="A1551" i="38"/>
  <c r="A1552" i="38"/>
  <c r="A1553" i="38"/>
  <c r="A1554" i="38"/>
  <c r="A1555" i="38"/>
  <c r="A1556" i="38"/>
  <c r="A1557" i="38"/>
  <c r="A1558" i="38"/>
  <c r="A1559" i="38"/>
  <c r="A1560" i="38"/>
  <c r="A1561" i="38"/>
  <c r="A1562" i="38"/>
  <c r="A1563" i="38"/>
  <c r="A1564" i="38"/>
  <c r="A1565" i="38"/>
  <c r="A1566" i="38"/>
  <c r="A1567" i="38"/>
  <c r="A1568" i="38"/>
  <c r="A1569" i="38"/>
  <c r="A1570" i="38"/>
  <c r="A1571" i="38"/>
  <c r="A1572" i="38"/>
  <c r="A1573" i="38"/>
  <c r="A1574" i="38"/>
  <c r="A1575" i="38"/>
  <c r="A1576" i="38"/>
  <c r="A1577" i="38"/>
  <c r="A1578" i="38"/>
  <c r="A1579" i="38"/>
  <c r="A1580" i="38"/>
  <c r="A1581" i="38"/>
  <c r="A1582" i="38"/>
  <c r="A1583" i="38"/>
  <c r="A1584" i="38"/>
  <c r="A1585" i="38"/>
  <c r="A1586" i="38"/>
  <c r="A1587" i="38"/>
  <c r="A1588" i="38"/>
  <c r="A1589" i="38"/>
  <c r="A1590" i="38"/>
  <c r="A1591" i="38"/>
  <c r="A1592" i="38"/>
  <c r="A1593" i="38"/>
  <c r="A1594" i="38"/>
  <c r="A1595" i="38"/>
  <c r="A1513" i="38"/>
  <c r="A1514" i="38"/>
  <c r="A1515" i="38"/>
  <c r="A1516" i="38"/>
  <c r="A886" i="36"/>
  <c r="A183" i="36"/>
  <c r="A184" i="36"/>
  <c r="A695" i="36"/>
  <c r="A683" i="36"/>
  <c r="A684" i="36"/>
  <c r="A685" i="36"/>
  <c r="A696" i="36"/>
  <c r="A697" i="36"/>
  <c r="A698" i="36"/>
  <c r="A699" i="36"/>
  <c r="A700" i="36"/>
  <c r="A682" i="36"/>
  <c r="A692" i="36"/>
  <c r="A693" i="36"/>
  <c r="A694" i="36"/>
  <c r="A686" i="36"/>
  <c r="A687" i="36"/>
  <c r="A688" i="36"/>
  <c r="A689" i="36"/>
  <c r="A690" i="36"/>
  <c r="A691" i="36"/>
  <c r="A4" i="36"/>
  <c r="A5" i="36"/>
  <c r="A6" i="36"/>
  <c r="A7" i="36"/>
  <c r="A8" i="36"/>
  <c r="A9" i="36"/>
  <c r="A862" i="36"/>
  <c r="A863" i="36"/>
  <c r="A864" i="36"/>
  <c r="A865" i="36"/>
  <c r="A866" i="36"/>
  <c r="A867" i="36"/>
  <c r="A868" i="36"/>
  <c r="A869" i="36"/>
  <c r="A870" i="36"/>
  <c r="A871" i="36"/>
  <c r="A872" i="36"/>
  <c r="A873" i="36"/>
  <c r="A874" i="36"/>
  <c r="A875" i="36"/>
  <c r="A876" i="36"/>
  <c r="A877" i="36"/>
  <c r="A878" i="36"/>
  <c r="A879" i="36"/>
  <c r="A880" i="36"/>
  <c r="A881" i="36"/>
  <c r="A882" i="36"/>
  <c r="A883" i="36"/>
  <c r="A884" i="36"/>
  <c r="A885" i="36"/>
  <c r="A400" i="36"/>
  <c r="A3" i="38"/>
  <c r="A4" i="38"/>
  <c r="A5" i="38"/>
  <c r="A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301" i="38"/>
  <c r="A302" i="38"/>
  <c r="A303" i="38"/>
  <c r="A304" i="38"/>
  <c r="A305" i="38"/>
  <c r="A306" i="38"/>
  <c r="A307" i="38"/>
  <c r="A308" i="38"/>
  <c r="A309" i="38"/>
  <c r="A310" i="38"/>
  <c r="A311" i="38"/>
  <c r="A312" i="38"/>
  <c r="A313" i="38"/>
  <c r="A314" i="38"/>
  <c r="A315" i="38"/>
  <c r="A316" i="38"/>
  <c r="A317" i="38"/>
  <c r="A318" i="38"/>
  <c r="A319" i="38"/>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547" i="38"/>
  <c r="A548" i="38"/>
  <c r="A549" i="38"/>
  <c r="A550" i="38"/>
  <c r="A551" i="38"/>
  <c r="A552" i="38"/>
  <c r="A553" i="38"/>
  <c r="A554" i="38"/>
  <c r="A555" i="38"/>
  <c r="A556" i="38"/>
  <c r="A557" i="38"/>
  <c r="A558" i="38"/>
  <c r="A559" i="38"/>
  <c r="A560" i="38"/>
  <c r="A561" i="38"/>
  <c r="A562" i="38"/>
  <c r="A563" i="38"/>
  <c r="A564" i="38"/>
  <c r="A565" i="38"/>
  <c r="A566" i="38"/>
  <c r="A567" i="38"/>
  <c r="A568" i="38"/>
  <c r="A569" i="38"/>
  <c r="A570" i="38"/>
  <c r="A571" i="38"/>
  <c r="A572" i="38"/>
  <c r="A573" i="38"/>
  <c r="A574" i="38"/>
  <c r="A575" i="38"/>
  <c r="A576" i="38"/>
  <c r="A577" i="38"/>
  <c r="A578" i="38"/>
  <c r="A579" i="38"/>
  <c r="A580" i="38"/>
  <c r="A581" i="38"/>
  <c r="A582" i="38"/>
  <c r="A583" i="38"/>
  <c r="A584" i="38"/>
  <c r="A585" i="38"/>
  <c r="A586" i="38"/>
  <c r="A587" i="38"/>
  <c r="A588" i="38"/>
  <c r="A589" i="38"/>
  <c r="A590" i="38"/>
  <c r="A591" i="38"/>
  <c r="A592" i="38"/>
  <c r="A593" i="38"/>
  <c r="A594" i="38"/>
  <c r="A595" i="38"/>
  <c r="A596" i="38"/>
  <c r="A597" i="38"/>
  <c r="A598" i="38"/>
  <c r="A599" i="38"/>
  <c r="A600" i="38"/>
  <c r="A601" i="38"/>
  <c r="A602" i="38"/>
  <c r="A603" i="38"/>
  <c r="A604" i="38"/>
  <c r="A605" i="38"/>
  <c r="A606" i="38"/>
  <c r="A607" i="38"/>
  <c r="A608" i="38"/>
  <c r="A609" i="38"/>
  <c r="A610" i="38"/>
  <c r="A611" i="38"/>
  <c r="A612" i="38"/>
  <c r="A613" i="38"/>
  <c r="A614" i="38"/>
  <c r="A615" i="38"/>
  <c r="A616" i="38"/>
  <c r="A617" i="38"/>
  <c r="A618" i="38"/>
  <c r="A619" i="38"/>
  <c r="A620" i="38"/>
  <c r="A621" i="38"/>
  <c r="A622" i="38"/>
  <c r="A623" i="38"/>
  <c r="A624" i="38"/>
  <c r="A625" i="38"/>
  <c r="A626" i="38"/>
  <c r="A627" i="38"/>
  <c r="A628" i="38"/>
  <c r="A629" i="38"/>
  <c r="A630" i="38"/>
  <c r="A631" i="38"/>
  <c r="A632" i="38"/>
  <c r="A633" i="38"/>
  <c r="A634" i="38"/>
  <c r="A635" i="38"/>
  <c r="A636" i="38"/>
  <c r="A637" i="38"/>
  <c r="A638" i="38"/>
  <c r="A639" i="38"/>
  <c r="A640" i="38"/>
  <c r="A641" i="38"/>
  <c r="A642" i="38"/>
  <c r="A643" i="38"/>
  <c r="A644" i="38"/>
  <c r="A645" i="38"/>
  <c r="A646" i="38"/>
  <c r="A647" i="38"/>
  <c r="A648" i="38"/>
  <c r="A649" i="38"/>
  <c r="A650" i="38"/>
  <c r="A651" i="38"/>
  <c r="A652" i="38"/>
  <c r="A653" i="38"/>
  <c r="A654" i="38"/>
  <c r="A655" i="38"/>
  <c r="A656" i="38"/>
  <c r="A657" i="38"/>
  <c r="A658" i="38"/>
  <c r="A659" i="38"/>
  <c r="A660" i="38"/>
  <c r="A661" i="38"/>
  <c r="A662" i="38"/>
  <c r="A663" i="38"/>
  <c r="A664" i="38"/>
  <c r="A665" i="38"/>
  <c r="A666" i="38"/>
  <c r="A667" i="38"/>
  <c r="A668" i="38"/>
  <c r="A669" i="38"/>
  <c r="A670" i="38"/>
  <c r="A671" i="38"/>
  <c r="A672" i="38"/>
  <c r="A673" i="38"/>
  <c r="A674" i="38"/>
  <c r="A675" i="38"/>
  <c r="A676" i="38"/>
  <c r="A677" i="38"/>
  <c r="A678" i="38"/>
  <c r="A679" i="38"/>
  <c r="A680" i="38"/>
  <c r="A681" i="38"/>
  <c r="A682" i="38"/>
  <c r="A683" i="38"/>
  <c r="A684" i="38"/>
  <c r="A685" i="38"/>
  <c r="A686" i="38"/>
  <c r="A687" i="38"/>
  <c r="A688" i="38"/>
  <c r="A689" i="38"/>
  <c r="A690" i="38"/>
  <c r="A691" i="38"/>
  <c r="A692" i="38"/>
  <c r="A693" i="38"/>
  <c r="A694" i="38"/>
  <c r="A695" i="38"/>
  <c r="A696" i="38"/>
  <c r="A697" i="38"/>
  <c r="A698" i="38"/>
  <c r="A699" i="38"/>
  <c r="A700" i="38"/>
  <c r="A701" i="38"/>
  <c r="A702" i="38"/>
  <c r="A703" i="38"/>
  <c r="A704" i="38"/>
  <c r="A705" i="38"/>
  <c r="A706" i="38"/>
  <c r="A707" i="38"/>
  <c r="A708" i="38"/>
  <c r="A709" i="38"/>
  <c r="A710" i="38"/>
  <c r="A711" i="38"/>
  <c r="A712" i="38"/>
  <c r="A713" i="38"/>
  <c r="A714" i="38"/>
  <c r="A715" i="38"/>
  <c r="A716" i="38"/>
  <c r="A717" i="38"/>
  <c r="A718" i="38"/>
  <c r="A719" i="38"/>
  <c r="A720" i="38"/>
  <c r="A721" i="38"/>
  <c r="A722" i="38"/>
  <c r="A723" i="38"/>
  <c r="A724" i="38"/>
  <c r="A725" i="38"/>
  <c r="A726" i="38"/>
  <c r="A727" i="38"/>
  <c r="A728" i="38"/>
  <c r="A729" i="38"/>
  <c r="A730" i="38"/>
  <c r="A731" i="38"/>
  <c r="A732" i="38"/>
  <c r="A733" i="38"/>
  <c r="A734" i="38"/>
  <c r="A735" i="38"/>
  <c r="A736" i="38"/>
  <c r="A737" i="38"/>
  <c r="A738" i="38"/>
  <c r="A739" i="38"/>
  <c r="A740" i="38"/>
  <c r="A741" i="38"/>
  <c r="A742" i="38"/>
  <c r="A743" i="38"/>
  <c r="A744" i="38"/>
  <c r="A745" i="38"/>
  <c r="A746" i="38"/>
  <c r="A747" i="38"/>
  <c r="A748" i="38"/>
  <c r="A749" i="38"/>
  <c r="A750" i="38"/>
  <c r="A751" i="38"/>
  <c r="A752" i="38"/>
  <c r="A753" i="38"/>
  <c r="A754" i="38"/>
  <c r="A755" i="38"/>
  <c r="A756" i="38"/>
  <c r="A757" i="38"/>
  <c r="A758" i="38"/>
  <c r="A759" i="38"/>
  <c r="A760" i="38"/>
  <c r="A761" i="38"/>
  <c r="A762" i="38"/>
  <c r="A763" i="38"/>
  <c r="A764" i="38"/>
  <c r="A765" i="38"/>
  <c r="A766" i="38"/>
  <c r="A767" i="38"/>
  <c r="A768" i="38"/>
  <c r="A769" i="38"/>
  <c r="A770" i="38"/>
  <c r="A771" i="38"/>
  <c r="A772" i="38"/>
  <c r="A773" i="38"/>
  <c r="A774" i="38"/>
  <c r="A775" i="38"/>
  <c r="A776" i="38"/>
  <c r="A777" i="38"/>
  <c r="A778" i="38"/>
  <c r="A779" i="38"/>
  <c r="A780" i="38"/>
  <c r="A781" i="38"/>
  <c r="A782" i="38"/>
  <c r="A783" i="38"/>
  <c r="A784" i="38"/>
  <c r="A785" i="38"/>
  <c r="A786" i="38"/>
  <c r="A787" i="38"/>
  <c r="A788" i="38"/>
  <c r="A789" i="38"/>
  <c r="A790" i="38"/>
  <c r="A791" i="38"/>
  <c r="A792" i="38"/>
  <c r="A793" i="38"/>
  <c r="A794" i="38"/>
  <c r="A795" i="38"/>
  <c r="A796" i="38"/>
  <c r="A797" i="38"/>
  <c r="A798" i="38"/>
  <c r="A799" i="38"/>
  <c r="A800" i="38"/>
  <c r="A801" i="38"/>
  <c r="A802" i="38"/>
  <c r="A803" i="38"/>
  <c r="A804" i="38"/>
  <c r="A805" i="38"/>
  <c r="A806" i="38"/>
  <c r="A807" i="38"/>
  <c r="A808" i="38"/>
  <c r="A809" i="38"/>
  <c r="A810" i="38"/>
  <c r="A811" i="38"/>
  <c r="A812" i="38"/>
  <c r="A813" i="38"/>
  <c r="A814" i="38"/>
  <c r="A815" i="38"/>
  <c r="A816" i="38"/>
  <c r="A817" i="38"/>
  <c r="A818" i="38"/>
  <c r="A819" i="38"/>
  <c r="A820" i="38"/>
  <c r="A821" i="38"/>
  <c r="A822" i="38"/>
  <c r="A823" i="38"/>
  <c r="A824" i="38"/>
  <c r="A825" i="38"/>
  <c r="A826" i="38"/>
  <c r="A827" i="38"/>
  <c r="A828" i="38"/>
  <c r="A829" i="38"/>
  <c r="A830" i="38"/>
  <c r="A831" i="38"/>
  <c r="A832" i="38"/>
  <c r="A833" i="38"/>
  <c r="A834" i="38"/>
  <c r="A835" i="38"/>
  <c r="A836" i="38"/>
  <c r="A837" i="38"/>
  <c r="A838" i="38"/>
  <c r="A839" i="38"/>
  <c r="A840" i="38"/>
  <c r="A841" i="38"/>
  <c r="A842" i="38"/>
  <c r="A843" i="38"/>
  <c r="A844" i="38"/>
  <c r="A845" i="38"/>
  <c r="A846" i="38"/>
  <c r="A847" i="38"/>
  <c r="A848" i="38"/>
  <c r="A849" i="38"/>
  <c r="A850" i="38"/>
  <c r="A851" i="38"/>
  <c r="A852" i="38"/>
  <c r="A853" i="38"/>
  <c r="A854" i="38"/>
  <c r="A855" i="38"/>
  <c r="A856" i="38"/>
  <c r="A857" i="38"/>
  <c r="A858" i="38"/>
  <c r="A859" i="38"/>
  <c r="A860" i="38"/>
  <c r="A861" i="38"/>
  <c r="A862" i="38"/>
  <c r="A863" i="38"/>
  <c r="A864" i="38"/>
  <c r="A865" i="38"/>
  <c r="A866" i="38"/>
  <c r="A867" i="38"/>
  <c r="A868" i="38"/>
  <c r="A869" i="38"/>
  <c r="A870" i="38"/>
  <c r="A871" i="38"/>
  <c r="A872" i="38"/>
  <c r="A873" i="38"/>
  <c r="A874" i="38"/>
  <c r="A875" i="38"/>
  <c r="A876" i="38"/>
  <c r="A877" i="38"/>
  <c r="A878" i="38"/>
  <c r="A879" i="38"/>
  <c r="A880" i="38"/>
  <c r="A881" i="38"/>
  <c r="A882" i="38"/>
  <c r="A883" i="38"/>
  <c r="A884" i="38"/>
  <c r="A885" i="38"/>
  <c r="A886" i="38"/>
  <c r="A887" i="38"/>
  <c r="A888" i="38"/>
  <c r="A889" i="38"/>
  <c r="A890" i="38"/>
  <c r="A891" i="38"/>
  <c r="A892" i="38"/>
  <c r="A893" i="38"/>
  <c r="A894" i="38"/>
  <c r="A895" i="38"/>
  <c r="A896" i="38"/>
  <c r="A897" i="38"/>
  <c r="A898" i="38"/>
  <c r="A899" i="38"/>
  <c r="A900" i="38"/>
  <c r="A901" i="38"/>
  <c r="A902" i="38"/>
  <c r="A903" i="38"/>
  <c r="A904" i="38"/>
  <c r="A905" i="38"/>
  <c r="A906" i="38"/>
  <c r="A907" i="38"/>
  <c r="A908" i="38"/>
  <c r="A909" i="38"/>
  <c r="A910" i="38"/>
  <c r="A911" i="38"/>
  <c r="A912" i="38"/>
  <c r="A913" i="38"/>
  <c r="A914" i="38"/>
  <c r="A915" i="38"/>
  <c r="A916" i="38"/>
  <c r="A917" i="38"/>
  <c r="A918" i="38"/>
  <c r="A919" i="38"/>
  <c r="A920" i="38"/>
  <c r="A921" i="38"/>
  <c r="A922" i="38"/>
  <c r="A923" i="38"/>
  <c r="A924" i="38"/>
  <c r="A925" i="38"/>
  <c r="A926" i="38"/>
  <c r="A927" i="38"/>
  <c r="A928" i="38"/>
  <c r="A929" i="38"/>
  <c r="A930" i="38"/>
  <c r="A931" i="38"/>
  <c r="A932" i="38"/>
  <c r="A933" i="38"/>
  <c r="A934" i="38"/>
  <c r="A935" i="38"/>
  <c r="A936" i="38"/>
  <c r="A937" i="38"/>
  <c r="A938" i="38"/>
  <c r="A939" i="38"/>
  <c r="A940" i="38"/>
  <c r="A941" i="38"/>
  <c r="A942" i="38"/>
  <c r="A943" i="38"/>
  <c r="A944" i="38"/>
  <c r="A945" i="38"/>
  <c r="A946" i="38"/>
  <c r="A947" i="38"/>
  <c r="A948" i="38"/>
  <c r="A949" i="38"/>
  <c r="A950" i="38"/>
  <c r="A951" i="38"/>
  <c r="A952" i="38"/>
  <c r="A953" i="38"/>
  <c r="A954" i="38"/>
  <c r="A955" i="38"/>
  <c r="A956" i="38"/>
  <c r="A957" i="38"/>
  <c r="A958" i="38"/>
  <c r="A959" i="38"/>
  <c r="A960" i="38"/>
  <c r="A961" i="38"/>
  <c r="A962" i="38"/>
  <c r="A963" i="38"/>
  <c r="A964" i="38"/>
  <c r="A965" i="38"/>
  <c r="A966" i="38"/>
  <c r="A967" i="38"/>
  <c r="A968" i="38"/>
  <c r="A969" i="38"/>
  <c r="A970" i="38"/>
  <c r="A971" i="38"/>
  <c r="A972" i="38"/>
  <c r="A973" i="38"/>
  <c r="A974" i="38"/>
  <c r="A975" i="38"/>
  <c r="A976" i="38"/>
  <c r="A977" i="38"/>
  <c r="A978" i="38"/>
  <c r="A979" i="38"/>
  <c r="A980" i="38"/>
  <c r="A981" i="38"/>
  <c r="A982" i="38"/>
  <c r="A983" i="38"/>
  <c r="A984" i="38"/>
  <c r="A985" i="38"/>
  <c r="A986" i="38"/>
  <c r="A987" i="38"/>
  <c r="A988" i="38"/>
  <c r="A989" i="38"/>
  <c r="A990" i="38"/>
  <c r="A991" i="38"/>
  <c r="A992" i="38"/>
  <c r="A993" i="38"/>
  <c r="A994" i="38"/>
  <c r="A995" i="38"/>
  <c r="A996" i="38"/>
  <c r="A997" i="38"/>
  <c r="A998" i="38"/>
  <c r="A999" i="38"/>
  <c r="A1000" i="38"/>
  <c r="A1001" i="38"/>
  <c r="A1002" i="38"/>
  <c r="A1003" i="38"/>
  <c r="A1004" i="38"/>
  <c r="A1005" i="38"/>
  <c r="A1006" i="38"/>
  <c r="A1007" i="38"/>
  <c r="A1008" i="38"/>
  <c r="A1009" i="38"/>
  <c r="A1010" i="38"/>
  <c r="A1011" i="38"/>
  <c r="A1012" i="38"/>
  <c r="A1013" i="38"/>
  <c r="A1014" i="38"/>
  <c r="A1015" i="38"/>
  <c r="A1016" i="38"/>
  <c r="A1017" i="38"/>
  <c r="A1018" i="38"/>
  <c r="A1019" i="38"/>
  <c r="A1020" i="38"/>
  <c r="A1021" i="38"/>
  <c r="A1022" i="38"/>
  <c r="A1023" i="38"/>
  <c r="A1024" i="38"/>
  <c r="A1025" i="38"/>
  <c r="A1026" i="38"/>
  <c r="A1027" i="38"/>
  <c r="A1028" i="38"/>
  <c r="A1029" i="38"/>
  <c r="A1030" i="38"/>
  <c r="A1031" i="38"/>
  <c r="A1032" i="38"/>
  <c r="A1033" i="38"/>
  <c r="A1034" i="38"/>
  <c r="A1035" i="38"/>
  <c r="A1036" i="38"/>
  <c r="A1037" i="38"/>
  <c r="A1038" i="38"/>
  <c r="A1039" i="38"/>
  <c r="A1040" i="38"/>
  <c r="A1041" i="38"/>
  <c r="A1042" i="38"/>
  <c r="A1043" i="38"/>
  <c r="A1044" i="38"/>
  <c r="A1045" i="38"/>
  <c r="A1046" i="38"/>
  <c r="A1047" i="38"/>
  <c r="A1048" i="38"/>
  <c r="A1049" i="38"/>
  <c r="A1050" i="38"/>
  <c r="A1051" i="38"/>
  <c r="A1052" i="38"/>
  <c r="A1053" i="38"/>
  <c r="A1054" i="38"/>
  <c r="A1055" i="38"/>
  <c r="A1056" i="38"/>
  <c r="A1057" i="38"/>
  <c r="A1058" i="38"/>
  <c r="A1059" i="38"/>
  <c r="A1060" i="38"/>
  <c r="A1061" i="38"/>
  <c r="A1062" i="38"/>
  <c r="A1063" i="38"/>
  <c r="A1064" i="38"/>
  <c r="A1065" i="38"/>
  <c r="A1066" i="38"/>
  <c r="A1067" i="38"/>
  <c r="A1068" i="38"/>
  <c r="A1069" i="38"/>
  <c r="A1070" i="38"/>
  <c r="A1071" i="38"/>
  <c r="A1072" i="38"/>
  <c r="A1073" i="38"/>
  <c r="A1074" i="38"/>
  <c r="A1075" i="38"/>
  <c r="A1076" i="38"/>
  <c r="A1077" i="38"/>
  <c r="A1078" i="38"/>
  <c r="A1079" i="38"/>
  <c r="A1080" i="38"/>
  <c r="A1081" i="38"/>
  <c r="A1082" i="38"/>
  <c r="A1083" i="38"/>
  <c r="A1084" i="38"/>
  <c r="A1085" i="38"/>
  <c r="A1086" i="38"/>
  <c r="A1087" i="38"/>
  <c r="A1088" i="38"/>
  <c r="A1089" i="38"/>
  <c r="A1090" i="38"/>
  <c r="A1091" i="38"/>
  <c r="A1092" i="38"/>
  <c r="A1093" i="38"/>
  <c r="A1094" i="38"/>
  <c r="A1095" i="38"/>
  <c r="A1096" i="38"/>
  <c r="A1097" i="38"/>
  <c r="A1098" i="38"/>
  <c r="A1099" i="38"/>
  <c r="A1100" i="38"/>
  <c r="A1101" i="38"/>
  <c r="A1102" i="38"/>
  <c r="A1103" i="38"/>
  <c r="A1104" i="38"/>
  <c r="A1105" i="38"/>
  <c r="A1106" i="38"/>
  <c r="A1107" i="38"/>
  <c r="A1108" i="38"/>
  <c r="A1109" i="38"/>
  <c r="A1110" i="38"/>
  <c r="A1111" i="38"/>
  <c r="A1112" i="38"/>
  <c r="A1113" i="38"/>
  <c r="A1114" i="38"/>
  <c r="A1115" i="38"/>
  <c r="A1116" i="38"/>
  <c r="A1117" i="38"/>
  <c r="A1118" i="38"/>
  <c r="A1119" i="38"/>
  <c r="A1120" i="38"/>
  <c r="A1121" i="38"/>
  <c r="A1122" i="38"/>
  <c r="A1123" i="38"/>
  <c r="A1124" i="38"/>
  <c r="A1125" i="38"/>
  <c r="A1126" i="38"/>
  <c r="A1127" i="38"/>
  <c r="A1128" i="38"/>
  <c r="A1129" i="38"/>
  <c r="A1130" i="38"/>
  <c r="A1131" i="38"/>
  <c r="A1132" i="38"/>
  <c r="A1133" i="38"/>
  <c r="A1134" i="38"/>
  <c r="A1135" i="38"/>
  <c r="A1136" i="38"/>
  <c r="A1137" i="38"/>
  <c r="A1138" i="38"/>
  <c r="A1139" i="38"/>
  <c r="A1140" i="38"/>
  <c r="A1141" i="38"/>
  <c r="A1142" i="38"/>
  <c r="A1143" i="38"/>
  <c r="A1144" i="38"/>
  <c r="A1145" i="38"/>
  <c r="A1146" i="38"/>
  <c r="A1147" i="38"/>
  <c r="A1148" i="38"/>
  <c r="A1149" i="38"/>
  <c r="A1150" i="38"/>
  <c r="A1151" i="38"/>
  <c r="A1152" i="38"/>
  <c r="A1153" i="38"/>
  <c r="A1154" i="38"/>
  <c r="A1155" i="38"/>
  <c r="A1156" i="38"/>
  <c r="A1157" i="38"/>
  <c r="A1158" i="38"/>
  <c r="A1159" i="38"/>
  <c r="A1160" i="38"/>
  <c r="A1161" i="38"/>
  <c r="A1162" i="38"/>
  <c r="A1163" i="38"/>
  <c r="A1164" i="38"/>
  <c r="A1165" i="38"/>
  <c r="A1166" i="38"/>
  <c r="A1167" i="38"/>
  <c r="A1168" i="38"/>
  <c r="A1169" i="38"/>
  <c r="A1170" i="38"/>
  <c r="A1171" i="38"/>
  <c r="A1172" i="38"/>
  <c r="A1173" i="38"/>
  <c r="A1174" i="38"/>
  <c r="A1175" i="38"/>
  <c r="A1176" i="38"/>
  <c r="A1177" i="38"/>
  <c r="A1178" i="38"/>
  <c r="A1179" i="38"/>
  <c r="A1180" i="38"/>
  <c r="A1181" i="38"/>
  <c r="A1182" i="38"/>
  <c r="A1183" i="38"/>
  <c r="A1184" i="38"/>
  <c r="A1185" i="38"/>
  <c r="A1186" i="38"/>
  <c r="A1187" i="38"/>
  <c r="A1188" i="38"/>
  <c r="A1189" i="38"/>
  <c r="A1190" i="38"/>
  <c r="A1191" i="38"/>
  <c r="A1192" i="38"/>
  <c r="A1193" i="38"/>
  <c r="A1194" i="38"/>
  <c r="A1195" i="38"/>
  <c r="A1196" i="38"/>
  <c r="A1197" i="38"/>
  <c r="A1198" i="38"/>
  <c r="A1199" i="38"/>
  <c r="A1200" i="38"/>
  <c r="A1201" i="38"/>
  <c r="A1202" i="38"/>
  <c r="A1203" i="38"/>
  <c r="A1204" i="38"/>
  <c r="A1205" i="38"/>
  <c r="A1206" i="38"/>
  <c r="A1207" i="38"/>
  <c r="A1208" i="38"/>
  <c r="A1209" i="38"/>
  <c r="A1210" i="38"/>
  <c r="A1211" i="38"/>
  <c r="A1212" i="38"/>
  <c r="A1213" i="38"/>
  <c r="A1214" i="38"/>
  <c r="A1215" i="38"/>
  <c r="A1216" i="38"/>
  <c r="A1217" i="38"/>
  <c r="A1218" i="38"/>
  <c r="A1219" i="38"/>
  <c r="A1220" i="38"/>
  <c r="A1221" i="38"/>
  <c r="A1222" i="38"/>
  <c r="A1223" i="38"/>
  <c r="A1224" i="38"/>
  <c r="A1225" i="38"/>
  <c r="A1226" i="38"/>
  <c r="A1227" i="38"/>
  <c r="A1228" i="38"/>
  <c r="A1229" i="38"/>
  <c r="A1230" i="38"/>
  <c r="A1231" i="38"/>
  <c r="A1232" i="38"/>
  <c r="A1233" i="38"/>
  <c r="A1234" i="38"/>
  <c r="A1235" i="38"/>
  <c r="A1236" i="38"/>
  <c r="A1237" i="38"/>
  <c r="A1238" i="38"/>
  <c r="A1239" i="38"/>
  <c r="A1240" i="38"/>
  <c r="A1241" i="38"/>
  <c r="A1242" i="38"/>
  <c r="A1243" i="38"/>
  <c r="A1244" i="38"/>
  <c r="A1245" i="38"/>
  <c r="A1246" i="38"/>
  <c r="A1247" i="38"/>
  <c r="A1248" i="38"/>
  <c r="A1249" i="38"/>
  <c r="A1250" i="38"/>
  <c r="A1251" i="38"/>
  <c r="A1252" i="38"/>
  <c r="A1253" i="38"/>
  <c r="A1254" i="38"/>
  <c r="A1255" i="38"/>
  <c r="A1256" i="38"/>
  <c r="A1257" i="38"/>
  <c r="A1258" i="38"/>
  <c r="A1259" i="38"/>
  <c r="A1260" i="38"/>
  <c r="A1261" i="38"/>
  <c r="A1262" i="38"/>
  <c r="A1263" i="38"/>
  <c r="A1264" i="38"/>
  <c r="A1265" i="38"/>
  <c r="A1266" i="38"/>
  <c r="A1267" i="38"/>
  <c r="A1268" i="38"/>
  <c r="A1269" i="38"/>
  <c r="A1270" i="38"/>
  <c r="A1271" i="38"/>
  <c r="A1272" i="38"/>
  <c r="A1273" i="38"/>
  <c r="A1274" i="38"/>
  <c r="A1275" i="38"/>
  <c r="A1276" i="38"/>
  <c r="A1277" i="38"/>
  <c r="A1278" i="38"/>
  <c r="A1279" i="38"/>
  <c r="A1280" i="38"/>
  <c r="A1281" i="38"/>
  <c r="A1282" i="38"/>
  <c r="A1283" i="38"/>
  <c r="A1284" i="38"/>
  <c r="A1285" i="38"/>
  <c r="A1286" i="38"/>
  <c r="A1287" i="38"/>
  <c r="A1288" i="38"/>
  <c r="A1289" i="38"/>
  <c r="A1290" i="38"/>
  <c r="A1291" i="38"/>
  <c r="A1292" i="38"/>
  <c r="A1293" i="38"/>
  <c r="A1294" i="38"/>
  <c r="A1295" i="38"/>
  <c r="A1296" i="38"/>
  <c r="A1297" i="38"/>
  <c r="A1298" i="38"/>
  <c r="A1299" i="38"/>
  <c r="A1300" i="38"/>
  <c r="A1301" i="38"/>
  <c r="A1302" i="38"/>
  <c r="A1303" i="38"/>
  <c r="A1304" i="38"/>
  <c r="A1305" i="38"/>
  <c r="A1306" i="38"/>
  <c r="A1307" i="38"/>
  <c r="A1308" i="38"/>
  <c r="A1309" i="38"/>
  <c r="A1310" i="38"/>
  <c r="A1311" i="38"/>
  <c r="A1312" i="38"/>
  <c r="A1313" i="38"/>
  <c r="A1314" i="38"/>
  <c r="A1315" i="38"/>
  <c r="A1316" i="38"/>
  <c r="A1317" i="38"/>
  <c r="A1318" i="38"/>
  <c r="A1319" i="38"/>
  <c r="A1320" i="38"/>
  <c r="A1321" i="38"/>
  <c r="A1322" i="38"/>
  <c r="A1323" i="38"/>
  <c r="A1324" i="38"/>
  <c r="A1325" i="38"/>
  <c r="A1326" i="38"/>
  <c r="A1327" i="38"/>
  <c r="A1328" i="38"/>
  <c r="A1329" i="38"/>
  <c r="A1330" i="38"/>
  <c r="A1331" i="38"/>
  <c r="A1332" i="38"/>
  <c r="A1333" i="38"/>
  <c r="A1334" i="38"/>
  <c r="A1335" i="38"/>
  <c r="A1336" i="38"/>
  <c r="A1337" i="38"/>
  <c r="A1338" i="38"/>
  <c r="A1339" i="38"/>
  <c r="A1340" i="38"/>
  <c r="A1341" i="38"/>
  <c r="A1342" i="38"/>
  <c r="A1343" i="38"/>
  <c r="A1344" i="38"/>
  <c r="A1345" i="38"/>
  <c r="A1346" i="38"/>
  <c r="A1347" i="38"/>
  <c r="A1348" i="38"/>
  <c r="A1349" i="38"/>
  <c r="A1350" i="38"/>
  <c r="A1351" i="38"/>
  <c r="A1352" i="38"/>
  <c r="A1353" i="38"/>
  <c r="A1354" i="38"/>
  <c r="A1355" i="38"/>
  <c r="A1356" i="38"/>
  <c r="A1357" i="38"/>
  <c r="A1358" i="38"/>
  <c r="A1359" i="38"/>
  <c r="A1360" i="38"/>
  <c r="A1361" i="38"/>
  <c r="A1362" i="38"/>
  <c r="A1363" i="38"/>
  <c r="A1364" i="38"/>
  <c r="A1365" i="38"/>
  <c r="A1366" i="38"/>
  <c r="A1367" i="38"/>
  <c r="A1368" i="38"/>
  <c r="A1369" i="38"/>
  <c r="A1370" i="38"/>
  <c r="A1371" i="38"/>
  <c r="A1372" i="38"/>
  <c r="A1373" i="38"/>
  <c r="A1374" i="38"/>
  <c r="A1375" i="38"/>
  <c r="A1376" i="38"/>
  <c r="A1377" i="38"/>
  <c r="A1378" i="38"/>
  <c r="A1379" i="38"/>
  <c r="A1380" i="38"/>
  <c r="A1381" i="38"/>
  <c r="A1382" i="38"/>
  <c r="A1383" i="38"/>
  <c r="A1384" i="38"/>
  <c r="A1385" i="38"/>
  <c r="A1386" i="38"/>
  <c r="A1387" i="38"/>
  <c r="A1388" i="38"/>
  <c r="A1389" i="38"/>
  <c r="A1390" i="38"/>
  <c r="A1391" i="38"/>
  <c r="A1392" i="38"/>
  <c r="A1393" i="38"/>
  <c r="A1394" i="38"/>
  <c r="A1395" i="38"/>
  <c r="A1396" i="38"/>
  <c r="A1397" i="38"/>
  <c r="A1398" i="38"/>
  <c r="A1399" i="38"/>
  <c r="A1400" i="38"/>
  <c r="A1401" i="38"/>
  <c r="A1402" i="38"/>
  <c r="A1403" i="38"/>
  <c r="A1404" i="38"/>
  <c r="A1405" i="38"/>
  <c r="A1406" i="38"/>
  <c r="A1407" i="38"/>
  <c r="A1408" i="38"/>
  <c r="A1409" i="38"/>
  <c r="A1410" i="38"/>
  <c r="A1411" i="38"/>
  <c r="A1412" i="38"/>
  <c r="A1413" i="38"/>
  <c r="A1414" i="38"/>
  <c r="A1415" i="38"/>
  <c r="A1416" i="38"/>
  <c r="A1417" i="38"/>
  <c r="A1418" i="38"/>
  <c r="A1419" i="38"/>
  <c r="A1420" i="38"/>
  <c r="A1421" i="38"/>
  <c r="A1422" i="38"/>
  <c r="A1423" i="38"/>
  <c r="A1424" i="38"/>
  <c r="A1425" i="38"/>
  <c r="A1426" i="38"/>
  <c r="A1427" i="38"/>
  <c r="A1428" i="38"/>
  <c r="A1429" i="38"/>
  <c r="A1430" i="38"/>
  <c r="A1431" i="38"/>
  <c r="A1432" i="38"/>
  <c r="A1433" i="38"/>
  <c r="A1434" i="38"/>
  <c r="A1435" i="38"/>
  <c r="A1436" i="38"/>
  <c r="A1437" i="38"/>
  <c r="A1438" i="38"/>
  <c r="A1439" i="38"/>
  <c r="A1440" i="38"/>
  <c r="A1441" i="38"/>
  <c r="A1442" i="38"/>
  <c r="A1443" i="38"/>
  <c r="A1444" i="38"/>
  <c r="A1445" i="38"/>
  <c r="A1446" i="38"/>
  <c r="A1447" i="38"/>
  <c r="A1448" i="38"/>
  <c r="A1449" i="38"/>
  <c r="A1450" i="38"/>
  <c r="A1451" i="38"/>
  <c r="A1452" i="38"/>
  <c r="A1453" i="38"/>
  <c r="A1454" i="38"/>
  <c r="A1455" i="38"/>
  <c r="A1456" i="38"/>
  <c r="A1457" i="38"/>
  <c r="A1458" i="38"/>
  <c r="A1459" i="38"/>
  <c r="A1460" i="38"/>
  <c r="A1461" i="38"/>
  <c r="A1462" i="38"/>
  <c r="A1463" i="38"/>
  <c r="A1464" i="38"/>
  <c r="A1465" i="38"/>
  <c r="A1466" i="38"/>
  <c r="A1467" i="38"/>
  <c r="A1468" i="38"/>
  <c r="A1469" i="38"/>
  <c r="A1470" i="38"/>
  <c r="A1471" i="38"/>
  <c r="A1472" i="38"/>
  <c r="A1473" i="38"/>
  <c r="A1474" i="38"/>
  <c r="A1475" i="38"/>
  <c r="A1476" i="38"/>
  <c r="A1477" i="38"/>
  <c r="A1478" i="38"/>
  <c r="A1479" i="38"/>
  <c r="A1480" i="38"/>
  <c r="A1481" i="38"/>
  <c r="A1482" i="38"/>
  <c r="A1483" i="38"/>
  <c r="A1484" i="38"/>
  <c r="A1485" i="38"/>
  <c r="A1486" i="38"/>
  <c r="A1487" i="38"/>
  <c r="A1488" i="38"/>
  <c r="A1489" i="38"/>
  <c r="A1490" i="38"/>
  <c r="A1491" i="38"/>
  <c r="A1492" i="38"/>
  <c r="A1493" i="38"/>
  <c r="A1494" i="38"/>
  <c r="A1495" i="38"/>
  <c r="A1496" i="38"/>
  <c r="A1497" i="38"/>
  <c r="A1498" i="38"/>
  <c r="A1499" i="38"/>
  <c r="A1500" i="38"/>
  <c r="A1501" i="38"/>
  <c r="A1502" i="38"/>
  <c r="A1503" i="38"/>
  <c r="A1504" i="38"/>
  <c r="A1505" i="38"/>
  <c r="A1506" i="38"/>
  <c r="A1507" i="38"/>
  <c r="A1508" i="38"/>
  <c r="A1509" i="38"/>
  <c r="A1510" i="38"/>
  <c r="A1511" i="38"/>
  <c r="A1512" i="38"/>
  <c r="A2" i="38"/>
  <c r="A795" i="36"/>
  <c r="A10" i="36"/>
  <c r="A13" i="36"/>
  <c r="A14" i="36"/>
  <c r="A15" i="36"/>
  <c r="A16" i="36"/>
  <c r="A17" i="36"/>
  <c r="A18" i="36"/>
  <c r="A19" i="36"/>
  <c r="A20" i="36"/>
  <c r="A21" i="36"/>
  <c r="A22" i="36"/>
  <c r="A25" i="36"/>
  <c r="A26" i="36"/>
  <c r="A27" i="36"/>
  <c r="A28" i="36"/>
  <c r="A30" i="36"/>
  <c r="A31" i="36"/>
  <c r="A32" i="36"/>
  <c r="A33" i="36"/>
  <c r="A34" i="36"/>
  <c r="A35" i="36"/>
  <c r="A36" i="36"/>
  <c r="A37" i="36"/>
  <c r="A38" i="36"/>
  <c r="A39" i="36"/>
  <c r="A40" i="36"/>
  <c r="A41" i="36"/>
  <c r="A42" i="36"/>
  <c r="A43" i="36"/>
  <c r="A44" i="36"/>
  <c r="A45" i="36"/>
  <c r="A46" i="36"/>
  <c r="A47" i="36"/>
  <c r="A48" i="36"/>
  <c r="A49" i="36"/>
  <c r="A50" i="36"/>
  <c r="A51" i="36"/>
  <c r="A52" i="36"/>
  <c r="A53" i="36"/>
  <c r="A54" i="36"/>
  <c r="A55" i="36"/>
  <c r="A56" i="36"/>
  <c r="A57" i="36"/>
  <c r="A58" i="36"/>
  <c r="A59" i="36"/>
  <c r="A60" i="36"/>
  <c r="A61" i="36"/>
  <c r="A62" i="36"/>
  <c r="A63" i="36"/>
  <c r="A64" i="36"/>
  <c r="A65" i="36"/>
  <c r="A66" i="36"/>
  <c r="A67" i="36"/>
  <c r="A68" i="36"/>
  <c r="A69" i="36"/>
  <c r="A70" i="36"/>
  <c r="A71" i="36"/>
  <c r="A72" i="36"/>
  <c r="A73" i="36"/>
  <c r="A74" i="36"/>
  <c r="A75" i="36"/>
  <c r="A77" i="36"/>
  <c r="A78" i="36"/>
  <c r="A79" i="36"/>
  <c r="A80" i="36"/>
  <c r="A81" i="36"/>
  <c r="A82" i="36"/>
  <c r="A83" i="36"/>
  <c r="A84" i="36"/>
  <c r="A85" i="36"/>
  <c r="A86" i="36"/>
  <c r="A88" i="36"/>
  <c r="A100" i="36"/>
  <c r="A101" i="36"/>
  <c r="A102" i="36"/>
  <c r="A103" i="36"/>
  <c r="A104" i="36"/>
  <c r="A105" i="36"/>
  <c r="A106" i="36"/>
  <c r="A107" i="36"/>
  <c r="A108" i="36"/>
  <c r="A109" i="36"/>
  <c r="A110" i="36"/>
  <c r="A111" i="36"/>
  <c r="A112" i="36"/>
  <c r="A114" i="36"/>
  <c r="A115" i="36"/>
  <c r="A116" i="36"/>
  <c r="A122" i="36"/>
  <c r="A123" i="36"/>
  <c r="A124" i="36"/>
  <c r="A125" i="36"/>
  <c r="A126" i="36"/>
  <c r="A127" i="36"/>
  <c r="A128" i="36"/>
  <c r="A129" i="36"/>
  <c r="A130" i="36"/>
  <c r="A137" i="36"/>
  <c r="A138" i="36"/>
  <c r="A139" i="36"/>
  <c r="A140" i="36"/>
  <c r="A141" i="36"/>
  <c r="A142" i="36"/>
  <c r="A143" i="36"/>
  <c r="A144" i="36"/>
  <c r="A145" i="36"/>
  <c r="A146" i="36"/>
  <c r="A147" i="36"/>
  <c r="A148" i="36"/>
  <c r="A149" i="36"/>
  <c r="A150" i="36"/>
  <c r="A151" i="36"/>
  <c r="A152" i="36"/>
  <c r="A153" i="36"/>
  <c r="A154" i="36"/>
  <c r="A155" i="36"/>
  <c r="A156" i="36"/>
  <c r="A157" i="36"/>
  <c r="A158" i="36"/>
  <c r="A159" i="36"/>
  <c r="A160" i="36"/>
  <c r="A161" i="36"/>
  <c r="A162" i="36"/>
  <c r="A163" i="36"/>
  <c r="A164" i="36"/>
  <c r="A165" i="36"/>
  <c r="A166" i="36"/>
  <c r="A167" i="36"/>
  <c r="A168" i="36"/>
  <c r="A169" i="36"/>
  <c r="A170" i="36"/>
  <c r="A171" i="36"/>
  <c r="A172" i="36"/>
  <c r="A173" i="36"/>
  <c r="A174" i="36"/>
  <c r="A175" i="36"/>
  <c r="A176" i="36"/>
  <c r="A177" i="36"/>
  <c r="A178" i="36"/>
  <c r="A179" i="36"/>
  <c r="A180" i="36"/>
  <c r="A181" i="36"/>
  <c r="A182" i="36"/>
  <c r="A189" i="36"/>
  <c r="A190" i="36"/>
  <c r="A191" i="36"/>
  <c r="A192" i="36"/>
  <c r="A193" i="36"/>
  <c r="A194" i="36"/>
  <c r="A195" i="36"/>
  <c r="A196" i="36"/>
  <c r="A197" i="36"/>
  <c r="A198" i="36"/>
  <c r="A199" i="36"/>
  <c r="A200" i="36"/>
  <c r="A201" i="36"/>
  <c r="A202" i="36"/>
  <c r="A205" i="36"/>
  <c r="A206" i="36"/>
  <c r="A207" i="36"/>
  <c r="A210" i="36"/>
  <c r="A211" i="36"/>
  <c r="A212" i="36"/>
  <c r="A213" i="36"/>
  <c r="A214" i="36"/>
  <c r="A215" i="36"/>
  <c r="A216" i="36"/>
  <c r="A218" i="36"/>
  <c r="A219" i="36"/>
  <c r="A220" i="36"/>
  <c r="A221" i="36"/>
  <c r="A222" i="36"/>
  <c r="A224" i="36"/>
  <c r="A225" i="36"/>
  <c r="A226" i="36"/>
  <c r="A227" i="36"/>
  <c r="A229" i="36"/>
  <c r="A230" i="36"/>
  <c r="A231" i="36"/>
  <c r="A232" i="36"/>
  <c r="A233" i="36"/>
  <c r="A240" i="36"/>
  <c r="A241" i="36"/>
  <c r="A242" i="36"/>
  <c r="A243" i="36"/>
  <c r="A244" i="36"/>
  <c r="A245" i="36"/>
  <c r="A246" i="36"/>
  <c r="A247" i="36"/>
  <c r="A248" i="36"/>
  <c r="A249" i="36"/>
  <c r="A250" i="36"/>
  <c r="A251" i="36"/>
  <c r="A252" i="36"/>
  <c r="A253" i="36"/>
  <c r="A254" i="36"/>
  <c r="A255" i="36"/>
  <c r="A256" i="36"/>
  <c r="A257" i="36"/>
  <c r="A258" i="36"/>
  <c r="A259" i="36"/>
  <c r="A260" i="36"/>
  <c r="A261" i="36"/>
  <c r="A262" i="36"/>
  <c r="A263" i="36"/>
  <c r="A264" i="36"/>
  <c r="A265" i="36"/>
  <c r="A266" i="36"/>
  <c r="A267" i="36"/>
  <c r="A268" i="36"/>
  <c r="A269" i="36"/>
  <c r="A270" i="36"/>
  <c r="A271" i="36"/>
  <c r="A272" i="36"/>
  <c r="A273" i="36"/>
  <c r="A274" i="36"/>
  <c r="A275" i="36"/>
  <c r="A276" i="36"/>
  <c r="A277" i="36"/>
  <c r="A278" i="36"/>
  <c r="A279" i="36"/>
  <c r="A280" i="36"/>
  <c r="A281" i="36"/>
  <c r="A282" i="36"/>
  <c r="A283" i="36"/>
  <c r="A284" i="36"/>
  <c r="A285" i="36"/>
  <c r="A286" i="36"/>
  <c r="A287" i="36"/>
  <c r="A288" i="36"/>
  <c r="A289" i="36"/>
  <c r="A290" i="36"/>
  <c r="A291" i="36"/>
  <c r="A292" i="36"/>
  <c r="A293" i="36"/>
  <c r="A294" i="36"/>
  <c r="A295" i="36"/>
  <c r="A296" i="36"/>
  <c r="A297" i="36"/>
  <c r="A298" i="36"/>
  <c r="A299" i="36"/>
  <c r="A300" i="36"/>
  <c r="A301" i="36"/>
  <c r="A302" i="36"/>
  <c r="A303" i="36"/>
  <c r="A304" i="36"/>
  <c r="A305" i="36"/>
  <c r="A306" i="36"/>
  <c r="A307" i="36"/>
  <c r="A308" i="36"/>
  <c r="A309" i="36"/>
  <c r="A310" i="36"/>
  <c r="A311" i="36"/>
  <c r="A312" i="36"/>
  <c r="A313" i="36"/>
  <c r="A314" i="36"/>
  <c r="A315" i="36"/>
  <c r="A316" i="36"/>
  <c r="A317" i="36"/>
  <c r="A318" i="36"/>
  <c r="A319" i="36"/>
  <c r="A320" i="36"/>
  <c r="A321" i="36"/>
  <c r="A322" i="36"/>
  <c r="A323" i="36"/>
  <c r="A324" i="36"/>
  <c r="A325" i="36"/>
  <c r="A326" i="36"/>
  <c r="A327" i="36"/>
  <c r="A328" i="36"/>
  <c r="A329" i="36"/>
  <c r="A330" i="36"/>
  <c r="A331" i="36"/>
  <c r="A332" i="36"/>
  <c r="A333" i="36"/>
  <c r="A334" i="36"/>
  <c r="A335" i="36"/>
  <c r="A336" i="36"/>
  <c r="A337" i="36"/>
  <c r="A338" i="36"/>
  <c r="A339" i="36"/>
  <c r="A340" i="36"/>
  <c r="A341" i="36"/>
  <c r="A342" i="36"/>
  <c r="A343" i="36"/>
  <c r="A344" i="36"/>
  <c r="A345" i="36"/>
  <c r="A346" i="36"/>
  <c r="A347" i="36"/>
  <c r="A348" i="36"/>
  <c r="A349" i="36"/>
  <c r="A351" i="36"/>
  <c r="A352" i="36"/>
  <c r="A353" i="36"/>
  <c r="A354" i="36"/>
  <c r="A355" i="36"/>
  <c r="A356" i="36"/>
  <c r="A357" i="36"/>
  <c r="A358" i="36"/>
  <c r="A359" i="36"/>
  <c r="A360" i="36"/>
  <c r="A361" i="36"/>
  <c r="A362" i="36"/>
  <c r="A363" i="36"/>
  <c r="A364" i="36"/>
  <c r="A365" i="36"/>
  <c r="A366" i="36"/>
  <c r="A367" i="36"/>
  <c r="A368" i="36"/>
  <c r="A369" i="36"/>
  <c r="A370" i="36"/>
  <c r="A371" i="36"/>
  <c r="A372" i="36"/>
  <c r="A373" i="36"/>
  <c r="A374" i="36"/>
  <c r="A375" i="36"/>
  <c r="A376" i="36"/>
  <c r="A377" i="36"/>
  <c r="A378" i="36"/>
  <c r="A379" i="36"/>
  <c r="A380" i="36"/>
  <c r="A381" i="36"/>
  <c r="A382" i="36"/>
  <c r="A383" i="36"/>
  <c r="A384" i="36"/>
  <c r="A385" i="36"/>
  <c r="A386" i="36"/>
  <c r="A387" i="36"/>
  <c r="A389" i="36"/>
  <c r="A390" i="36"/>
  <c r="A391" i="36"/>
  <c r="A392" i="36"/>
  <c r="A393" i="36"/>
  <c r="A394" i="36"/>
  <c r="A395" i="36"/>
  <c r="A396" i="36"/>
  <c r="A397" i="36"/>
  <c r="A398" i="36"/>
  <c r="A401" i="36"/>
  <c r="A402" i="36"/>
  <c r="A403" i="36"/>
  <c r="A404" i="36"/>
  <c r="A405" i="36"/>
  <c r="A406" i="36"/>
  <c r="A407" i="36"/>
  <c r="A408" i="36"/>
  <c r="A409" i="36"/>
  <c r="A410" i="36"/>
  <c r="A411" i="36"/>
  <c r="A412" i="36"/>
  <c r="A413" i="36"/>
  <c r="A417" i="36"/>
  <c r="A418" i="36"/>
  <c r="A419" i="36"/>
  <c r="A421" i="36"/>
  <c r="A422" i="36"/>
  <c r="A423" i="36"/>
  <c r="A428" i="36"/>
  <c r="A429" i="36"/>
  <c r="A430" i="36"/>
  <c r="A431" i="36"/>
  <c r="A432" i="36"/>
  <c r="A433" i="36"/>
  <c r="A456" i="36"/>
  <c r="A457" i="36"/>
  <c r="A458" i="36"/>
  <c r="A459" i="36"/>
  <c r="A460" i="36"/>
  <c r="A461" i="36"/>
  <c r="A462" i="36"/>
  <c r="A463" i="36"/>
  <c r="A464" i="36"/>
  <c r="A465" i="36"/>
  <c r="A466" i="36"/>
  <c r="A467" i="36"/>
  <c r="A468" i="36"/>
  <c r="A469" i="36"/>
  <c r="A470" i="36"/>
  <c r="A471" i="36"/>
  <c r="A472" i="36"/>
  <c r="A473" i="36"/>
  <c r="A474" i="36"/>
  <c r="A475" i="36"/>
  <c r="A476" i="36"/>
  <c r="A477" i="36"/>
  <c r="A478" i="36"/>
  <c r="A479" i="36"/>
  <c r="A480" i="36"/>
  <c r="A481" i="36"/>
  <c r="A483" i="36"/>
  <c r="A484" i="36"/>
  <c r="A485" i="36"/>
  <c r="A486" i="36"/>
  <c r="A488" i="36"/>
  <c r="A489" i="36"/>
  <c r="A490" i="36"/>
  <c r="A491" i="36"/>
  <c r="A492" i="36"/>
  <c r="A496" i="36"/>
  <c r="A497" i="36"/>
  <c r="A498" i="36"/>
  <c r="A499" i="36"/>
  <c r="A503" i="36"/>
  <c r="A504" i="36"/>
  <c r="A505" i="36"/>
  <c r="A506" i="36"/>
  <c r="A510" i="36"/>
  <c r="A511" i="36"/>
  <c r="A512" i="36"/>
  <c r="A513" i="36"/>
  <c r="A514" i="36"/>
  <c r="A515" i="36"/>
  <c r="A516" i="36"/>
  <c r="A517" i="36"/>
  <c r="A527" i="36"/>
  <c r="A528" i="36"/>
  <c r="A532" i="36"/>
  <c r="A533" i="36"/>
  <c r="A534" i="36"/>
  <c r="A535" i="36"/>
  <c r="A536" i="36"/>
  <c r="A537" i="36"/>
  <c r="A538" i="36"/>
  <c r="A539" i="36"/>
  <c r="A540" i="36"/>
  <c r="A541" i="36"/>
  <c r="A542" i="36"/>
  <c r="A543" i="36"/>
  <c r="A544" i="36"/>
  <c r="A545" i="36"/>
  <c r="A546" i="36"/>
  <c r="A547" i="36"/>
  <c r="A548" i="36"/>
  <c r="A549" i="36"/>
  <c r="A550" i="36"/>
  <c r="A551" i="36"/>
  <c r="A552" i="36"/>
  <c r="A554" i="36"/>
  <c r="A555" i="36"/>
  <c r="A556" i="36"/>
  <c r="A557" i="36"/>
  <c r="A558" i="36"/>
  <c r="A559" i="36"/>
  <c r="A560" i="36"/>
  <c r="A561" i="36"/>
  <c r="A562" i="36"/>
  <c r="A563" i="36"/>
  <c r="A564" i="36"/>
  <c r="A567" i="36"/>
  <c r="A568" i="36"/>
  <c r="A570" i="36"/>
  <c r="A571" i="36"/>
  <c r="A572" i="36"/>
  <c r="A573" i="36"/>
  <c r="A574" i="36"/>
  <c r="A575" i="36"/>
  <c r="A576" i="36"/>
  <c r="A577" i="36"/>
  <c r="A579" i="36"/>
  <c r="A581" i="36"/>
  <c r="A582" i="36"/>
  <c r="A583" i="36"/>
  <c r="A584" i="36"/>
  <c r="A585" i="36"/>
  <c r="A586" i="36"/>
  <c r="A593" i="36"/>
  <c r="A594" i="36"/>
  <c r="A595" i="36"/>
  <c r="A596" i="36"/>
  <c r="A597" i="36"/>
  <c r="A598" i="36"/>
  <c r="A599" i="36"/>
  <c r="A600" i="36"/>
  <c r="A601" i="36"/>
  <c r="A602" i="36"/>
  <c r="A603" i="36"/>
  <c r="A604" i="36"/>
  <c r="A605" i="36"/>
  <c r="A606" i="36"/>
  <c r="A607" i="36"/>
  <c r="A608" i="36"/>
  <c r="A609" i="36"/>
  <c r="A610" i="36"/>
  <c r="A611" i="36"/>
  <c r="A612" i="36"/>
  <c r="A613" i="36"/>
  <c r="A614" i="36"/>
  <c r="A615" i="36"/>
  <c r="A616" i="36"/>
  <c r="A617" i="36"/>
  <c r="A618" i="36"/>
  <c r="A619" i="36"/>
  <c r="A620" i="36"/>
  <c r="A621" i="36"/>
  <c r="A622" i="36"/>
  <c r="A623" i="36"/>
  <c r="A624" i="36"/>
  <c r="A625" i="36"/>
  <c r="A626" i="36"/>
  <c r="A627" i="36"/>
  <c r="A629" i="36"/>
  <c r="A630" i="36"/>
  <c r="A631" i="36"/>
  <c r="A632" i="36"/>
  <c r="A633" i="36"/>
  <c r="A634" i="36"/>
  <c r="A635" i="36"/>
  <c r="A636" i="36"/>
  <c r="A637" i="36"/>
  <c r="A638" i="36"/>
  <c r="A639" i="36"/>
  <c r="A640" i="36"/>
  <c r="A641" i="36"/>
  <c r="A642" i="36"/>
  <c r="A643" i="36"/>
  <c r="A644" i="36"/>
  <c r="A645" i="36"/>
  <c r="A646" i="36"/>
  <c r="A647" i="36"/>
  <c r="A648" i="36"/>
  <c r="A649" i="36"/>
  <c r="A650" i="36"/>
  <c r="A651" i="36"/>
  <c r="A652" i="36"/>
  <c r="A653" i="36"/>
  <c r="A654" i="36"/>
  <c r="A656" i="36"/>
  <c r="A657" i="36"/>
  <c r="A658" i="36"/>
  <c r="A659" i="36"/>
  <c r="A660" i="36"/>
  <c r="A661" i="36"/>
  <c r="A662" i="36"/>
  <c r="A663" i="36"/>
  <c r="A664" i="36"/>
  <c r="A665" i="36"/>
  <c r="A666" i="36"/>
  <c r="A667" i="36"/>
  <c r="A721" i="36"/>
  <c r="A722" i="36"/>
  <c r="A723" i="36"/>
  <c r="A724" i="36"/>
  <c r="A725" i="36"/>
  <c r="A726" i="36"/>
  <c r="A727" i="36"/>
  <c r="A728" i="36"/>
  <c r="A729" i="36"/>
  <c r="A730" i="36"/>
  <c r="A731" i="36"/>
  <c r="A732" i="36"/>
  <c r="A733" i="36"/>
  <c r="A734" i="36"/>
  <c r="A735" i="36"/>
  <c r="A736" i="36"/>
  <c r="A737" i="36"/>
  <c r="A738" i="36"/>
  <c r="A739" i="36"/>
  <c r="A740" i="36"/>
  <c r="A741" i="36"/>
  <c r="A742" i="36"/>
  <c r="A743" i="36"/>
  <c r="A744" i="36"/>
  <c r="A745" i="36"/>
  <c r="A746" i="36"/>
  <c r="A747" i="36"/>
  <c r="A748" i="36"/>
  <c r="A749" i="36"/>
  <c r="A750" i="36"/>
  <c r="A751" i="36"/>
  <c r="A752" i="36"/>
  <c r="A753" i="36"/>
  <c r="A754" i="36"/>
  <c r="A755" i="36"/>
  <c r="A756" i="36"/>
  <c r="A757" i="36"/>
  <c r="A758" i="36"/>
  <c r="A759" i="36"/>
  <c r="A760" i="36"/>
  <c r="A761" i="36"/>
  <c r="A762" i="36"/>
  <c r="A763" i="36"/>
  <c r="A764" i="36"/>
  <c r="A765" i="36"/>
  <c r="A766" i="36"/>
  <c r="A767" i="36"/>
  <c r="A768" i="36"/>
  <c r="A769" i="36"/>
  <c r="A770" i="36"/>
  <c r="A771" i="36"/>
  <c r="A772" i="36"/>
  <c r="A773" i="36"/>
  <c r="A774" i="36"/>
  <c r="A775" i="36"/>
  <c r="A776" i="36"/>
  <c r="A777" i="36"/>
  <c r="A778" i="36"/>
  <c r="A779" i="36"/>
  <c r="A780" i="36"/>
  <c r="A781" i="36"/>
  <c r="A782" i="36"/>
  <c r="A783" i="36"/>
  <c r="A784" i="36"/>
  <c r="A785" i="36"/>
  <c r="A860" i="36"/>
  <c r="A861" i="36"/>
  <c r="A588" i="36"/>
  <c r="A553" i="36"/>
  <c r="A565" i="36"/>
  <c r="A578" i="36"/>
  <c r="A580" i="36"/>
  <c r="A589" i="36"/>
  <c r="A628" i="36"/>
  <c r="A493" i="36"/>
  <c r="A500" i="36"/>
  <c r="A507" i="36"/>
  <c r="A518" i="36"/>
  <c r="A529" i="36"/>
  <c r="A835" i="36"/>
  <c r="A836" i="36"/>
  <c r="A87" i="36"/>
  <c r="A76" i="36"/>
  <c r="A521" i="36"/>
  <c r="A522" i="36"/>
  <c r="A11" i="36"/>
  <c r="A800" i="36"/>
  <c r="A801" i="36"/>
  <c r="A802" i="36"/>
  <c r="A701" i="36"/>
  <c r="A702" i="36"/>
  <c r="A703" i="36"/>
  <c r="A704" i="36"/>
  <c r="A705" i="36"/>
  <c r="A706" i="36"/>
  <c r="A707" i="36"/>
  <c r="A708" i="36"/>
  <c r="A709" i="36"/>
  <c r="A710" i="36"/>
  <c r="A711" i="36"/>
  <c r="A712" i="36"/>
  <c r="A713" i="36"/>
  <c r="A714" i="36"/>
  <c r="A715" i="36"/>
  <c r="A716" i="36"/>
  <c r="A113" i="36"/>
  <c r="A117" i="36"/>
  <c r="A717" i="36"/>
  <c r="A718" i="36"/>
  <c r="A719" i="36"/>
  <c r="A720" i="36"/>
  <c r="A818" i="36"/>
  <c r="A819" i="36"/>
  <c r="A820" i="36"/>
  <c r="A821" i="36"/>
  <c r="A350" i="36"/>
  <c r="A388" i="36"/>
  <c r="A530" i="36"/>
  <c r="A519" i="36"/>
  <c r="A508" i="36"/>
  <c r="A501" i="36"/>
  <c r="A494" i="36"/>
  <c r="A434" i="36"/>
  <c r="A435" i="36"/>
  <c r="A436" i="36"/>
  <c r="A437" i="36"/>
  <c r="A438" i="36"/>
  <c r="A439" i="36"/>
  <c r="A440" i="36"/>
  <c r="A441" i="36"/>
  <c r="A442" i="36"/>
  <c r="A443" i="36"/>
  <c r="A444" i="36"/>
  <c r="A234" i="36"/>
  <c r="A235" i="36"/>
  <c r="A236" i="36"/>
  <c r="A237" i="36"/>
  <c r="A238" i="36"/>
  <c r="A239" i="36"/>
  <c r="A131" i="36"/>
  <c r="A676" i="36"/>
  <c r="A677" i="36"/>
  <c r="A678" i="36"/>
  <c r="A679" i="36"/>
  <c r="A680" i="36"/>
  <c r="A681" i="36"/>
  <c r="A482" i="36"/>
  <c r="A487" i="36"/>
  <c r="A495" i="36"/>
  <c r="A502" i="36"/>
  <c r="A509" i="36"/>
  <c r="A520" i="36"/>
  <c r="A531" i="36"/>
  <c r="A3" i="36"/>
  <c r="A805" i="36"/>
  <c r="A203" i="36"/>
  <c r="A208" i="36"/>
  <c r="A132" i="36"/>
  <c r="A135" i="36"/>
  <c r="A204" i="36"/>
  <c r="A209" i="36"/>
  <c r="A399" i="36"/>
  <c r="A414" i="36"/>
  <c r="A420" i="36"/>
  <c r="A217" i="36"/>
  <c r="A223" i="36"/>
  <c r="A228" i="36"/>
  <c r="A133" i="36"/>
  <c r="A136" i="36"/>
  <c r="A134" i="36"/>
  <c r="A796" i="36"/>
  <c r="A797" i="36"/>
  <c r="A798" i="36"/>
  <c r="A799" i="36"/>
  <c r="A118" i="36"/>
  <c r="A120" i="36"/>
  <c r="A822" i="36"/>
  <c r="A823" i="36"/>
  <c r="A824" i="36"/>
  <c r="A825" i="36"/>
  <c r="A826" i="36"/>
  <c r="A827" i="36"/>
  <c r="A828" i="36"/>
  <c r="A829" i="36"/>
  <c r="A830" i="36"/>
  <c r="A831" i="36"/>
  <c r="A832" i="36"/>
  <c r="A833" i="36"/>
  <c r="A834" i="36"/>
  <c r="A837" i="36"/>
  <c r="A591" i="36"/>
  <c r="A592" i="36"/>
  <c r="A89" i="36"/>
  <c r="A90" i="36"/>
  <c r="A91" i="36"/>
  <c r="A92" i="36"/>
  <c r="A93" i="36"/>
  <c r="A94" i="36"/>
  <c r="A95" i="36"/>
  <c r="A96" i="36"/>
  <c r="A97" i="36"/>
  <c r="A98" i="36"/>
  <c r="A99" i="36"/>
  <c r="A445" i="36"/>
  <c r="A446" i="36"/>
  <c r="A447" i="36"/>
  <c r="A448" i="36"/>
  <c r="A449" i="36"/>
  <c r="A450" i="36"/>
  <c r="A451" i="36"/>
  <c r="A452" i="36"/>
  <c r="A453" i="36"/>
  <c r="A454" i="36"/>
  <c r="A455" i="36"/>
  <c r="A12" i="36"/>
  <c r="A29" i="36"/>
  <c r="A655" i="36"/>
  <c r="A523" i="36"/>
  <c r="A806" i="36"/>
  <c r="A807" i="36"/>
  <c r="A808" i="36"/>
  <c r="A809" i="36"/>
  <c r="A810" i="36"/>
  <c r="A811" i="36"/>
  <c r="A812" i="36"/>
  <c r="A813" i="36"/>
  <c r="A814" i="36"/>
  <c r="A815" i="36"/>
  <c r="A816" i="36"/>
  <c r="A817" i="36"/>
  <c r="A803" i="36"/>
  <c r="A804" i="36"/>
  <c r="A786" i="36"/>
  <c r="A787" i="36"/>
  <c r="A788" i="36"/>
  <c r="A789" i="36"/>
  <c r="A790" i="36"/>
  <c r="A791" i="36"/>
  <c r="A792" i="36"/>
  <c r="A793" i="36"/>
  <c r="A794" i="36"/>
  <c r="A840" i="36"/>
  <c r="A841" i="36"/>
  <c r="A842" i="36"/>
  <c r="A843" i="36"/>
  <c r="A844" i="36"/>
  <c r="A845" i="36"/>
  <c r="A846" i="36"/>
  <c r="A856" i="36"/>
  <c r="A857" i="36"/>
  <c r="A858" i="36"/>
  <c r="A859" i="36"/>
  <c r="A847" i="36"/>
  <c r="A848" i="36"/>
  <c r="A849" i="36"/>
  <c r="A850" i="36"/>
  <c r="A851" i="36"/>
  <c r="A852" i="36"/>
  <c r="A853" i="36"/>
  <c r="A854" i="36"/>
  <c r="A855" i="36"/>
  <c r="A424" i="36"/>
  <c r="A425" i="36"/>
  <c r="A426" i="36"/>
  <c r="A427" i="36"/>
  <c r="A185" i="36"/>
  <c r="A186" i="36"/>
  <c r="A187" i="36"/>
  <c r="A188" i="36"/>
  <c r="A23" i="36"/>
  <c r="A24" i="36"/>
  <c r="A668" i="36"/>
  <c r="A669" i="36"/>
  <c r="A670" i="36"/>
  <c r="A671" i="36"/>
  <c r="A672" i="36"/>
  <c r="A673" i="36"/>
  <c r="A674" i="36"/>
  <c r="A675" i="36"/>
  <c r="A415" i="36"/>
  <c r="A416" i="36"/>
  <c r="A566" i="36"/>
  <c r="A838" i="36"/>
  <c r="A839" i="36"/>
  <c r="A524" i="36"/>
  <c r="A525" i="36"/>
  <c r="A526" i="36"/>
  <c r="A587" i="36"/>
  <c r="A590" i="36"/>
  <c r="A569" i="36"/>
  <c r="A119" i="36"/>
  <c r="A121" i="36"/>
  <c r="A2" i="36"/>
  <c r="F2" i="3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096083</author>
  </authors>
  <commentList>
    <comment ref="F46" authorId="0" shapeId="0" xr:uid="{8F094BE6-DA4D-425E-826C-047ED2ECD830}">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096083</author>
    <author>奥谷 俊平</author>
  </authors>
  <commentList>
    <comment ref="C98" authorId="0" shapeId="0" xr:uid="{7E8E541C-32E0-4B93-B30F-B62E27345AED}">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 ref="Q100" authorId="1" shapeId="0" xr:uid="{3FBB1D88-F0DF-4F24-8E0E-1B1B49A78924}">
      <text>
        <r>
          <rPr>
            <b/>
            <sz val="9"/>
            <color indexed="81"/>
            <rFont val="ＭＳ Ｐゴシック"/>
            <family val="3"/>
            <charset val="128"/>
          </rPr>
          <t>奥谷 俊平:</t>
        </r>
        <r>
          <rPr>
            <sz val="9"/>
            <color indexed="81"/>
            <rFont val="ＭＳ Ｐゴシック"/>
            <family val="3"/>
            <charset val="128"/>
          </rPr>
          <t xml:space="preserve">
2014/11/10受</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096083</author>
    <author>奥谷 俊平</author>
  </authors>
  <commentList>
    <comment ref="C98" authorId="0" shapeId="0" xr:uid="{E9EF0E51-1687-4587-9654-35F2FE6F9A8F}">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 ref="Q100" authorId="1" shapeId="0" xr:uid="{570A2934-BA52-4939-A258-46B8C3163113}">
      <text>
        <r>
          <rPr>
            <b/>
            <sz val="9"/>
            <color indexed="81"/>
            <rFont val="ＭＳ Ｐゴシック"/>
            <family val="3"/>
            <charset val="128"/>
          </rPr>
          <t>奥谷 俊平:</t>
        </r>
        <r>
          <rPr>
            <sz val="9"/>
            <color indexed="81"/>
            <rFont val="ＭＳ Ｐゴシック"/>
            <family val="3"/>
            <charset val="128"/>
          </rPr>
          <t xml:space="preserve">
2014/11/10受</t>
        </r>
      </text>
    </comment>
  </commentList>
</comments>
</file>

<file path=xl/sharedStrings.xml><?xml version="1.0" encoding="utf-8"?>
<sst xmlns="http://schemas.openxmlformats.org/spreadsheetml/2006/main" count="19166" uniqueCount="2374">
  <si>
    <t>メインプログラム</t>
    <phoneticPr fontId="1"/>
  </si>
  <si>
    <t>Active</t>
    <phoneticPr fontId="1"/>
  </si>
  <si>
    <t>機種</t>
    <rPh sb="0" eb="2">
      <t>キシュ</t>
    </rPh>
    <phoneticPr fontId="1"/>
  </si>
  <si>
    <t>コントローラ品番(ASSY)</t>
    <rPh sb="6" eb="8">
      <t>ヒンバン</t>
    </rPh>
    <phoneticPr fontId="1"/>
  </si>
  <si>
    <t>帳票No</t>
    <rPh sb="0" eb="2">
      <t>チョウヒョウ</t>
    </rPh>
    <phoneticPr fontId="1"/>
  </si>
  <si>
    <t>備考</t>
    <rPh sb="0" eb="2">
      <t>ビコウ</t>
    </rPh>
    <phoneticPr fontId="1"/>
  </si>
  <si>
    <t>○</t>
    <phoneticPr fontId="1"/>
  </si>
  <si>
    <t>共通</t>
    <rPh sb="0" eb="2">
      <t>キョウツウ</t>
    </rPh>
    <phoneticPr fontId="1"/>
  </si>
  <si>
    <t>17301-44340</t>
    <phoneticPr fontId="1"/>
  </si>
  <si>
    <t>ザウアーダンフォス社製DP250、ファクトリーツールとして使用</t>
    <rPh sb="9" eb="10">
      <t>シャ</t>
    </rPh>
    <rPh sb="10" eb="11">
      <t>セイ</t>
    </rPh>
    <rPh sb="29" eb="31">
      <t>シヨウ</t>
    </rPh>
    <phoneticPr fontId="1"/>
  </si>
  <si>
    <t>E</t>
    <phoneticPr fontId="1"/>
  </si>
  <si>
    <t>5.7'ディスプレイ</t>
    <phoneticPr fontId="1"/>
  </si>
  <si>
    <t>17301-43650</t>
    <phoneticPr fontId="1"/>
  </si>
  <si>
    <t>カメラなし</t>
    <phoneticPr fontId="1"/>
  </si>
  <si>
    <t>17301-43651</t>
    <phoneticPr fontId="1"/>
  </si>
  <si>
    <t>B001137</t>
    <phoneticPr fontId="1"/>
  </si>
  <si>
    <t>カメラあり</t>
    <phoneticPr fontId="1"/>
  </si>
  <si>
    <t>17301-43660</t>
    <phoneticPr fontId="1"/>
  </si>
  <si>
    <t>17301-43661</t>
    <phoneticPr fontId="1"/>
  </si>
  <si>
    <t>17301-43664</t>
    <phoneticPr fontId="1"/>
  </si>
  <si>
    <t>Stage5対応カメラなし</t>
    <rPh sb="6" eb="8">
      <t>タイオウ</t>
    </rPh>
    <phoneticPr fontId="1"/>
  </si>
  <si>
    <t>17301-43665</t>
    <phoneticPr fontId="1"/>
  </si>
  <si>
    <t>Stage5対応カメラあり</t>
    <rPh sb="6" eb="8">
      <t>タイオウ</t>
    </rPh>
    <phoneticPr fontId="1"/>
  </si>
  <si>
    <t>17301-43666</t>
    <phoneticPr fontId="1"/>
  </si>
  <si>
    <t>L5E専用コストダウン品</t>
    <rPh sb="3" eb="5">
      <t>センヨウ</t>
    </rPh>
    <rPh sb="11" eb="12">
      <t>ヒン</t>
    </rPh>
    <phoneticPr fontId="1"/>
  </si>
  <si>
    <t>07143-00044</t>
    <phoneticPr fontId="1"/>
  </si>
  <si>
    <t>C10-4専用</t>
    <rPh sb="5" eb="7">
      <t>センヨウ</t>
    </rPh>
    <phoneticPr fontId="1"/>
  </si>
  <si>
    <t>A12A</t>
    <phoneticPr fontId="1"/>
  </si>
  <si>
    <t>05542-00024</t>
    <phoneticPr fontId="1"/>
  </si>
  <si>
    <t>新規</t>
    <phoneticPr fontId="1"/>
  </si>
  <si>
    <t>05542-00114</t>
    <phoneticPr fontId="1"/>
  </si>
  <si>
    <t>コントローラ切替(MC050-155)</t>
    <phoneticPr fontId="1"/>
  </si>
  <si>
    <t>05542-00147</t>
    <phoneticPr fontId="1"/>
  </si>
  <si>
    <t>イモビライザ追加</t>
    <phoneticPr fontId="1"/>
  </si>
  <si>
    <t>05542-00326</t>
    <phoneticPr fontId="1"/>
  </si>
  <si>
    <t>エコモード変更</t>
    <rPh sb="5" eb="7">
      <t>ヘンコウ</t>
    </rPh>
    <phoneticPr fontId="1"/>
  </si>
  <si>
    <t>A13A</t>
    <phoneticPr fontId="1"/>
  </si>
  <si>
    <t>05542-00173</t>
    <phoneticPr fontId="1"/>
  </si>
  <si>
    <t>新規</t>
  </si>
  <si>
    <t>05542-00411</t>
    <phoneticPr fontId="1"/>
  </si>
  <si>
    <t>第2・4サービス同時操作グリップ設定</t>
    <phoneticPr fontId="1"/>
  </si>
  <si>
    <t>05542-00412</t>
    <phoneticPr fontId="1"/>
  </si>
  <si>
    <t>EN474:2020対応</t>
    <rPh sb="10" eb="12">
      <t>タイオウ</t>
    </rPh>
    <phoneticPr fontId="1"/>
  </si>
  <si>
    <t>A14D-2</t>
    <phoneticPr fontId="1"/>
  </si>
  <si>
    <t>05642-00231</t>
    <phoneticPr fontId="1"/>
  </si>
  <si>
    <t>A14D-2/A14D-3</t>
    <phoneticPr fontId="1"/>
  </si>
  <si>
    <t>05642-00371</t>
    <phoneticPr fontId="1"/>
  </si>
  <si>
    <t>-</t>
    <phoneticPr fontId="1"/>
  </si>
  <si>
    <t>スライドSW異常の閾値変更</t>
    <phoneticPr fontId="1"/>
  </si>
  <si>
    <t>リリース前</t>
    <rPh sb="4" eb="5">
      <t>マエ</t>
    </rPh>
    <phoneticPr fontId="1"/>
  </si>
  <si>
    <t>A14D-4</t>
    <phoneticPr fontId="1"/>
  </si>
  <si>
    <t>05642-00552</t>
    <phoneticPr fontId="1"/>
  </si>
  <si>
    <t>A14FW</t>
    <phoneticPr fontId="1"/>
  </si>
  <si>
    <t>05642-65120</t>
    <phoneticPr fontId="1"/>
  </si>
  <si>
    <t>メイン新規</t>
    <phoneticPr fontId="1"/>
  </si>
  <si>
    <t>05642-00250</t>
    <phoneticPr fontId="1"/>
  </si>
  <si>
    <t>05642-00260</t>
    <phoneticPr fontId="1"/>
  </si>
  <si>
    <t>メイン、4速仕様</t>
    <rPh sb="5" eb="6">
      <t>ソク</t>
    </rPh>
    <rPh sb="6" eb="8">
      <t>シヨウ</t>
    </rPh>
    <phoneticPr fontId="1"/>
  </si>
  <si>
    <t>05642-00207</t>
    <phoneticPr fontId="1"/>
  </si>
  <si>
    <t>走行新規</t>
    <phoneticPr fontId="1"/>
  </si>
  <si>
    <t>05642-00262</t>
    <phoneticPr fontId="1"/>
  </si>
  <si>
    <t>走行、4速仕様</t>
    <rPh sb="0" eb="2">
      <t>ソウコウ</t>
    </rPh>
    <rPh sb="4" eb="5">
      <t>ソク</t>
    </rPh>
    <rPh sb="5" eb="7">
      <t>シヨウ</t>
    </rPh>
    <phoneticPr fontId="1"/>
  </si>
  <si>
    <t>05642-00583</t>
    <phoneticPr fontId="1"/>
  </si>
  <si>
    <t>？</t>
    <phoneticPr fontId="1"/>
  </si>
  <si>
    <t>アフターパーツ用に設定</t>
  </si>
  <si>
    <t>補用</t>
    <rPh sb="0" eb="2">
      <t>ホヨウ</t>
    </rPh>
    <phoneticPr fontId="1"/>
  </si>
  <si>
    <t>05642-00585</t>
    <phoneticPr fontId="1"/>
  </si>
  <si>
    <t>走行(アフターパーツ用に設定)</t>
  </si>
  <si>
    <t>A14GW</t>
    <phoneticPr fontId="1"/>
  </si>
  <si>
    <t>05642-00273</t>
    <phoneticPr fontId="1"/>
  </si>
  <si>
    <t>A14GWHW</t>
    <phoneticPr fontId="1"/>
  </si>
  <si>
    <t>05642-00426</t>
    <phoneticPr fontId="1"/>
  </si>
  <si>
    <t>ファンドライブ変更</t>
    <rPh sb="7" eb="9">
      <t>ヘンコウ</t>
    </rPh>
    <phoneticPr fontId="1"/>
  </si>
  <si>
    <t>05642-00558</t>
    <phoneticPr fontId="1"/>
  </si>
  <si>
    <t>エコモード変更</t>
    <phoneticPr fontId="1"/>
  </si>
  <si>
    <t>05642-00586</t>
    <phoneticPr fontId="1"/>
  </si>
  <si>
    <t>Stage5</t>
    <phoneticPr fontId="1"/>
  </si>
  <si>
    <t>05642-00275</t>
    <phoneticPr fontId="1"/>
  </si>
  <si>
    <t>走行コントローラ</t>
    <phoneticPr fontId="1"/>
  </si>
  <si>
    <t>A14H/I</t>
    <phoneticPr fontId="1"/>
  </si>
  <si>
    <t>05642-00015</t>
    <phoneticPr fontId="1"/>
  </si>
  <si>
    <t>05642-00372</t>
    <phoneticPr fontId="1"/>
  </si>
  <si>
    <t>Huppen対応、コントローラ切替(MC050-155)</t>
    <phoneticPr fontId="1"/>
  </si>
  <si>
    <t>3.20受領20180213</t>
    <rPh sb="4" eb="6">
      <t>ジュリョウ</t>
    </rPh>
    <phoneticPr fontId="1"/>
  </si>
  <si>
    <t>05642-00417</t>
    <phoneticPr fontId="1"/>
  </si>
  <si>
    <t>2.20受領20180213</t>
    <rPh sb="4" eb="6">
      <t>ジュリョウ</t>
    </rPh>
    <phoneticPr fontId="1"/>
  </si>
  <si>
    <t>05642-00483</t>
    <phoneticPr fontId="1"/>
  </si>
  <si>
    <t>Stage5+エコモード</t>
    <phoneticPr fontId="1"/>
  </si>
  <si>
    <t>05642-00602</t>
    <phoneticPr fontId="1"/>
  </si>
  <si>
    <t>Boschコンバル</t>
    <phoneticPr fontId="1"/>
  </si>
  <si>
    <t>保</t>
    <rPh sb="0" eb="1">
      <t>タモツ</t>
    </rPh>
    <phoneticPr fontId="1"/>
  </si>
  <si>
    <t>05642-00455</t>
    <phoneticPr fontId="1"/>
  </si>
  <si>
    <t>ｾﾌﾃｨｽﾀｰﾄ､ｵｰﾄｽﾄｯﾌﾟ無(05642-00372より変更)</t>
    <rPh sb="17" eb="18">
      <t>（</t>
    </rPh>
    <rPh sb="31" eb="33">
      <t>ヘンコウ</t>
    </rPh>
    <rPh sb="33" eb="34">
      <t>）</t>
    </rPh>
    <phoneticPr fontId="1"/>
  </si>
  <si>
    <t>05642-00456</t>
    <phoneticPr fontId="1"/>
  </si>
  <si>
    <t>ｾﾌﾃｨｽﾀｰﾄ､ｵｰﾄｽﾄｯﾌﾟ無(05642-00417より変更)</t>
    <phoneticPr fontId="1"/>
  </si>
  <si>
    <t>05642-00573</t>
    <phoneticPr fontId="1"/>
  </si>
  <si>
    <t>Stage5+パワーモード+セフティスタート有</t>
    <rPh sb="22" eb="23">
      <t>アリ</t>
    </rPh>
    <phoneticPr fontId="1"/>
  </si>
  <si>
    <t>05642-00575</t>
    <phoneticPr fontId="1"/>
  </si>
  <si>
    <t>Stage5+パワーモード+セフティスタート無</t>
    <rPh sb="22" eb="23">
      <t>ナシ</t>
    </rPh>
    <phoneticPr fontId="1"/>
  </si>
  <si>
    <t>A14J</t>
    <phoneticPr fontId="1"/>
  </si>
  <si>
    <t>05642-00505</t>
    <phoneticPr fontId="1"/>
  </si>
  <si>
    <t>Stage5対応</t>
    <phoneticPr fontId="1"/>
  </si>
  <si>
    <t>05642-00606</t>
    <phoneticPr fontId="1"/>
  </si>
  <si>
    <t>AUX1スプール変更対応</t>
    <phoneticPr fontId="1"/>
  </si>
  <si>
    <t>A25E(EU)</t>
    <phoneticPr fontId="1"/>
  </si>
  <si>
    <t>05742-00038</t>
    <phoneticPr fontId="1"/>
  </si>
  <si>
    <t>BALSクラスタ</t>
    <phoneticPr fontId="1"/>
  </si>
  <si>
    <t>05742-00042</t>
    <phoneticPr fontId="1"/>
  </si>
  <si>
    <t>05742-00052</t>
    <phoneticPr fontId="1"/>
  </si>
  <si>
    <t>DSDクラスタ</t>
    <phoneticPr fontId="1"/>
  </si>
  <si>
    <t>A25E(US)</t>
    <phoneticPr fontId="1"/>
  </si>
  <si>
    <t>05742-06450</t>
    <phoneticPr fontId="1"/>
  </si>
  <si>
    <t>05742-00045</t>
    <phoneticPr fontId="1"/>
  </si>
  <si>
    <t>A25EW</t>
    <phoneticPr fontId="1"/>
  </si>
  <si>
    <t>05742-07350</t>
    <phoneticPr fontId="1"/>
  </si>
  <si>
    <t>05742-00048</t>
    <phoneticPr fontId="1"/>
  </si>
  <si>
    <t>モデルチェンジ</t>
    <phoneticPr fontId="1"/>
  </si>
  <si>
    <t>A25F</t>
    <phoneticPr fontId="1"/>
  </si>
  <si>
    <t>05742-00102</t>
    <phoneticPr fontId="1"/>
  </si>
  <si>
    <t>A25FG/A27AB</t>
    <phoneticPr fontId="1"/>
  </si>
  <si>
    <t>05742-00277</t>
    <phoneticPr fontId="1"/>
  </si>
  <si>
    <t>05742-00306</t>
    <phoneticPr fontId="1"/>
  </si>
  <si>
    <t>圧力調整バルブ変更</t>
    <rPh sb="0" eb="2">
      <t>アツリョク</t>
    </rPh>
    <rPh sb="2" eb="4">
      <t>チョウセイ</t>
    </rPh>
    <rPh sb="7" eb="9">
      <t>ヘンコウ</t>
    </rPh>
    <phoneticPr fontId="1"/>
  </si>
  <si>
    <t>05742-00323</t>
    <phoneticPr fontId="1"/>
  </si>
  <si>
    <t>ファン変更</t>
    <rPh sb="3" eb="5">
      <t>ヘンコウ</t>
    </rPh>
    <phoneticPr fontId="1"/>
  </si>
  <si>
    <t>05742-00334</t>
    <phoneticPr fontId="1"/>
  </si>
  <si>
    <t>05742-00335</t>
    <phoneticPr fontId="1"/>
  </si>
  <si>
    <t>エコモード対応</t>
    <phoneticPr fontId="1"/>
  </si>
  <si>
    <t>05742-00359</t>
    <phoneticPr fontId="1"/>
  </si>
  <si>
    <t>C1P33表示不具合対策</t>
    <rPh sb="5" eb="7">
      <t>ヒョウジ</t>
    </rPh>
    <rPh sb="7" eb="10">
      <t>フグアイ</t>
    </rPh>
    <rPh sb="10" eb="12">
      <t>タイサク</t>
    </rPh>
    <phoneticPr fontId="1"/>
  </si>
  <si>
    <t>○</t>
  </si>
  <si>
    <t>05742-00773</t>
    <phoneticPr fontId="1"/>
  </si>
  <si>
    <t>A4E/A4F/J4B</t>
    <phoneticPr fontId="1"/>
  </si>
  <si>
    <t>03442-00020</t>
    <phoneticPr fontId="1"/>
  </si>
  <si>
    <t>03442-00195</t>
    <phoneticPr fontId="1"/>
  </si>
  <si>
    <t>クレーン仕様</t>
    <rPh sb="4" eb="6">
      <t>シヨウ</t>
    </rPh>
    <phoneticPr fontId="1"/>
  </si>
  <si>
    <t>A5F,A7FG,A12B</t>
    <phoneticPr fontId="1"/>
  </si>
  <si>
    <t>03542-00020</t>
    <phoneticPr fontId="1"/>
  </si>
  <si>
    <t>03542-00063</t>
    <phoneticPr fontId="1"/>
  </si>
  <si>
    <t>ｾﾌﾃｨｽﾀｰﾄ､ｵｰﾄｽﾄｯﾌﾟ無</t>
    <rPh sb="17" eb="18">
      <t>ナシ</t>
    </rPh>
    <phoneticPr fontId="1"/>
  </si>
  <si>
    <t>03542-00065</t>
    <phoneticPr fontId="1"/>
  </si>
  <si>
    <t>Stage5対応</t>
    <rPh sb="6" eb="8">
      <t>タイオウ</t>
    </rPh>
    <phoneticPr fontId="1"/>
  </si>
  <si>
    <t>03542-00070</t>
    <phoneticPr fontId="1"/>
  </si>
  <si>
    <t>Stage4、エコモード</t>
    <phoneticPr fontId="1"/>
  </si>
  <si>
    <t>A7G,A12B</t>
    <phoneticPr fontId="1"/>
  </si>
  <si>
    <t>05542-00025</t>
    <phoneticPr fontId="1"/>
  </si>
  <si>
    <t>A12B用新規</t>
    <rPh sb="4" eb="5">
      <t>ヨウ</t>
    </rPh>
    <rPh sb="5" eb="7">
      <t>シンキ</t>
    </rPh>
    <phoneticPr fontId="1"/>
  </si>
  <si>
    <t>A12B</t>
    <phoneticPr fontId="1"/>
  </si>
  <si>
    <t>05542-00083</t>
    <phoneticPr fontId="1"/>
  </si>
  <si>
    <t>フッペン向け新規</t>
    <rPh sb="4" eb="5">
      <t>ム</t>
    </rPh>
    <rPh sb="6" eb="8">
      <t>シンキ</t>
    </rPh>
    <phoneticPr fontId="1"/>
  </si>
  <si>
    <t>05542-00143</t>
    <phoneticPr fontId="1"/>
  </si>
  <si>
    <t>モデルチェンジ(フッペン向けセフティスタート有)</t>
    <phoneticPr fontId="1"/>
  </si>
  <si>
    <t>05542-00425</t>
    <phoneticPr fontId="1"/>
  </si>
  <si>
    <t>サービス流量自動調整機能(03542-00065)</t>
    <rPh sb="4" eb="6">
      <t>リュウリョウ</t>
    </rPh>
    <rPh sb="6" eb="8">
      <t>ジドウ</t>
    </rPh>
    <rPh sb="8" eb="10">
      <t>チョウセイ</t>
    </rPh>
    <rPh sb="10" eb="12">
      <t>キノウ</t>
    </rPh>
    <phoneticPr fontId="2"/>
  </si>
  <si>
    <t>A6E/A9F</t>
    <phoneticPr fontId="1"/>
  </si>
  <si>
    <t>03642-00034</t>
    <phoneticPr fontId="1"/>
  </si>
  <si>
    <t>A9D/A14D/A25D</t>
    <phoneticPr fontId="1"/>
  </si>
  <si>
    <t>05642-57920</t>
    <phoneticPr fontId="1"/>
  </si>
  <si>
    <t>05642-00374</t>
    <phoneticPr fontId="1"/>
  </si>
  <si>
    <t>MC024-110へ切替</t>
    <rPh sb="10" eb="12">
      <t>キリカエ</t>
    </rPh>
    <phoneticPr fontId="1"/>
  </si>
  <si>
    <t>C10-3</t>
    <phoneticPr fontId="1"/>
  </si>
  <si>
    <t>07042-00010</t>
    <phoneticPr fontId="1"/>
  </si>
  <si>
    <t>C10-4</t>
    <phoneticPr fontId="1"/>
  </si>
  <si>
    <t>07042-00059</t>
    <phoneticPr fontId="1"/>
  </si>
  <si>
    <t>C10-5</t>
    <phoneticPr fontId="1"/>
  </si>
  <si>
    <t>07042-00026</t>
    <phoneticPr fontId="1"/>
  </si>
  <si>
    <t>C9-3</t>
    <phoneticPr fontId="1"/>
  </si>
  <si>
    <t>07142-00010</t>
    <phoneticPr fontId="1"/>
  </si>
  <si>
    <t>C9-4</t>
    <phoneticPr fontId="1"/>
  </si>
  <si>
    <t>07142-00057</t>
    <phoneticPr fontId="1"/>
  </si>
  <si>
    <t>C9-5</t>
    <phoneticPr fontId="1"/>
  </si>
  <si>
    <t>07142-00040</t>
    <phoneticPr fontId="1"/>
  </si>
  <si>
    <t>E2F</t>
    <phoneticPr fontId="1"/>
  </si>
  <si>
    <t>03242-00069</t>
    <phoneticPr fontId="1"/>
  </si>
  <si>
    <t>E3F</t>
    <phoneticPr fontId="1"/>
  </si>
  <si>
    <t>03342-00189</t>
    <phoneticPr fontId="1"/>
  </si>
  <si>
    <t>#4～9号機</t>
    <rPh sb="4" eb="6">
      <t>ゴウキ</t>
    </rPh>
    <phoneticPr fontId="1"/>
  </si>
  <si>
    <t>03342-00252</t>
    <phoneticPr fontId="1"/>
  </si>
  <si>
    <t>量産仕様</t>
    <rPh sb="0" eb="2">
      <t>リョウサン</t>
    </rPh>
    <rPh sb="2" eb="4">
      <t>シヨウ</t>
    </rPh>
    <phoneticPr fontId="1"/>
  </si>
  <si>
    <t>03342-00163</t>
    <phoneticPr fontId="1"/>
  </si>
  <si>
    <t>#1~3号機用</t>
    <rPh sb="4" eb="6">
      <t>ゴウキ</t>
    </rPh>
    <rPh sb="6" eb="7">
      <t>ヨウ</t>
    </rPh>
    <phoneticPr fontId="1"/>
  </si>
  <si>
    <t>03342-00130</t>
    <phoneticPr fontId="1"/>
  </si>
  <si>
    <t>E7F</t>
    <phoneticPr fontId="1"/>
  </si>
  <si>
    <t>F10E</t>
    <phoneticPr fontId="1"/>
  </si>
  <si>
    <t>03942-00087</t>
    <phoneticPr fontId="1"/>
  </si>
  <si>
    <t>F14F</t>
    <phoneticPr fontId="1"/>
  </si>
  <si>
    <t>05642-00108</t>
    <phoneticPr fontId="1"/>
  </si>
  <si>
    <t>新規</t>
    <rPh sb="0" eb="2">
      <t>シンキ</t>
    </rPh>
    <phoneticPr fontId="1"/>
  </si>
  <si>
    <t>05642-00373</t>
    <phoneticPr fontId="1"/>
  </si>
  <si>
    <t>ディスプレイ変更</t>
    <rPh sb="6" eb="8">
      <t>ヘンコウ</t>
    </rPh>
    <phoneticPr fontId="1"/>
  </si>
  <si>
    <t>05642-00570</t>
    <phoneticPr fontId="1"/>
  </si>
  <si>
    <t>Stage5、パワーモード(新規設定)</t>
    <rPh sb="14" eb="16">
      <t>シンキ</t>
    </rPh>
    <rPh sb="16" eb="18">
      <t>セッテイ</t>
    </rPh>
    <phoneticPr fontId="1"/>
  </si>
  <si>
    <t>05642-00484</t>
    <phoneticPr fontId="1"/>
  </si>
  <si>
    <t>エコモードに変更</t>
    <rPh sb="6" eb="8">
      <t>ヘンコウ</t>
    </rPh>
    <phoneticPr fontId="1"/>
  </si>
  <si>
    <t>05642-00576</t>
    <phoneticPr fontId="1"/>
  </si>
  <si>
    <t>Stage5対応、パワーモード、セーフティスタートOFF</t>
    <rPh sb="6" eb="8">
      <t>タイオウ</t>
    </rPh>
    <phoneticPr fontId="1"/>
  </si>
  <si>
    <t>05642-00457</t>
    <phoneticPr fontId="1"/>
  </si>
  <si>
    <t>J7B/J10B</t>
    <phoneticPr fontId="1"/>
  </si>
  <si>
    <t>03742-00133</t>
    <phoneticPr fontId="1"/>
  </si>
  <si>
    <t>J7B</t>
    <phoneticPr fontId="1"/>
  </si>
  <si>
    <t>03742-00529</t>
    <phoneticPr fontId="1"/>
  </si>
  <si>
    <t>J7Bのみ品番変更操作性改善</t>
    <rPh sb="5" eb="7">
      <t>ヒンバン</t>
    </rPh>
    <rPh sb="7" eb="9">
      <t>ヘンコウ</t>
    </rPh>
    <rPh sb="9" eb="12">
      <t>ソウサセイ</t>
    </rPh>
    <rPh sb="12" eb="14">
      <t>カイゼン</t>
    </rPh>
    <phoneticPr fontId="1"/>
  </si>
  <si>
    <t>L5E</t>
    <phoneticPr fontId="1"/>
  </si>
  <si>
    <t>06542-00076</t>
    <phoneticPr fontId="1"/>
  </si>
  <si>
    <t>06542-00132</t>
    <phoneticPr fontId="1"/>
  </si>
  <si>
    <t>L6E</t>
    <phoneticPr fontId="1"/>
  </si>
  <si>
    <t>06642-00116</t>
    <phoneticPr fontId="1"/>
  </si>
  <si>
    <t>ハンドルの中立異常エラー対策</t>
    <rPh sb="5" eb="7">
      <t>チュウリツ</t>
    </rPh>
    <rPh sb="7" eb="9">
      <t>イジョウ</t>
    </rPh>
    <rPh sb="12" eb="14">
      <t>タイサク</t>
    </rPh>
    <phoneticPr fontId="1"/>
  </si>
  <si>
    <t>06642-00175</t>
    <phoneticPr fontId="1"/>
  </si>
  <si>
    <r>
      <t>L6E/L8C</t>
    </r>
    <r>
      <rPr>
        <strike/>
        <sz val="14"/>
        <rFont val="Arial Unicode MS"/>
        <family val="3"/>
        <charset val="128"/>
      </rPr>
      <t>/L9C</t>
    </r>
    <phoneticPr fontId="1"/>
  </si>
  <si>
    <t>06942-05320</t>
    <phoneticPr fontId="1"/>
  </si>
  <si>
    <t>L9C</t>
    <phoneticPr fontId="1"/>
  </si>
  <si>
    <t>06942-00234</t>
    <phoneticPr fontId="1"/>
  </si>
  <si>
    <t>L9C振動対策用</t>
    <rPh sb="3" eb="5">
      <t>シンドウ</t>
    </rPh>
    <rPh sb="5" eb="8">
      <t>タイサクヨウ</t>
    </rPh>
    <phoneticPr fontId="1"/>
  </si>
  <si>
    <t>06942-00365</t>
    <phoneticPr fontId="1"/>
  </si>
  <si>
    <t>L6F</t>
    <phoneticPr fontId="1"/>
  </si>
  <si>
    <t>06642-00161</t>
    <phoneticPr fontId="1"/>
  </si>
  <si>
    <t>L8E/L9E</t>
    <phoneticPr fontId="1"/>
  </si>
  <si>
    <t>06942-00019</t>
    <phoneticPr fontId="1"/>
  </si>
  <si>
    <t>メイン</t>
    <phoneticPr fontId="1"/>
  </si>
  <si>
    <t>06942-00290</t>
    <phoneticPr fontId="1"/>
  </si>
  <si>
    <t>06942-00371</t>
    <phoneticPr fontId="1"/>
  </si>
  <si>
    <t>メイン Stage5対応</t>
    <rPh sb="10" eb="12">
      <t>タイオウ</t>
    </rPh>
    <phoneticPr fontId="1"/>
  </si>
  <si>
    <t>06942-00021</t>
    <phoneticPr fontId="1"/>
  </si>
  <si>
    <t>サブ</t>
    <phoneticPr fontId="1"/>
  </si>
  <si>
    <t>L8EV</t>
    <phoneticPr fontId="1"/>
  </si>
  <si>
    <t>06842-00230</t>
  </si>
  <si>
    <t>メイン　自動変速仕様</t>
    <rPh sb="4" eb="6">
      <t>ジドウ</t>
    </rPh>
    <rPh sb="6" eb="8">
      <t>ヘンソク</t>
    </rPh>
    <rPh sb="8" eb="10">
      <t>シヨウ</t>
    </rPh>
    <phoneticPr fontId="2"/>
  </si>
  <si>
    <t>06842-00234</t>
  </si>
  <si>
    <t>サブ　自動変速仕様</t>
    <rPh sb="3" eb="5">
      <t>ジドウ</t>
    </rPh>
    <rPh sb="5" eb="7">
      <t>ヘンソク</t>
    </rPh>
    <rPh sb="7" eb="9">
      <t>シヨウ</t>
    </rPh>
    <phoneticPr fontId="2"/>
  </si>
  <si>
    <t>06842-00220</t>
  </si>
  <si>
    <t>メイン　グレーダー仕様</t>
    <rPh sb="9" eb="11">
      <t>シヨウ</t>
    </rPh>
    <phoneticPr fontId="2"/>
  </si>
  <si>
    <t>L85G</t>
    <phoneticPr fontId="1"/>
  </si>
  <si>
    <t>06842-00258</t>
    <phoneticPr fontId="1"/>
  </si>
  <si>
    <t>A14IW</t>
    <phoneticPr fontId="1"/>
  </si>
  <si>
    <t>05642-00683</t>
    <phoneticPr fontId="1"/>
  </si>
  <si>
    <t>05642-00924</t>
    <phoneticPr fontId="1"/>
  </si>
  <si>
    <t>メイン(20km/h仕様)</t>
    <rPh sb="10" eb="12">
      <t>シヨウ</t>
    </rPh>
    <phoneticPr fontId="1"/>
  </si>
  <si>
    <t>05642-00998</t>
    <phoneticPr fontId="1"/>
  </si>
  <si>
    <t>メイン(EN474:2020対応)</t>
    <rPh sb="14" eb="16">
      <t>タイオウ</t>
    </rPh>
    <phoneticPr fontId="1"/>
  </si>
  <si>
    <t>05642-00999</t>
    <phoneticPr fontId="1"/>
  </si>
  <si>
    <t>メイン(EN474:2020対応、20km/h仕様)</t>
    <rPh sb="14" eb="16">
      <t>タイオウ</t>
    </rPh>
    <rPh sb="23" eb="25">
      <t>シヨウ</t>
    </rPh>
    <phoneticPr fontId="1"/>
  </si>
  <si>
    <t>05642-00684</t>
    <phoneticPr fontId="1"/>
  </si>
  <si>
    <t>05642-00685</t>
    <phoneticPr fontId="1"/>
  </si>
  <si>
    <t>下部体</t>
    <rPh sb="0" eb="2">
      <t>カブ</t>
    </rPh>
    <rPh sb="2" eb="3">
      <t>タイ</t>
    </rPh>
    <phoneticPr fontId="1"/>
  </si>
  <si>
    <t>A13AW</t>
    <phoneticPr fontId="1"/>
  </si>
  <si>
    <t>05542-00549</t>
    <phoneticPr fontId="1"/>
  </si>
  <si>
    <t>05542-00639</t>
    <phoneticPr fontId="1"/>
  </si>
  <si>
    <t>05542-00559</t>
  </si>
  <si>
    <t>05542-00651</t>
  </si>
  <si>
    <t>EN474:2020対応(20km/h仕様)</t>
    <rPh sb="10" eb="12">
      <t>タイオウ</t>
    </rPh>
    <rPh sb="19" eb="21">
      <t>シヨウ</t>
    </rPh>
    <phoneticPr fontId="1"/>
  </si>
  <si>
    <t>品番</t>
    <rPh sb="0" eb="2">
      <t>ヒンバン</t>
    </rPh>
    <phoneticPr fontId="1"/>
  </si>
  <si>
    <t>Δ</t>
    <phoneticPr fontId="1"/>
  </si>
  <si>
    <t>Version</t>
    <phoneticPr fontId="1"/>
  </si>
  <si>
    <t>PLUS1(プログラムなし）</t>
    <phoneticPr fontId="1"/>
  </si>
  <si>
    <t>プログラム</t>
    <phoneticPr fontId="1"/>
  </si>
  <si>
    <t>パラメータファイル</t>
    <phoneticPr fontId="1"/>
  </si>
  <si>
    <t>設計変更理由</t>
    <rPh sb="0" eb="2">
      <t>セッケイ</t>
    </rPh>
    <rPh sb="2" eb="4">
      <t>ヘンコウ</t>
    </rPh>
    <rPh sb="4" eb="6">
      <t>リユウ</t>
    </rPh>
    <phoneticPr fontId="1"/>
  </si>
  <si>
    <t>PSW</t>
    <phoneticPr fontId="1"/>
  </si>
  <si>
    <t>Application ID</t>
    <phoneticPr fontId="1"/>
  </si>
  <si>
    <t>17301-43350(DP250)</t>
    <phoneticPr fontId="1"/>
  </si>
  <si>
    <t>M001181</t>
    <phoneticPr fontId="1"/>
  </si>
  <si>
    <t>A12A</t>
  </si>
  <si>
    <t>V1.09</t>
    <phoneticPr fontId="1"/>
  </si>
  <si>
    <t>V2.12</t>
    <phoneticPr fontId="1"/>
  </si>
  <si>
    <t>V3.13</t>
    <phoneticPr fontId="1"/>
  </si>
  <si>
    <t>V4.05</t>
    <phoneticPr fontId="1"/>
  </si>
  <si>
    <t>A13A</t>
  </si>
  <si>
    <t>V1.15</t>
    <phoneticPr fontId="1"/>
  </si>
  <si>
    <t>V3.01</t>
    <phoneticPr fontId="1"/>
  </si>
  <si>
    <t>V1.06</t>
    <phoneticPr fontId="1"/>
  </si>
  <si>
    <t>17301-43360(MC050-055)</t>
    <phoneticPr fontId="1"/>
  </si>
  <si>
    <t>05642_00232_V106</t>
    <phoneticPr fontId="1"/>
  </si>
  <si>
    <t>05642_00233_V106</t>
    <phoneticPr fontId="1"/>
  </si>
  <si>
    <t>05642-00371</t>
  </si>
  <si>
    <t>V2.03</t>
    <phoneticPr fontId="1"/>
  </si>
  <si>
    <t>17301-43361(MC050-155)</t>
    <phoneticPr fontId="1"/>
  </si>
  <si>
    <t>0564200371v203</t>
    <phoneticPr fontId="1"/>
  </si>
  <si>
    <t>0564200371rop_v203</t>
    <phoneticPr fontId="1"/>
  </si>
  <si>
    <t>V2.04</t>
  </si>
  <si>
    <t>05642-00371v204</t>
    <phoneticPr fontId="1"/>
  </si>
  <si>
    <t>0564200371rop_v204</t>
    <phoneticPr fontId="1"/>
  </si>
  <si>
    <t>V0.02</t>
    <phoneticPr fontId="1"/>
  </si>
  <si>
    <t>- (部品番号と同一)</t>
    <phoneticPr fontId="1"/>
  </si>
  <si>
    <t>V1.21</t>
    <phoneticPr fontId="1"/>
  </si>
  <si>
    <t>0564265121_v121</t>
    <phoneticPr fontId="1"/>
  </si>
  <si>
    <t>0564265122_v121</t>
    <phoneticPr fontId="1"/>
  </si>
  <si>
    <t>17301-43361(MC050-155)</t>
  </si>
  <si>
    <t>05642-00251</t>
    <phoneticPr fontId="1"/>
  </si>
  <si>
    <t>05642-00252</t>
    <phoneticPr fontId="1"/>
  </si>
  <si>
    <t>V2.14</t>
    <phoneticPr fontId="1"/>
  </si>
  <si>
    <t>0564200251v214</t>
    <phoneticPr fontId="1"/>
  </si>
  <si>
    <t>0564200252v214</t>
    <phoneticPr fontId="1"/>
  </si>
  <si>
    <t>17301-43710(MC024-020)</t>
    <phoneticPr fontId="1"/>
  </si>
  <si>
    <t>05642-00208</t>
    <phoneticPr fontId="1"/>
  </si>
  <si>
    <t>05642-00209</t>
    <phoneticPr fontId="1"/>
  </si>
  <si>
    <t>走行コントローラ</t>
    <rPh sb="0" eb="2">
      <t>ソウコウ</t>
    </rPh>
    <phoneticPr fontId="1"/>
  </si>
  <si>
    <t>←どこにも紐づいていない</t>
  </si>
  <si>
    <t>V1.03</t>
    <phoneticPr fontId="1"/>
  </si>
  <si>
    <t>V2.00</t>
  </si>
  <si>
    <t>17301-43711(MC024-120)</t>
  </si>
  <si>
    <t>05642-00274</t>
    <phoneticPr fontId="1"/>
  </si>
  <si>
    <t>V1.07</t>
    <phoneticPr fontId="1"/>
  </si>
  <si>
    <t>V1.08</t>
    <phoneticPr fontId="1"/>
  </si>
  <si>
    <t>(1903)ファンドライブ変更/(1904)新規</t>
    <rPh sb="13" eb="15">
      <t>ヘンコウ</t>
    </rPh>
    <rPh sb="22" eb="24">
      <t>シンキ</t>
    </rPh>
    <phoneticPr fontId="1"/>
  </si>
  <si>
    <t>V3.32</t>
    <phoneticPr fontId="1"/>
  </si>
  <si>
    <t>V4.06</t>
    <phoneticPr fontId="1"/>
  </si>
  <si>
    <t>V5.11</t>
    <phoneticPr fontId="1"/>
  </si>
  <si>
    <t>走行用コントローラ</t>
    <rPh sb="0" eb="3">
      <t>ソウコウヨウ</t>
    </rPh>
    <phoneticPr fontId="1"/>
  </si>
  <si>
    <t>V1.13</t>
    <phoneticPr fontId="1"/>
  </si>
  <si>
    <t>17301-43721(SC024-120)</t>
    <phoneticPr fontId="1"/>
  </si>
  <si>
    <t>←Historyには1.06[FIX]がNGとなっていた為、1.05しました</t>
    <phoneticPr fontId="1"/>
  </si>
  <si>
    <t>V1.05</t>
    <phoneticPr fontId="1"/>
  </si>
  <si>
    <t>0564200016_06</t>
    <phoneticPr fontId="1"/>
  </si>
  <si>
    <t>0564200017_06</t>
    <phoneticPr fontId="1"/>
  </si>
  <si>
    <t>(huppen対応品)第2サービス回路の変更</t>
    <rPh sb="7" eb="9">
      <t>タイオウ</t>
    </rPh>
    <rPh sb="9" eb="10">
      <t>ヒン</t>
    </rPh>
    <rPh sb="11" eb="12">
      <t>ダイ</t>
    </rPh>
    <rPh sb="17" eb="19">
      <t>カイロ</t>
    </rPh>
    <rPh sb="20" eb="22">
      <t>ヘンコウ</t>
    </rPh>
    <phoneticPr fontId="1"/>
  </si>
  <si>
    <t>3.20送付済20171215</t>
    <rPh sb="4" eb="6">
      <t>ソウフ</t>
    </rPh>
    <rPh sb="6" eb="7">
      <t>ズ</t>
    </rPh>
    <phoneticPr fontId="1"/>
  </si>
  <si>
    <t>フッペン第2サービス変更</t>
    <rPh sb="4" eb="5">
      <t>ダイ</t>
    </rPh>
    <rPh sb="10" eb="12">
      <t>ヘンコウ</t>
    </rPh>
    <phoneticPr fontId="1"/>
  </si>
  <si>
    <t>V3.55</t>
    <phoneticPr fontId="1"/>
  </si>
  <si>
    <t>0564200372v355</t>
    <phoneticPr fontId="1"/>
  </si>
  <si>
    <t>0564200372v355</t>
  </si>
  <si>
    <t>ディスプレイのモデルチェンジ</t>
    <phoneticPr fontId="1"/>
  </si>
  <si>
    <t>2.20送付済20171215</t>
    <rPh sb="4" eb="6">
      <t>ソウフ</t>
    </rPh>
    <rPh sb="6" eb="7">
      <t>ズ</t>
    </rPh>
    <phoneticPr fontId="1"/>
  </si>
  <si>
    <t>モデルチェンジ品（フッペン以外）</t>
    <rPh sb="7" eb="8">
      <t>ヒン</t>
    </rPh>
    <rPh sb="13" eb="15">
      <t>イガイ</t>
    </rPh>
    <phoneticPr fontId="1"/>
  </si>
  <si>
    <t>V2.33</t>
    <phoneticPr fontId="1"/>
  </si>
  <si>
    <t>0564200417V233</t>
    <phoneticPr fontId="1"/>
  </si>
  <si>
    <t>0564200417rop_v233</t>
    <phoneticPr fontId="1"/>
  </si>
  <si>
    <t>V4.16</t>
    <phoneticPr fontId="1"/>
  </si>
  <si>
    <t>0564200483V416</t>
    <phoneticPr fontId="1"/>
  </si>
  <si>
    <t>0564200483rop_v416</t>
    <phoneticPr fontId="1"/>
  </si>
  <si>
    <t>Bosch製コンバル</t>
    <rPh sb="5" eb="6">
      <t>セイ</t>
    </rPh>
    <phoneticPr fontId="1"/>
  </si>
  <si>
    <t>V5.16</t>
    <phoneticPr fontId="1"/>
  </si>
  <si>
    <t>0564200602V516</t>
    <phoneticPr fontId="1"/>
  </si>
  <si>
    <t>0564200602rop_v516</t>
    <phoneticPr fontId="1"/>
  </si>
  <si>
    <t>V2.86</t>
    <phoneticPr fontId="1"/>
  </si>
  <si>
    <t>0564200455V286</t>
    <phoneticPr fontId="1"/>
  </si>
  <si>
    <t>0564200455rop_v286</t>
    <phoneticPr fontId="1"/>
  </si>
  <si>
    <t>2.82送付済20171215</t>
    <rPh sb="4" eb="6">
      <t>ソウフ</t>
    </rPh>
    <rPh sb="6" eb="7">
      <t>ズ</t>
    </rPh>
    <phoneticPr fontId="1"/>
  </si>
  <si>
    <t>アフターパーツ扱い フッペン第2サービス変更</t>
    <rPh sb="14" eb="15">
      <t>ダイ</t>
    </rPh>
    <rPh sb="20" eb="22">
      <t>ヘンコウ</t>
    </rPh>
    <phoneticPr fontId="1"/>
  </si>
  <si>
    <t>V1.86</t>
    <phoneticPr fontId="1"/>
  </si>
  <si>
    <t>0564200456V186</t>
    <phoneticPr fontId="1"/>
  </si>
  <si>
    <t>0564200456rop_v186</t>
  </si>
  <si>
    <t>1.82送付済20171215</t>
    <rPh sb="4" eb="6">
      <t>ソウフ</t>
    </rPh>
    <rPh sb="6" eb="7">
      <t>ズ</t>
    </rPh>
    <phoneticPr fontId="1"/>
  </si>
  <si>
    <t>アフターパーツ扱い モデルチェンジ品（フッペン以外）</t>
    <rPh sb="17" eb="18">
      <t>ヒン</t>
    </rPh>
    <rPh sb="23" eb="25">
      <t>イガイ</t>
    </rPh>
    <phoneticPr fontId="1"/>
  </si>
  <si>
    <t>V3.82</t>
    <phoneticPr fontId="1"/>
  </si>
  <si>
    <t>0564200573V382</t>
    <phoneticPr fontId="1"/>
  </si>
  <si>
    <t>0564200573rop_v382</t>
    <phoneticPr fontId="1"/>
  </si>
  <si>
    <t>アフターパーツ扱い　Stage5エンジンを供給した場合用</t>
    <rPh sb="7" eb="8">
      <t>アツカ</t>
    </rPh>
    <rPh sb="21" eb="23">
      <t>キョウキュウ</t>
    </rPh>
    <rPh sb="25" eb="27">
      <t>バアイ</t>
    </rPh>
    <rPh sb="27" eb="28">
      <t>ヨウ</t>
    </rPh>
    <phoneticPr fontId="1"/>
  </si>
  <si>
    <t>V3.92</t>
    <phoneticPr fontId="1"/>
  </si>
  <si>
    <t>0564200575V391</t>
    <phoneticPr fontId="1"/>
  </si>
  <si>
    <t>0564200575rop_v391</t>
    <phoneticPr fontId="1"/>
  </si>
  <si>
    <t>AUX1スプール変更対応</t>
    <rPh sb="8" eb="10">
      <t>ヘンコウ</t>
    </rPh>
    <rPh sb="10" eb="12">
      <t>タイオウ</t>
    </rPh>
    <phoneticPr fontId="1"/>
  </si>
  <si>
    <t>V2.18</t>
  </si>
  <si>
    <t>V1.00</t>
  </si>
  <si>
    <t>05742-00039</t>
    <phoneticPr fontId="1"/>
  </si>
  <si>
    <t>05742-00041</t>
    <phoneticPr fontId="1"/>
  </si>
  <si>
    <t>ECOモードからPOWERモードに変更</t>
    <rPh sb="17" eb="19">
      <t>ヘンコウ</t>
    </rPh>
    <phoneticPr fontId="1"/>
  </si>
  <si>
    <t>廃止。1.01はアワメータを進められるバージョン（アンリリース）</t>
    <rPh sb="0" eb="2">
      <t>ハイシ</t>
    </rPh>
    <rPh sb="14" eb="15">
      <t>スス</t>
    </rPh>
    <phoneticPr fontId="1"/>
  </si>
  <si>
    <t>コントローラ切替(MC050-155)</t>
    <rPh sb="6" eb="8">
      <t>キリカエ</t>
    </rPh>
    <phoneticPr fontId="1"/>
  </si>
  <si>
    <t>A25E</t>
    <phoneticPr fontId="1"/>
  </si>
  <si>
    <t>V1.01</t>
    <phoneticPr fontId="1"/>
  </si>
  <si>
    <t>05742-00043</t>
    <phoneticPr fontId="1"/>
  </si>
  <si>
    <t>05742-00044</t>
    <phoneticPr fontId="1"/>
  </si>
  <si>
    <t>バックカメラ搭載</t>
    <rPh sb="6" eb="8">
      <t>トウサイ</t>
    </rPh>
    <phoneticPr fontId="1"/>
  </si>
  <si>
    <t>V1.05</t>
  </si>
  <si>
    <t>05742-00053</t>
    <phoneticPr fontId="1"/>
  </si>
  <si>
    <t>廃止</t>
    <rPh sb="0" eb="2">
      <t>ハイシ</t>
    </rPh>
    <phoneticPr fontId="1"/>
  </si>
  <si>
    <t>05742-06451</t>
    <phoneticPr fontId="1"/>
  </si>
  <si>
    <t>05742-06452</t>
  </si>
  <si>
    <t>05742-00046</t>
    <phoneticPr fontId="1"/>
  </si>
  <si>
    <t>05742-00047</t>
    <phoneticPr fontId="1"/>
  </si>
  <si>
    <t>TB1160W_0574207351_05</t>
    <phoneticPr fontId="1"/>
  </si>
  <si>
    <t>TB1160W_0574207352_05</t>
    <phoneticPr fontId="1"/>
  </si>
  <si>
    <t>V2.02</t>
    <phoneticPr fontId="1"/>
  </si>
  <si>
    <t>TB1160W_0574200049V202</t>
    <phoneticPr fontId="1"/>
  </si>
  <si>
    <t>TB1160W_0574200051V202</t>
    <phoneticPr fontId="1"/>
  </si>
  <si>
    <t>BALSクラスタ(BALS製)</t>
    <rPh sb="13" eb="14">
      <t>セイ</t>
    </rPh>
    <phoneticPr fontId="1"/>
  </si>
  <si>
    <t>(5147)(A25G)/5148(A27A)新規・5149(A27B)/5146(A25F)ファンドライブ変更</t>
    <rPh sb="23" eb="25">
      <t>シンキ</t>
    </rPh>
    <rPh sb="54" eb="56">
      <t>ヘンコウ</t>
    </rPh>
    <phoneticPr fontId="1"/>
  </si>
  <si>
    <t>V2.18</t>
    <phoneticPr fontId="1"/>
  </si>
  <si>
    <t>V5.04</t>
    <phoneticPr fontId="1"/>
  </si>
  <si>
    <t>V6.13</t>
    <phoneticPr fontId="1"/>
  </si>
  <si>
    <t>エコモード対応</t>
    <rPh sb="5" eb="7">
      <t>タイオウ</t>
    </rPh>
    <phoneticPr fontId="1"/>
  </si>
  <si>
    <t>V7.04</t>
    <phoneticPr fontId="1"/>
  </si>
  <si>
    <t>V8.23</t>
    <phoneticPr fontId="1"/>
  </si>
  <si>
    <t>V9.00</t>
    <phoneticPr fontId="1"/>
  </si>
  <si>
    <t>A4E</t>
    <phoneticPr fontId="1"/>
  </si>
  <si>
    <t>V1.20</t>
    <phoneticPr fontId="1"/>
  </si>
  <si>
    <t>クレーンタイプ</t>
    <phoneticPr fontId="1"/>
  </si>
  <si>
    <t>V2.06</t>
    <phoneticPr fontId="1"/>
  </si>
  <si>
    <t>3.14送付済20171219</t>
    <rPh sb="4" eb="6">
      <t>ソウフ</t>
    </rPh>
    <rPh sb="6" eb="7">
      <t>ズ</t>
    </rPh>
    <phoneticPr fontId="1"/>
  </si>
  <si>
    <t>V3.16</t>
    <phoneticPr fontId="1"/>
  </si>
  <si>
    <t>03542-00024</t>
    <phoneticPr fontId="1"/>
  </si>
  <si>
    <t>3.14受領20180213</t>
    <rPh sb="4" eb="6">
      <t>ジュリョウ</t>
    </rPh>
    <phoneticPr fontId="1"/>
  </si>
  <si>
    <t>V2.84</t>
    <phoneticPr fontId="1"/>
  </si>
  <si>
    <t>アフターパーツ扱い</t>
    <rPh sb="7" eb="8">
      <t>アツカ</t>
    </rPh>
    <phoneticPr fontId="1"/>
  </si>
  <si>
    <t>Stage5対応</t>
  </si>
  <si>
    <t>V4.11</t>
    <phoneticPr fontId="1"/>
  </si>
  <si>
    <t>V3.72</t>
    <phoneticPr fontId="1"/>
  </si>
  <si>
    <t>0554200084V103</t>
    <phoneticPr fontId="1"/>
  </si>
  <si>
    <t>0554200085V103</t>
    <phoneticPr fontId="1"/>
  </si>
  <si>
    <t>ディスプレイのモデルチェンジ(フッペン向け)</t>
    <rPh sb="19" eb="20">
      <t>ム</t>
    </rPh>
    <phoneticPr fontId="1"/>
  </si>
  <si>
    <t>サービス流量自動調整機能</t>
    <rPh sb="4" eb="6">
      <t>リュウリョウ</t>
    </rPh>
    <rPh sb="6" eb="10">
      <t>ジドウチョウセイ</t>
    </rPh>
    <rPh sb="10" eb="12">
      <t>キノウ</t>
    </rPh>
    <phoneticPr fontId="1"/>
  </si>
  <si>
    <t>V5.03</t>
    <phoneticPr fontId="1"/>
  </si>
  <si>
    <t>A6E</t>
    <phoneticPr fontId="1"/>
  </si>
  <si>
    <t>V1.17</t>
    <phoneticPr fontId="1"/>
  </si>
  <si>
    <t>GPS変更、車両情報を取得できるようにプログラム変更</t>
    <rPh sb="3" eb="5">
      <t>ヘンコウ</t>
    </rPh>
    <rPh sb="6" eb="8">
      <t>シャリョウ</t>
    </rPh>
    <rPh sb="8" eb="10">
      <t>ジョウホウ</t>
    </rPh>
    <rPh sb="11" eb="13">
      <t>シュトク</t>
    </rPh>
    <rPh sb="24" eb="26">
      <t>ヘンコウ</t>
    </rPh>
    <phoneticPr fontId="1"/>
  </si>
  <si>
    <t>データ不明/図面なし</t>
    <rPh sb="3" eb="5">
      <t>フメイ</t>
    </rPh>
    <rPh sb="6" eb="8">
      <t>ズメン</t>
    </rPh>
    <phoneticPr fontId="1"/>
  </si>
  <si>
    <t>17301-43390(MC024-010)</t>
    <phoneticPr fontId="1"/>
  </si>
  <si>
    <t>05642-57911</t>
    <phoneticPr fontId="1"/>
  </si>
  <si>
    <t>05642-57912</t>
    <phoneticPr fontId="1"/>
  </si>
  <si>
    <t>17301-43391(MC024-110)</t>
    <phoneticPr fontId="1"/>
  </si>
  <si>
    <t>C10_3</t>
    <phoneticPr fontId="1"/>
  </si>
  <si>
    <t>←ヒストリーなし、ファイルがV0.04のみ</t>
    <phoneticPr fontId="1"/>
  </si>
  <si>
    <t>V0.04</t>
    <phoneticPr fontId="1"/>
  </si>
  <si>
    <t>07042-00011</t>
    <phoneticPr fontId="1"/>
  </si>
  <si>
    <t>17301-43711(MC024-120)</t>
    <phoneticPr fontId="1"/>
  </si>
  <si>
    <t>C9_3</t>
    <phoneticPr fontId="1"/>
  </si>
  <si>
    <t>←ヒストリー無し</t>
    <rPh sb="6" eb="7">
      <t>ナ</t>
    </rPh>
    <phoneticPr fontId="1"/>
  </si>
  <si>
    <t>V0.05</t>
    <phoneticPr fontId="1"/>
  </si>
  <si>
    <t>17301-43580(SC050-120)</t>
    <phoneticPr fontId="1"/>
  </si>
  <si>
    <t>2023.08.09 誤記修正</t>
    <rPh sb="11" eb="15">
      <t>ゴキシュウセイ</t>
    </rPh>
    <phoneticPr fontId="1"/>
  </si>
  <si>
    <r>
      <t>17301-43490(XL</t>
    </r>
    <r>
      <rPr>
        <sz val="14"/>
        <rFont val="游ゴシック"/>
        <family val="3"/>
        <charset val="128"/>
      </rPr>
      <t>_</t>
    </r>
    <r>
      <rPr>
        <sz val="14"/>
        <rFont val="Arial Unicode MS"/>
        <family val="3"/>
        <charset val="128"/>
      </rPr>
      <t>Full)</t>
    </r>
    <phoneticPr fontId="1"/>
  </si>
  <si>
    <r>
      <t>17301-43470(XL</t>
    </r>
    <r>
      <rPr>
        <sz val="14"/>
        <rFont val="游ゴシック"/>
        <family val="3"/>
        <charset val="128"/>
      </rPr>
      <t>_</t>
    </r>
    <r>
      <rPr>
        <sz val="14"/>
        <rFont val="Arial Unicode MS"/>
        <family val="3"/>
        <charset val="128"/>
      </rPr>
      <t>Large)</t>
    </r>
    <phoneticPr fontId="1"/>
  </si>
  <si>
    <t>V1.11</t>
    <phoneticPr fontId="1"/>
  </si>
  <si>
    <t>17301-43480(XL_Small)</t>
    <phoneticPr fontId="1"/>
  </si>
  <si>
    <t>05642-00013</t>
    <phoneticPr fontId="1"/>
  </si>
  <si>
    <t>V2.82</t>
    <phoneticPr fontId="1"/>
  </si>
  <si>
    <t>V3.10</t>
    <phoneticPr fontId="1"/>
  </si>
  <si>
    <t>V2.91</t>
    <phoneticPr fontId="1"/>
  </si>
  <si>
    <t>←ヒストリー無し、ApplicationID有(V2.92)、図面はV2.91</t>
    <rPh sb="6" eb="7">
      <t>ナ</t>
    </rPh>
    <rPh sb="22" eb="23">
      <t>アリ</t>
    </rPh>
    <rPh sb="31" eb="33">
      <t>ズメン</t>
    </rPh>
    <phoneticPr fontId="1"/>
  </si>
  <si>
    <t>V1.81</t>
    <phoneticPr fontId="1"/>
  </si>
  <si>
    <t>←ヒストリー無し、ApplicationID有</t>
    <rPh sb="6" eb="7">
      <t>ナ</t>
    </rPh>
    <rPh sb="22" eb="23">
      <t>アリ</t>
    </rPh>
    <phoneticPr fontId="1"/>
  </si>
  <si>
    <t>17301-43470(XL_Large)</t>
    <phoneticPr fontId="1"/>
  </si>
  <si>
    <t>V2.00</t>
    <phoneticPr fontId="1"/>
  </si>
  <si>
    <t>1.01送付済20171109</t>
    <rPh sb="4" eb="6">
      <t>ソウフ</t>
    </rPh>
    <rPh sb="6" eb="7">
      <t>ズ</t>
    </rPh>
    <phoneticPr fontId="1"/>
  </si>
  <si>
    <t>1.01受領20180213</t>
    <rPh sb="4" eb="6">
      <t>ジュリョウ</t>
    </rPh>
    <phoneticPr fontId="1"/>
  </si>
  <si>
    <t>(L5E)Stage5対応/(L5E2)新規</t>
    <rPh sb="11" eb="13">
      <t>タイオウ</t>
    </rPh>
    <rPh sb="20" eb="22">
      <t>シンキ</t>
    </rPh>
    <phoneticPr fontId="1"/>
  </si>
  <si>
    <t>V2.08</t>
    <phoneticPr fontId="1"/>
  </si>
  <si>
    <t>コントローラモデルチェンジ</t>
    <phoneticPr fontId="1"/>
  </si>
  <si>
    <t>L8C_L9C</t>
    <phoneticPr fontId="1"/>
  </si>
  <si>
    <t>V3.11</t>
    <phoneticPr fontId="1"/>
  </si>
  <si>
    <t>V5.01</t>
  </si>
  <si>
    <t>V1.43</t>
  </si>
  <si>
    <t>06942_05321_15_V143</t>
  </si>
  <si>
    <t>06942_05322_15_V143</t>
  </si>
  <si>
    <t>振動対策として(自動変速機能追加)</t>
    <rPh sb="0" eb="2">
      <t>シンドウ</t>
    </rPh>
    <rPh sb="2" eb="4">
      <t>タイサク</t>
    </rPh>
    <rPh sb="8" eb="10">
      <t>ジドウ</t>
    </rPh>
    <rPh sb="10" eb="12">
      <t>ヘンソク</t>
    </rPh>
    <rPh sb="12" eb="14">
      <t>キノウ</t>
    </rPh>
    <rPh sb="14" eb="16">
      <t>ツイカ</t>
    </rPh>
    <phoneticPr fontId="1"/>
  </si>
  <si>
    <t>0694200234V203</t>
  </si>
  <si>
    <t>0694200235V203</t>
  </si>
  <si>
    <t>V4.01</t>
    <phoneticPr fontId="1"/>
  </si>
  <si>
    <t>0694200365V401</t>
  </si>
  <si>
    <t>0694200365rop_V401</t>
  </si>
  <si>
    <t>V2.09</t>
    <phoneticPr fontId="1"/>
  </si>
  <si>
    <t>メイン新規</t>
    <rPh sb="3" eb="5">
      <t>シンキ</t>
    </rPh>
    <phoneticPr fontId="1"/>
  </si>
  <si>
    <t>V1.41</t>
    <phoneticPr fontId="1"/>
  </si>
  <si>
    <t>L9E</t>
    <phoneticPr fontId="1"/>
  </si>
  <si>
    <t>(L8EV)(L9ER)新規・(L9EV)走行曲進対策</t>
    <rPh sb="12" eb="14">
      <t>シンキ</t>
    </rPh>
    <rPh sb="21" eb="23">
      <t>ソウコウ</t>
    </rPh>
    <rPh sb="23" eb="24">
      <t>キョク</t>
    </rPh>
    <rPh sb="24" eb="25">
      <t>シン</t>
    </rPh>
    <rPh sb="25" eb="27">
      <t>タイサク</t>
    </rPh>
    <phoneticPr fontId="1"/>
  </si>
  <si>
    <t>V2.31</t>
  </si>
  <si>
    <t>(L8EV2/L9EV2/L9ER2)メイン新規・(L8EV/L9EV/L9ER)メインStage5</t>
    <rPh sb="22" eb="24">
      <t>シンキ</t>
    </rPh>
    <phoneticPr fontId="1"/>
  </si>
  <si>
    <t>V3.06</t>
    <phoneticPr fontId="1"/>
  </si>
  <si>
    <t>サブ新規</t>
    <rPh sb="2" eb="4">
      <t>シンキ</t>
    </rPh>
    <phoneticPr fontId="1"/>
  </si>
  <si>
    <t>L9E_Sub</t>
    <phoneticPr fontId="1"/>
  </si>
  <si>
    <t>06842-00230</t>
    <phoneticPr fontId="1"/>
  </si>
  <si>
    <t>メイン自動変速仕様</t>
    <rPh sb="3" eb="5">
      <t>ジドウ</t>
    </rPh>
    <rPh sb="5" eb="7">
      <t>ヘンソク</t>
    </rPh>
    <rPh sb="7" eb="9">
      <t>シヨウ</t>
    </rPh>
    <phoneticPr fontId="1"/>
  </si>
  <si>
    <t>サブ自動変速仕様標準化</t>
    <rPh sb="2" eb="6">
      <t>ジドウヘンソク</t>
    </rPh>
    <rPh sb="6" eb="8">
      <t>シヨウ</t>
    </rPh>
    <rPh sb="8" eb="11">
      <t>ヒョウジュンカ</t>
    </rPh>
    <phoneticPr fontId="1"/>
  </si>
  <si>
    <t>06842-00220</t>
    <phoneticPr fontId="1"/>
  </si>
  <si>
    <t>グレーダー仕様</t>
    <rPh sb="5" eb="7">
      <t>シヨウ</t>
    </rPh>
    <phoneticPr fontId="1"/>
  </si>
  <si>
    <t>V8.02</t>
    <phoneticPr fontId="1"/>
  </si>
  <si>
    <t>17301-43470(XL_Large)</t>
  </si>
  <si>
    <t>with 30km/h spec.</t>
    <phoneticPr fontId="1"/>
  </si>
  <si>
    <t>17301-43490(XL_Full)</t>
    <phoneticPr fontId="1"/>
  </si>
  <si>
    <t>with 20km/h spec.</t>
    <phoneticPr fontId="1"/>
  </si>
  <si>
    <t>A14IW/A13AW</t>
    <phoneticPr fontId="1"/>
  </si>
  <si>
    <t>A14IW_SUB</t>
    <phoneticPr fontId="1"/>
  </si>
  <si>
    <t>下部体コントローラ</t>
    <phoneticPr fontId="1"/>
  </si>
  <si>
    <t>A14IW_UC</t>
    <phoneticPr fontId="1"/>
  </si>
  <si>
    <t>05542-00559</t>
    <phoneticPr fontId="1"/>
  </si>
  <si>
    <t>05542-00651</t>
    <phoneticPr fontId="1"/>
  </si>
  <si>
    <t>予定</t>
    <rPh sb="0" eb="2">
      <t>ヨテイ</t>
    </rPh>
    <phoneticPr fontId="1"/>
  </si>
  <si>
    <t>実施</t>
    <rPh sb="0" eb="2">
      <t>ジッシ</t>
    </rPh>
    <phoneticPr fontId="1"/>
  </si>
  <si>
    <t>05642-57920</t>
  </si>
  <si>
    <t>A14D-1</t>
    <phoneticPr fontId="1"/>
  </si>
  <si>
    <t>06942-05320</t>
  </si>
  <si>
    <t>A11D</t>
    <phoneticPr fontId="1"/>
  </si>
  <si>
    <t>A25D</t>
    <phoneticPr fontId="1"/>
  </si>
  <si>
    <t>A9D</t>
    <phoneticPr fontId="1"/>
  </si>
  <si>
    <t>17301-43650</t>
  </si>
  <si>
    <t>L8C</t>
    <phoneticPr fontId="1"/>
  </si>
  <si>
    <t>05742-06450</t>
  </si>
  <si>
    <t>05542-00025</t>
  </si>
  <si>
    <t>05542-00024</t>
  </si>
  <si>
    <t>05642-65120</t>
  </si>
  <si>
    <t>05642-00015</t>
  </si>
  <si>
    <t>A14H</t>
    <phoneticPr fontId="1"/>
  </si>
  <si>
    <t>A14I</t>
    <phoneticPr fontId="1"/>
  </si>
  <si>
    <t>05642-00207</t>
  </si>
  <si>
    <t>05742-07350</t>
  </si>
  <si>
    <t>05642-00231</t>
  </si>
  <si>
    <t>A7G</t>
    <phoneticPr fontId="1"/>
  </si>
  <si>
    <t>05742-00038</t>
  </si>
  <si>
    <t>L6E</t>
  </si>
  <si>
    <t>L8C</t>
  </si>
  <si>
    <t>L9C</t>
  </si>
  <si>
    <t>05542-00083</t>
  </si>
  <si>
    <t>A12B</t>
  </si>
  <si>
    <t>A14D-2</t>
  </si>
  <si>
    <t>A14I</t>
  </si>
  <si>
    <t>A5F</t>
  </si>
  <si>
    <t>A7F</t>
  </si>
  <si>
    <t>A7G</t>
  </si>
  <si>
    <t>F14F</t>
  </si>
  <si>
    <t>L9EV</t>
  </si>
  <si>
    <t>A14H</t>
  </si>
  <si>
    <t>-</t>
  </si>
  <si>
    <t>A14FW</t>
  </si>
  <si>
    <t>C9-3</t>
  </si>
  <si>
    <t>A25E</t>
  </si>
  <si>
    <t>05742-00042</t>
  </si>
  <si>
    <t>05742-00045</t>
  </si>
  <si>
    <t>05742-00048</t>
  </si>
  <si>
    <t>A25EW</t>
  </si>
  <si>
    <t>05642-00108</t>
  </si>
  <si>
    <t>05742-00052</t>
  </si>
  <si>
    <t>03542-00020</t>
  </si>
  <si>
    <t>05642-00250</t>
  </si>
  <si>
    <t>07042-00010</t>
  </si>
  <si>
    <t>C10-3</t>
  </si>
  <si>
    <t>07142-00010</t>
  </si>
  <si>
    <t>05742-00102</t>
  </si>
  <si>
    <t>A25F</t>
  </si>
  <si>
    <t>06942-00234</t>
  </si>
  <si>
    <t>06942-00019</t>
  </si>
  <si>
    <t>L8EV</t>
  </si>
  <si>
    <t>L9ER</t>
  </si>
  <si>
    <t>06942-00290</t>
  </si>
  <si>
    <t>17301-43661</t>
  </si>
  <si>
    <t>17301-43660</t>
  </si>
  <si>
    <t>A14D-3</t>
    <phoneticPr fontId="1"/>
  </si>
  <si>
    <t>L9EV</t>
    <phoneticPr fontId="1"/>
  </si>
  <si>
    <t>06942-00021</t>
  </si>
  <si>
    <t>L8EV2</t>
  </si>
  <si>
    <t>L9ER2</t>
  </si>
  <si>
    <t>L9EV2</t>
  </si>
  <si>
    <t>A27B</t>
    <phoneticPr fontId="1"/>
  </si>
  <si>
    <t>A25G</t>
    <phoneticPr fontId="1"/>
  </si>
  <si>
    <t>プログラムなしタイプ</t>
    <phoneticPr fontId="1"/>
  </si>
  <si>
    <r>
      <t>TES</t>
    </r>
    <r>
      <rPr>
        <sz val="14"/>
        <rFont val="ＭＳ Ｐゴシック"/>
        <family val="3"/>
        <charset val="128"/>
      </rPr>
      <t>品番</t>
    </r>
    <rPh sb="3" eb="5">
      <t>ヒンバン</t>
    </rPh>
    <phoneticPr fontId="1"/>
  </si>
  <si>
    <t>コントローラ型番</t>
    <rPh sb="6" eb="8">
      <t>カタバン</t>
    </rPh>
    <phoneticPr fontId="1"/>
  </si>
  <si>
    <t>名称</t>
    <rPh sb="0" eb="2">
      <t>メイショウ</t>
    </rPh>
    <phoneticPr fontId="1"/>
  </si>
  <si>
    <t>ＣＡＮ</t>
    <phoneticPr fontId="1"/>
  </si>
  <si>
    <t>入力</t>
    <rPh sb="0" eb="2">
      <t>ニュウリョク</t>
    </rPh>
    <phoneticPr fontId="1"/>
  </si>
  <si>
    <t>出力</t>
    <rPh sb="0" eb="2">
      <t>シュツリョク</t>
    </rPh>
    <phoneticPr fontId="1"/>
  </si>
  <si>
    <t>17301-43310</t>
    <phoneticPr fontId="1"/>
  </si>
  <si>
    <t>MC050-010</t>
    <phoneticPr fontId="1"/>
  </si>
  <si>
    <r>
      <t>50P</t>
    </r>
    <r>
      <rPr>
        <sz val="14"/>
        <rFont val="ＭＳ Ｐゴシック"/>
        <family val="3"/>
        <charset val="128"/>
      </rPr>
      <t>コントローラ</t>
    </r>
    <phoneticPr fontId="1"/>
  </si>
  <si>
    <t>17301-43311</t>
    <phoneticPr fontId="1"/>
  </si>
  <si>
    <t>MC050-110</t>
    <phoneticPr fontId="1"/>
  </si>
  <si>
    <t>17301-43320</t>
    <phoneticPr fontId="1"/>
  </si>
  <si>
    <t>DP200-01-01-03</t>
    <phoneticPr fontId="1"/>
  </si>
  <si>
    <r>
      <t>DP200</t>
    </r>
    <r>
      <rPr>
        <sz val="14"/>
        <rFont val="ＭＳ Ｐゴシック"/>
        <family val="3"/>
        <charset val="128"/>
      </rPr>
      <t>ディスプレイ</t>
    </r>
    <phoneticPr fontId="1"/>
  </si>
  <si>
    <t>17301-43330</t>
    <phoneticPr fontId="1"/>
  </si>
  <si>
    <t>IX024-010</t>
    <phoneticPr fontId="1"/>
  </si>
  <si>
    <r>
      <t>24P</t>
    </r>
    <r>
      <rPr>
        <sz val="14"/>
        <rFont val="ＭＳ Ｐゴシック"/>
        <family val="3"/>
        <charset val="128"/>
      </rPr>
      <t>入力拡張モジュール</t>
    </r>
    <rPh sb="3" eb="5">
      <t>ニュウリョク</t>
    </rPh>
    <rPh sb="5" eb="7">
      <t>カクチョウ</t>
    </rPh>
    <phoneticPr fontId="1"/>
  </si>
  <si>
    <t>17301-43340</t>
    <phoneticPr fontId="1"/>
  </si>
  <si>
    <t>OX024-010</t>
    <phoneticPr fontId="1"/>
  </si>
  <si>
    <r>
      <t>24P</t>
    </r>
    <r>
      <rPr>
        <sz val="14"/>
        <rFont val="ＭＳ Ｐゴシック"/>
        <family val="3"/>
        <charset val="128"/>
      </rPr>
      <t>出力拡張モジュール</t>
    </r>
    <rPh sb="3" eb="5">
      <t>シュツリョク</t>
    </rPh>
    <rPh sb="5" eb="7">
      <t>カクチョウ</t>
    </rPh>
    <phoneticPr fontId="1"/>
  </si>
  <si>
    <t>17301-43341</t>
    <phoneticPr fontId="1"/>
  </si>
  <si>
    <t>OX024-110</t>
    <phoneticPr fontId="1"/>
  </si>
  <si>
    <t>17301-43342</t>
    <phoneticPr fontId="1"/>
  </si>
  <si>
    <r>
      <t>24P</t>
    </r>
    <r>
      <rPr>
        <sz val="14"/>
        <rFont val="ＭＳ Ｐゴシック"/>
        <family val="3"/>
        <charset val="128"/>
      </rPr>
      <t>出力拡張モジュール</t>
    </r>
    <r>
      <rPr>
        <sz val="14"/>
        <rFont val="Arial"/>
        <family val="2"/>
      </rPr>
      <t>(</t>
    </r>
    <r>
      <rPr>
        <sz val="14"/>
        <rFont val="ＭＳ Ｐゴシック"/>
        <family val="3"/>
        <charset val="128"/>
      </rPr>
      <t>500kbps)</t>
    </r>
    <rPh sb="3" eb="5">
      <t>シュツリョク</t>
    </rPh>
    <rPh sb="5" eb="7">
      <t>カクチョウ</t>
    </rPh>
    <phoneticPr fontId="1"/>
  </si>
  <si>
    <t>17301-43350</t>
  </si>
  <si>
    <t>DP250-01-01-04-05</t>
    <phoneticPr fontId="1"/>
  </si>
  <si>
    <r>
      <t>DP250</t>
    </r>
    <r>
      <rPr>
        <sz val="14"/>
        <rFont val="ＭＳ Ｐゴシック"/>
        <family val="3"/>
        <charset val="128"/>
      </rPr>
      <t>カラーディスプレイ</t>
    </r>
    <phoneticPr fontId="1"/>
  </si>
  <si>
    <t>17301-43360</t>
    <phoneticPr fontId="1"/>
  </si>
  <si>
    <t>MC050-055</t>
    <phoneticPr fontId="1"/>
  </si>
  <si>
    <r>
      <t>50P</t>
    </r>
    <r>
      <rPr>
        <sz val="14"/>
        <rFont val="ＭＳ Ｐゴシック"/>
        <family val="3"/>
        <charset val="128"/>
      </rPr>
      <t>コントローラ</t>
    </r>
    <r>
      <rPr>
        <sz val="14"/>
        <rFont val="Arial"/>
        <family val="2"/>
      </rPr>
      <t>055</t>
    </r>
    <phoneticPr fontId="1"/>
  </si>
  <si>
    <t>17301-43361</t>
    <phoneticPr fontId="1"/>
  </si>
  <si>
    <t>MC050-155</t>
    <phoneticPr fontId="1"/>
  </si>
  <si>
    <r>
      <t>50P</t>
    </r>
    <r>
      <rPr>
        <sz val="14"/>
        <rFont val="ＭＳ Ｐゴシック"/>
        <family val="3"/>
        <charset val="128"/>
      </rPr>
      <t>コントローラ</t>
    </r>
    <r>
      <rPr>
        <sz val="14"/>
        <rFont val="Arial"/>
        <family val="2"/>
      </rPr>
      <t>155</t>
    </r>
    <phoneticPr fontId="1"/>
  </si>
  <si>
    <t>17301-43370</t>
    <phoneticPr fontId="1"/>
  </si>
  <si>
    <r>
      <t>ＩＸ</t>
    </r>
    <r>
      <rPr>
        <sz val="14"/>
        <rFont val="Arial"/>
        <family val="2"/>
      </rPr>
      <t>012-010</t>
    </r>
    <phoneticPr fontId="1"/>
  </si>
  <si>
    <r>
      <t>12P</t>
    </r>
    <r>
      <rPr>
        <sz val="14"/>
        <rFont val="ＭＳ Ｐゴシック"/>
        <family val="3"/>
        <charset val="128"/>
      </rPr>
      <t>入力拡張モジュール</t>
    </r>
    <rPh sb="3" eb="5">
      <t>ニュウリョク</t>
    </rPh>
    <rPh sb="5" eb="7">
      <t>カクチョウ</t>
    </rPh>
    <phoneticPr fontId="1"/>
  </si>
  <si>
    <t>17301-43380</t>
    <phoneticPr fontId="1"/>
  </si>
  <si>
    <t>OX012-010</t>
    <phoneticPr fontId="1"/>
  </si>
  <si>
    <r>
      <t>12P</t>
    </r>
    <r>
      <rPr>
        <sz val="14"/>
        <rFont val="ＭＳ Ｐゴシック"/>
        <family val="3"/>
        <charset val="128"/>
      </rPr>
      <t>出力拡張モジュール</t>
    </r>
    <rPh sb="3" eb="5">
      <t>シュツリョク</t>
    </rPh>
    <rPh sb="5" eb="7">
      <t>カクチョウ</t>
    </rPh>
    <phoneticPr fontId="1"/>
  </si>
  <si>
    <t>17301-43381</t>
    <phoneticPr fontId="1"/>
  </si>
  <si>
    <t>OX012-110</t>
    <phoneticPr fontId="1"/>
  </si>
  <si>
    <t>17301-43382</t>
    <phoneticPr fontId="1"/>
  </si>
  <si>
    <r>
      <t>12P</t>
    </r>
    <r>
      <rPr>
        <sz val="14"/>
        <rFont val="ＭＳ Ｐゴシック"/>
        <family val="3"/>
        <charset val="128"/>
      </rPr>
      <t>出力拡張モジュール</t>
    </r>
    <r>
      <rPr>
        <sz val="14"/>
        <rFont val="Arial"/>
        <family val="2"/>
      </rPr>
      <t>(500kps)</t>
    </r>
    <rPh sb="3" eb="5">
      <t>シュツリョク</t>
    </rPh>
    <rPh sb="5" eb="7">
      <t>カクチョウ</t>
    </rPh>
    <phoneticPr fontId="1"/>
  </si>
  <si>
    <t>17301-43390</t>
    <phoneticPr fontId="1"/>
  </si>
  <si>
    <t>MC024-010</t>
    <phoneticPr fontId="1"/>
  </si>
  <si>
    <r>
      <t>24P</t>
    </r>
    <r>
      <rPr>
        <sz val="14"/>
        <rFont val="ＭＳ Ｐゴシック"/>
        <family val="3"/>
        <charset val="128"/>
      </rPr>
      <t>コントローラ</t>
    </r>
    <phoneticPr fontId="1"/>
  </si>
  <si>
    <t>17301-43391</t>
    <phoneticPr fontId="1"/>
  </si>
  <si>
    <t>MC024-110</t>
    <phoneticPr fontId="1"/>
  </si>
  <si>
    <t>5.7inch</t>
    <phoneticPr fontId="1"/>
  </si>
  <si>
    <r>
      <t>5.7inch</t>
    </r>
    <r>
      <rPr>
        <sz val="14"/>
        <rFont val="ＭＳ Ｐゴシック"/>
        <family val="3"/>
        <charset val="128"/>
      </rPr>
      <t>ディスプレイ(カメラなし）</t>
    </r>
    <phoneticPr fontId="1"/>
  </si>
  <si>
    <r>
      <t>5.7inch</t>
    </r>
    <r>
      <rPr>
        <sz val="14"/>
        <rFont val="ＭＳ Ｐゴシック"/>
        <family val="3"/>
        <charset val="128"/>
      </rPr>
      <t>ディスプレイ</t>
    </r>
    <r>
      <rPr>
        <sz val="14"/>
        <rFont val="Arial"/>
        <family val="2"/>
      </rPr>
      <t>(</t>
    </r>
    <r>
      <rPr>
        <sz val="14"/>
        <rFont val="ＭＳ Ｐゴシック"/>
        <family val="3"/>
        <charset val="128"/>
      </rPr>
      <t>カメラあり）</t>
    </r>
    <phoneticPr fontId="1"/>
  </si>
  <si>
    <t>5.7inch(モデルチェンジ）</t>
    <phoneticPr fontId="1"/>
  </si>
  <si>
    <t>17301-43680</t>
    <phoneticPr fontId="1"/>
  </si>
  <si>
    <t>DM430E-1-0-0-0</t>
    <phoneticPr fontId="1"/>
  </si>
  <si>
    <r>
      <t>4.3inch</t>
    </r>
    <r>
      <rPr>
        <sz val="14"/>
        <rFont val="ＭＳ Ｐゴシック"/>
        <family val="3"/>
        <charset val="128"/>
      </rPr>
      <t>ディスプレイ（</t>
    </r>
    <r>
      <rPr>
        <sz val="14"/>
        <rFont val="Arial"/>
        <family val="2"/>
      </rPr>
      <t>C10-4</t>
    </r>
    <r>
      <rPr>
        <sz val="14"/>
        <rFont val="ＭＳ Ｐゴシック"/>
        <family val="3"/>
        <charset val="128"/>
      </rPr>
      <t>専用試作のみ）</t>
    </r>
    <rPh sb="19" eb="21">
      <t>センヨウ</t>
    </rPh>
    <rPh sb="21" eb="23">
      <t>シサク</t>
    </rPh>
    <phoneticPr fontId="1"/>
  </si>
  <si>
    <t>17301-43681</t>
    <phoneticPr fontId="1"/>
  </si>
  <si>
    <t>DM430E-0-0-0-0</t>
    <phoneticPr fontId="1"/>
  </si>
  <si>
    <r>
      <t>4.3inch</t>
    </r>
    <r>
      <rPr>
        <sz val="14"/>
        <rFont val="ＭＳ Ｐゴシック"/>
        <family val="3"/>
        <charset val="128"/>
      </rPr>
      <t>ディスプレイ（</t>
    </r>
    <r>
      <rPr>
        <sz val="14"/>
        <rFont val="Arial"/>
        <family val="2"/>
      </rPr>
      <t>C10-4</t>
    </r>
    <r>
      <rPr>
        <sz val="14"/>
        <rFont val="ＭＳ Ｐゴシック"/>
        <family val="3"/>
        <charset val="128"/>
      </rPr>
      <t>専用）</t>
    </r>
    <rPh sb="19" eb="21">
      <t>センヨウ</t>
    </rPh>
    <phoneticPr fontId="1"/>
  </si>
  <si>
    <t>17301-43690</t>
    <phoneticPr fontId="1"/>
  </si>
  <si>
    <r>
      <t>4.3inch</t>
    </r>
    <r>
      <rPr>
        <sz val="14"/>
        <rFont val="ＭＳ Ｐゴシック"/>
        <family val="3"/>
        <charset val="128"/>
      </rPr>
      <t>ディスプレイ（E3F専用）</t>
    </r>
    <rPh sb="17" eb="19">
      <t>センヨウ</t>
    </rPh>
    <phoneticPr fontId="1"/>
  </si>
  <si>
    <t>17301-43691</t>
    <phoneticPr fontId="1"/>
  </si>
  <si>
    <t>17301-43692</t>
    <phoneticPr fontId="1"/>
  </si>
  <si>
    <r>
      <t>4.3inch</t>
    </r>
    <r>
      <rPr>
        <sz val="14"/>
        <rFont val="ＭＳ Ｐゴシック"/>
        <family val="3"/>
        <charset val="128"/>
      </rPr>
      <t>ディスプレイ（充電治具専用）</t>
    </r>
    <rPh sb="14" eb="16">
      <t>ジュウデン</t>
    </rPh>
    <rPh sb="16" eb="18">
      <t>ジグ</t>
    </rPh>
    <rPh sb="18" eb="20">
      <t>センヨウ</t>
    </rPh>
    <phoneticPr fontId="1"/>
  </si>
  <si>
    <t>17301-43820</t>
    <phoneticPr fontId="1"/>
  </si>
  <si>
    <t>DM07N-TN-2NA-ND-A-2-TK</t>
    <phoneticPr fontId="1"/>
  </si>
  <si>
    <r>
      <t>7inch</t>
    </r>
    <r>
      <rPr>
        <sz val="14"/>
        <rFont val="ＭＳ Ｐゴシック"/>
        <family val="3"/>
        <charset val="128"/>
      </rPr>
      <t>ディスプレイ（J7B,J10B）</t>
    </r>
    <phoneticPr fontId="1"/>
  </si>
  <si>
    <t>17301-43780</t>
    <phoneticPr fontId="1"/>
  </si>
  <si>
    <r>
      <t>7inch</t>
    </r>
    <r>
      <rPr>
        <sz val="14"/>
        <rFont val="ＭＳ Ｐゴシック"/>
        <family val="3"/>
        <charset val="128"/>
      </rPr>
      <t>ディスプレイ（E7F）</t>
    </r>
    <phoneticPr fontId="1"/>
  </si>
  <si>
    <t>17301-43790</t>
    <phoneticPr fontId="1"/>
  </si>
  <si>
    <r>
      <t>4.3inch</t>
    </r>
    <r>
      <rPr>
        <sz val="14"/>
        <rFont val="ＭＳ Ｐゴシック"/>
        <family val="3"/>
        <charset val="128"/>
      </rPr>
      <t>ディスプレイ（E7F）</t>
    </r>
    <phoneticPr fontId="1"/>
  </si>
  <si>
    <t>17301-43890</t>
    <phoneticPr fontId="1"/>
  </si>
  <si>
    <r>
      <t>4.3inch</t>
    </r>
    <r>
      <rPr>
        <sz val="14"/>
        <rFont val="ＭＳ Ｐゴシック"/>
        <family val="3"/>
        <charset val="128"/>
      </rPr>
      <t>ディスプレイ（E2F）</t>
    </r>
    <phoneticPr fontId="1"/>
  </si>
  <si>
    <t>17301-43700</t>
    <phoneticPr fontId="1"/>
  </si>
  <si>
    <t>MC012-010</t>
    <phoneticPr fontId="1"/>
  </si>
  <si>
    <r>
      <t>12P</t>
    </r>
    <r>
      <rPr>
        <sz val="14"/>
        <rFont val="ＭＳ Ｐゴシック"/>
        <family val="3"/>
        <charset val="128"/>
      </rPr>
      <t>コントローラ</t>
    </r>
    <phoneticPr fontId="1"/>
  </si>
  <si>
    <t>17301-43701</t>
    <phoneticPr fontId="1"/>
  </si>
  <si>
    <t>MC012-110</t>
    <phoneticPr fontId="1"/>
  </si>
  <si>
    <t>17301-43710</t>
    <phoneticPr fontId="1"/>
  </si>
  <si>
    <t>MC024-020</t>
    <phoneticPr fontId="1"/>
  </si>
  <si>
    <t>17301-43711</t>
    <phoneticPr fontId="1"/>
  </si>
  <si>
    <t>MC024-120</t>
    <phoneticPr fontId="1"/>
  </si>
  <si>
    <t>17301-43720</t>
    <phoneticPr fontId="1"/>
  </si>
  <si>
    <t>SC024-020</t>
    <phoneticPr fontId="1"/>
  </si>
  <si>
    <t>17301-43721</t>
    <phoneticPr fontId="1"/>
  </si>
  <si>
    <t>SC024-120</t>
    <phoneticPr fontId="1"/>
  </si>
  <si>
    <t>17301-43770</t>
    <phoneticPr fontId="1"/>
  </si>
  <si>
    <t>SC024-110</t>
    <phoneticPr fontId="1"/>
  </si>
  <si>
    <t>17301-43730</t>
    <phoneticPr fontId="1"/>
  </si>
  <si>
    <t>IOX012-010</t>
    <phoneticPr fontId="1"/>
  </si>
  <si>
    <r>
      <t>12P</t>
    </r>
    <r>
      <rPr>
        <sz val="14"/>
        <rFont val="ＭＳ Ｐゴシック"/>
        <family val="3"/>
        <charset val="128"/>
      </rPr>
      <t>入出力拡張モジュール</t>
    </r>
    <rPh sb="3" eb="4">
      <t>ニュウ</t>
    </rPh>
    <rPh sb="4" eb="6">
      <t>シュツリョク</t>
    </rPh>
    <rPh sb="6" eb="8">
      <t>カクチョウ</t>
    </rPh>
    <phoneticPr fontId="1"/>
  </si>
  <si>
    <t>17301-43740</t>
    <phoneticPr fontId="1"/>
  </si>
  <si>
    <t>IOX024-020</t>
    <phoneticPr fontId="1"/>
  </si>
  <si>
    <r>
      <t>24P</t>
    </r>
    <r>
      <rPr>
        <sz val="14"/>
        <rFont val="ＭＳ Ｐゴシック"/>
        <family val="3"/>
        <charset val="128"/>
      </rPr>
      <t>入出力拡張モジュール</t>
    </r>
    <rPh sb="3" eb="6">
      <t>ニュウシュツリョク</t>
    </rPh>
    <rPh sb="6" eb="8">
      <t>カクチョウ</t>
    </rPh>
    <phoneticPr fontId="1"/>
  </si>
  <si>
    <t>17301-43741</t>
    <phoneticPr fontId="1"/>
  </si>
  <si>
    <t>IOX024-120</t>
    <phoneticPr fontId="1"/>
  </si>
  <si>
    <t>17301-43742</t>
    <phoneticPr fontId="1"/>
  </si>
  <si>
    <r>
      <t>24P</t>
    </r>
    <r>
      <rPr>
        <sz val="14"/>
        <rFont val="ＭＳ Ｐゴシック"/>
        <family val="3"/>
        <charset val="128"/>
      </rPr>
      <t>入出力拡張モジュール</t>
    </r>
    <r>
      <rPr>
        <sz val="14"/>
        <rFont val="Arial"/>
        <family val="2"/>
      </rPr>
      <t>(500kbps)</t>
    </r>
    <rPh sb="3" eb="6">
      <t>ニュウシュツリョク</t>
    </rPh>
    <rPh sb="6" eb="8">
      <t>カクチョウ</t>
    </rPh>
    <phoneticPr fontId="1"/>
  </si>
  <si>
    <t>17301-43760</t>
    <phoneticPr fontId="1"/>
  </si>
  <si>
    <t>リレー駆動用モジュール(500kbps)</t>
    <rPh sb="3" eb="6">
      <t>クドウヨウ</t>
    </rPh>
    <phoneticPr fontId="1"/>
  </si>
  <si>
    <t>17301-43510</t>
    <phoneticPr fontId="1"/>
  </si>
  <si>
    <t>GPSキット</t>
    <phoneticPr fontId="1"/>
  </si>
  <si>
    <t>WS-403</t>
    <phoneticPr fontId="1"/>
  </si>
  <si>
    <t>17301-43470</t>
    <phoneticPr fontId="1"/>
  </si>
  <si>
    <t>XL104-0019(Large)</t>
    <phoneticPr fontId="1"/>
  </si>
  <si>
    <t>17301-43480</t>
    <phoneticPr fontId="1"/>
  </si>
  <si>
    <t>XL104-0029(Small)</t>
    <phoneticPr fontId="1"/>
  </si>
  <si>
    <t>17301-43490</t>
    <phoneticPr fontId="1"/>
  </si>
  <si>
    <t>XL104-0000(Full)</t>
    <phoneticPr fontId="1"/>
  </si>
  <si>
    <t>17301-43580</t>
    <phoneticPr fontId="1"/>
  </si>
  <si>
    <t>SC050-120</t>
    <phoneticPr fontId="1"/>
  </si>
  <si>
    <t>50PSafty</t>
    <phoneticPr fontId="1"/>
  </si>
  <si>
    <t>赤字：ＥＣＡＤシンボル有</t>
    <rPh sb="0" eb="2">
      <t>アカジ</t>
    </rPh>
    <rPh sb="11" eb="12">
      <t>アリ</t>
    </rPh>
    <phoneticPr fontId="1"/>
  </si>
  <si>
    <t>コントローラを組立図の部品表のせるときには、品番：機種品番、品名：コントローラAssyとして登録してください。コントローラAssyの子部品は、コントローラ（プログラムなし）+メインプログラム+パラメータファイルが入ります。</t>
    <rPh sb="7" eb="10">
      <t>クミタテズ</t>
    </rPh>
    <rPh sb="11" eb="13">
      <t>ブヒン</t>
    </rPh>
    <rPh sb="13" eb="14">
      <t>ヒョウ</t>
    </rPh>
    <rPh sb="22" eb="24">
      <t>ヒンバン</t>
    </rPh>
    <rPh sb="25" eb="27">
      <t>キシュ</t>
    </rPh>
    <rPh sb="27" eb="29">
      <t>ヒンバン</t>
    </rPh>
    <rPh sb="30" eb="32">
      <t>ヒンメイ</t>
    </rPh>
    <rPh sb="46" eb="48">
      <t>トウロク</t>
    </rPh>
    <rPh sb="66" eb="67">
      <t>コ</t>
    </rPh>
    <rPh sb="67" eb="69">
      <t>ブヒン</t>
    </rPh>
    <rPh sb="106" eb="107">
      <t>ハイ</t>
    </rPh>
    <phoneticPr fontId="1"/>
  </si>
  <si>
    <t>SN</t>
    <phoneticPr fontId="1"/>
  </si>
  <si>
    <t>SN2</t>
    <phoneticPr fontId="1"/>
  </si>
  <si>
    <t>SN3</t>
    <phoneticPr fontId="1"/>
  </si>
  <si>
    <t>SN4</t>
    <phoneticPr fontId="1"/>
  </si>
  <si>
    <t>05542-00026_09</t>
    <phoneticPr fontId="1"/>
  </si>
  <si>
    <t>05542_00027_09</t>
    <phoneticPr fontId="1"/>
  </si>
  <si>
    <t>126000002~126002171</t>
    <phoneticPr fontId="1"/>
  </si>
  <si>
    <t>0554200114v212</t>
    <phoneticPr fontId="1"/>
  </si>
  <si>
    <t>126002172~126002489</t>
    <phoneticPr fontId="1"/>
  </si>
  <si>
    <t>126002490~126003743</t>
    <phoneticPr fontId="1"/>
  </si>
  <si>
    <t>イモビライザ追加</t>
    <rPh sb="6" eb="8">
      <t>ツイカ</t>
    </rPh>
    <phoneticPr fontId="1"/>
  </si>
  <si>
    <t>126003744~</t>
    <phoneticPr fontId="1"/>
  </si>
  <si>
    <t>170000007~170000934</t>
    <phoneticPr fontId="1"/>
  </si>
  <si>
    <t>170000935~</t>
    <phoneticPr fontId="1"/>
  </si>
  <si>
    <t>第2/4サービス同時操作グリップ設定</t>
    <rPh sb="0" eb="1">
      <t>ダイ</t>
    </rPh>
    <rPh sb="8" eb="10">
      <t>ドウジ</t>
    </rPh>
    <rPh sb="10" eb="12">
      <t>ソウサ</t>
    </rPh>
    <rPh sb="16" eb="18">
      <t>セッテイ</t>
    </rPh>
    <phoneticPr fontId="1"/>
  </si>
  <si>
    <t>V3.00</t>
    <phoneticPr fontId="1"/>
  </si>
  <si>
    <t>170003110~</t>
    <phoneticPr fontId="1"/>
  </si>
  <si>
    <t>28500001~,285H0001~</t>
    <phoneticPr fontId="1"/>
  </si>
  <si>
    <t>29050001~,290H0001~</t>
    <phoneticPr fontId="1"/>
  </si>
  <si>
    <t>A14D2</t>
    <phoneticPr fontId="1"/>
  </si>
  <si>
    <t>2.03送付済</t>
    <rPh sb="4" eb="6">
      <t>ソウフ</t>
    </rPh>
    <rPh sb="6" eb="7">
      <t>ズ</t>
    </rPh>
    <phoneticPr fontId="1"/>
  </si>
  <si>
    <t>No.48258にてD2とD3を統一</t>
    <rPh sb="16" eb="18">
      <t>トウイツ</t>
    </rPh>
    <phoneticPr fontId="1"/>
  </si>
  <si>
    <t>draft</t>
    <phoneticPr fontId="1"/>
  </si>
  <si>
    <t>190100003~190100516</t>
    <phoneticPr fontId="1"/>
  </si>
  <si>
    <t>190100517~</t>
    <phoneticPr fontId="1"/>
  </si>
  <si>
    <t>05642-00261</t>
    <phoneticPr fontId="1"/>
  </si>
  <si>
    <t>新規設定プログラム無し</t>
    <rPh sb="0" eb="2">
      <t>シンキ</t>
    </rPh>
    <rPh sb="2" eb="4">
      <t>セッテイ</t>
    </rPh>
    <rPh sb="9" eb="10">
      <t>ナ</t>
    </rPh>
    <phoneticPr fontId="1"/>
  </si>
  <si>
    <t>190100003~</t>
    <phoneticPr fontId="1"/>
  </si>
  <si>
    <t>05642-00263</t>
    <phoneticPr fontId="1"/>
  </si>
  <si>
    <t>←品番見つからない(GPSが出てくる)</t>
  </si>
  <si>
    <t>190300003~190300281</t>
    <phoneticPr fontId="1"/>
  </si>
  <si>
    <t>(A14GW)190300282~190300927</t>
    <phoneticPr fontId="1"/>
  </si>
  <si>
    <t>(A14HW)190400002~190400355</t>
    <phoneticPr fontId="1"/>
  </si>
  <si>
    <t>(A14GW)190300928~190301186</t>
    <phoneticPr fontId="1"/>
  </si>
  <si>
    <t>(A14HW)190400356~190400617</t>
    <phoneticPr fontId="1"/>
  </si>
  <si>
    <t>(A14GW)190301187~</t>
    <phoneticPr fontId="1"/>
  </si>
  <si>
    <t>(A14HW)190400618~</t>
    <phoneticPr fontId="1"/>
  </si>
  <si>
    <t>(A14GW)190301224~</t>
    <phoneticPr fontId="1"/>
  </si>
  <si>
    <t>(A14HW)190400904~</t>
    <phoneticPr fontId="1"/>
  </si>
  <si>
    <t>(A14H)190200001~190200671</t>
    <phoneticPr fontId="1"/>
  </si>
  <si>
    <t>(A14I)185100001-185103969</t>
    <phoneticPr fontId="1"/>
  </si>
  <si>
    <t>(A14I)(For HUPPEN)185100001-185103839</t>
    <phoneticPr fontId="1"/>
  </si>
  <si>
    <t>(A14I)(For HUPPEN)185103840-185108675</t>
    <phoneticPr fontId="1"/>
  </si>
  <si>
    <t>(A14H)190200672~</t>
    <phoneticPr fontId="1"/>
  </si>
  <si>
    <t>(A14I)185103970-185107311</t>
    <phoneticPr fontId="1"/>
  </si>
  <si>
    <t>05642-00015と互換性あり</t>
    <rPh sb="12" eb="15">
      <t>ゴカンセイ</t>
    </rPh>
    <phoneticPr fontId="1"/>
  </si>
  <si>
    <t>(A14I)185107312-185108675</t>
    <phoneticPr fontId="1"/>
  </si>
  <si>
    <t>18510844,185108550,185108676-</t>
    <phoneticPr fontId="1"/>
  </si>
  <si>
    <t>(A14H)アフターパーツ用</t>
    <rPh sb="13" eb="14">
      <t>ヨウ</t>
    </rPh>
    <phoneticPr fontId="1"/>
  </si>
  <si>
    <t>(A14I)アフターパーツ用</t>
    <rPh sb="13" eb="14">
      <t>ヨウ</t>
    </rPh>
    <phoneticPr fontId="1"/>
  </si>
  <si>
    <t>190500001~190502294</t>
    <phoneticPr fontId="1"/>
  </si>
  <si>
    <t>190502295~</t>
    <phoneticPr fontId="1"/>
  </si>
  <si>
    <t>514400054~514400212</t>
    <phoneticPr fontId="1"/>
  </si>
  <si>
    <t>514400213~</t>
    <phoneticPr fontId="1"/>
  </si>
  <si>
    <t>514400229~</t>
    <phoneticPr fontId="1"/>
  </si>
  <si>
    <t>(US)514400001~514400212</t>
    <phoneticPr fontId="1"/>
  </si>
  <si>
    <t>(EU)514400001~514400053</t>
    <phoneticPr fontId="1"/>
  </si>
  <si>
    <t>514500002~514500041</t>
    <phoneticPr fontId="1"/>
  </si>
  <si>
    <t>514500042~</t>
    <phoneticPr fontId="1"/>
  </si>
  <si>
    <t>514600003~514600252</t>
    <phoneticPr fontId="1"/>
  </si>
  <si>
    <t>A27A(514800002~514800337)</t>
    <phoneticPr fontId="1"/>
  </si>
  <si>
    <t>A27B(STD/Low noise package)(514900004~514900157)</t>
    <phoneticPr fontId="1"/>
  </si>
  <si>
    <t>A25F(514600253~514600491)</t>
    <phoneticPr fontId="1"/>
  </si>
  <si>
    <t>A25G(STD/Low noise package)(514700002~514700115)</t>
    <phoneticPr fontId="1"/>
  </si>
  <si>
    <t>A27A(514800338~514800371)</t>
    <phoneticPr fontId="1"/>
  </si>
  <si>
    <t>A27B(STD/Low noise package)(514900158~514900192)</t>
    <phoneticPr fontId="1"/>
  </si>
  <si>
    <t>A25F(514600492~514600514)</t>
  </si>
  <si>
    <t>A25G(STD/Low noise package)(514700116~514700138)</t>
    <phoneticPr fontId="1"/>
  </si>
  <si>
    <t>A27A(514800372~514800388)</t>
    <phoneticPr fontId="1"/>
  </si>
  <si>
    <t>A27B(STD/Low noise package)(514900193~514900200)</t>
    <phoneticPr fontId="1"/>
  </si>
  <si>
    <t>A25F(514600515~514600524)</t>
    <phoneticPr fontId="1"/>
  </si>
  <si>
    <t>A25G(STD/Low noise package)(514700139~514700141)</t>
    <phoneticPr fontId="1"/>
  </si>
  <si>
    <t>A27A(514800389~514800501)</t>
    <phoneticPr fontId="1"/>
  </si>
  <si>
    <t>A27B(STD/Low noise package)(514900201~514900330)</t>
    <phoneticPr fontId="1"/>
  </si>
  <si>
    <t>A25F(514600525~514600635)</t>
    <phoneticPr fontId="1"/>
  </si>
  <si>
    <t>A25G(STD/Low noise package)(514700142~514700248)</t>
    <phoneticPr fontId="1"/>
  </si>
  <si>
    <t>A27A(514800502~514800666)</t>
    <phoneticPr fontId="1"/>
  </si>
  <si>
    <t>A27B(STD/Low noise package)(514900331~514900458)</t>
    <phoneticPr fontId="1"/>
  </si>
  <si>
    <t>A25F(514600636~514600815)</t>
    <phoneticPr fontId="1"/>
  </si>
  <si>
    <t>A25G(STD/Low noise package)(514700249~514700392)</t>
    <phoneticPr fontId="1"/>
  </si>
  <si>
    <t>(A4E)122500005~</t>
    <phoneticPr fontId="1"/>
  </si>
  <si>
    <t>(A4F)122600003~</t>
    <phoneticPr fontId="1"/>
  </si>
  <si>
    <t>(J4B)123100005~</t>
    <phoneticPr fontId="1"/>
  </si>
  <si>
    <t>クレーン専用品</t>
    <rPh sb="4" eb="6">
      <t>センヨウ</t>
    </rPh>
    <rPh sb="6" eb="7">
      <t>ヒン</t>
    </rPh>
    <phoneticPr fontId="1"/>
  </si>
  <si>
    <t>(A5F)(130003062~130005587)</t>
    <phoneticPr fontId="1"/>
  </si>
  <si>
    <t>(A7F)(124101013~124101736)</t>
    <phoneticPr fontId="1"/>
  </si>
  <si>
    <t>(A7G)(124002959~124004336)</t>
  </si>
  <si>
    <t>(A12B)(126102094~126103815)</t>
    <phoneticPr fontId="1"/>
  </si>
  <si>
    <t>(A5F)(130000001~130003061)</t>
    <phoneticPr fontId="1"/>
  </si>
  <si>
    <t>(A7F)(124100001~124101012)</t>
    <phoneticPr fontId="1"/>
  </si>
  <si>
    <t>(A7G)(124000001~124002958)</t>
    <phoneticPr fontId="1"/>
  </si>
  <si>
    <t>(A12B)(126100001~126102377)</t>
    <phoneticPr fontId="1"/>
  </si>
  <si>
    <t>(A5F)(130005588~)</t>
    <phoneticPr fontId="1"/>
  </si>
  <si>
    <t>(A7F)(124101737~)</t>
    <phoneticPr fontId="1"/>
  </si>
  <si>
    <t>(A7G)(124004337~)</t>
    <phoneticPr fontId="1"/>
  </si>
  <si>
    <t>(A12B)(126103816-126107153)</t>
    <phoneticPr fontId="1"/>
  </si>
  <si>
    <t>(A5F)(-)</t>
    <phoneticPr fontId="1"/>
  </si>
  <si>
    <t>(A7F)(-)</t>
    <phoneticPr fontId="1"/>
  </si>
  <si>
    <t>(A7G)(-)</t>
    <phoneticPr fontId="1"/>
  </si>
  <si>
    <t>A12B(126100003~126102093)</t>
    <phoneticPr fontId="1"/>
  </si>
  <si>
    <t>A12B(126102094~126103815)</t>
    <phoneticPr fontId="1"/>
  </si>
  <si>
    <t>A12B(126107154~)</t>
    <phoneticPr fontId="1"/>
  </si>
  <si>
    <t>A6E(12360001~)</t>
    <phoneticPr fontId="1"/>
  </si>
  <si>
    <t>A9F(125100001~)</t>
    <phoneticPr fontId="1"/>
  </si>
  <si>
    <t>305400002~</t>
    <phoneticPr fontId="1"/>
  </si>
  <si>
    <t>158400007~</t>
    <phoneticPr fontId="1"/>
  </si>
  <si>
    <t>178500002~178500691</t>
    <phoneticPr fontId="1"/>
  </si>
  <si>
    <t>178500692~178501381</t>
    <phoneticPr fontId="1"/>
  </si>
  <si>
    <t>178500837~178501374</t>
    <phoneticPr fontId="1"/>
  </si>
  <si>
    <t>(アフターパーツ用)</t>
    <rPh sb="8" eb="9">
      <t>ヨウ</t>
    </rPh>
    <phoneticPr fontId="1"/>
  </si>
  <si>
    <t>178501382~</t>
    <phoneticPr fontId="1"/>
  </si>
  <si>
    <t>178500001~178500836</t>
    <phoneticPr fontId="1"/>
  </si>
  <si>
    <t>(J10B)150200001~</t>
    <phoneticPr fontId="1"/>
  </si>
  <si>
    <t>406000005~406001563</t>
    <phoneticPr fontId="1"/>
  </si>
  <si>
    <t>(L5E)406001564~</t>
    <phoneticPr fontId="1"/>
  </si>
  <si>
    <t>(L5E2)406100001~</t>
    <phoneticPr fontId="1"/>
  </si>
  <si>
    <t>200805333~</t>
    <phoneticPr fontId="1"/>
  </si>
  <si>
    <t>(L6E2)200900001~</t>
    <phoneticPr fontId="1"/>
  </si>
  <si>
    <t>(L6E)200800002~200805332</t>
    <phoneticPr fontId="1"/>
  </si>
  <si>
    <t>(L8C)201000002~</t>
    <phoneticPr fontId="1"/>
  </si>
  <si>
    <t>(L9C)201200003~201202500</t>
    <phoneticPr fontId="1"/>
  </si>
  <si>
    <t>201202501~</t>
    <phoneticPr fontId="1"/>
  </si>
  <si>
    <t>(保用部品対応)</t>
    <rPh sb="1" eb="2">
      <t>タモツ</t>
    </rPh>
    <rPh sb="2" eb="3">
      <t>ヨウ</t>
    </rPh>
    <rPh sb="3" eb="5">
      <t>ブヒン</t>
    </rPh>
    <rPh sb="5" eb="7">
      <t>タイオウ</t>
    </rPh>
    <phoneticPr fontId="1"/>
  </si>
  <si>
    <t>408000006~</t>
    <phoneticPr fontId="1"/>
  </si>
  <si>
    <t>(L9EV)SN412000006~412000925</t>
    <phoneticPr fontId="1"/>
  </si>
  <si>
    <t>(L9EV)SN412000926~412002048</t>
    <phoneticPr fontId="1"/>
  </si>
  <si>
    <t>(L9ER)SN412100002~412101745</t>
    <phoneticPr fontId="1"/>
  </si>
  <si>
    <t>(L8EV)SN410000003~410002544</t>
    <phoneticPr fontId="1"/>
  </si>
  <si>
    <t>L9ER共通化/Active power control オフ時の制御を廃止</t>
    <rPh sb="4" eb="7">
      <t>キョウツウカ</t>
    </rPh>
    <phoneticPr fontId="1"/>
  </si>
  <si>
    <t>(L9EV)SN412002049~ (L9EV2)SN412200001~</t>
    <phoneticPr fontId="1"/>
  </si>
  <si>
    <t>(L9ER)SN412101746~ (L9ER2)SN412300001~</t>
    <phoneticPr fontId="1"/>
  </si>
  <si>
    <t xml:space="preserve"> (L8EV)SN410002545~410005238 (L8EV2)SN410100001~410100196</t>
    <phoneticPr fontId="1"/>
  </si>
  <si>
    <t>組図変更</t>
    <rPh sb="0" eb="2">
      <t>クミズ</t>
    </rPh>
    <rPh sb="2" eb="4">
      <t>ヘンコウ</t>
    </rPh>
    <phoneticPr fontId="1"/>
  </si>
  <si>
    <t>(L9EV)SN412000006~  (L9EV2)SN412200001~</t>
    <phoneticPr fontId="1"/>
  </si>
  <si>
    <t>(L9ER)SN412100002~  (L9ER2)SN412300001~</t>
    <phoneticPr fontId="1"/>
  </si>
  <si>
    <t>(L8EV)SN410000003~410005238   (L8EV2)SN410100001~410100196</t>
    <phoneticPr fontId="1"/>
  </si>
  <si>
    <t>(L8EV)SN410005239~</t>
    <phoneticPr fontId="1"/>
  </si>
  <si>
    <t>(L8EV2)SN410100197~</t>
    <phoneticPr fontId="1"/>
  </si>
  <si>
    <t xml:space="preserve">(L8EV)SN410005239~ </t>
    <phoneticPr fontId="1"/>
  </si>
  <si>
    <t>(L8EV)SN410000003~</t>
  </si>
  <si>
    <t>195000005~</t>
    <phoneticPr fontId="1"/>
  </si>
  <si>
    <t>195001139~</t>
    <phoneticPr fontId="1"/>
  </si>
  <si>
    <t>A14IW共通品</t>
    <rPh sb="5" eb="7">
      <t>キョウツウ</t>
    </rPh>
    <rPh sb="7" eb="8">
      <t>ヒン</t>
    </rPh>
    <phoneticPr fontId="1"/>
  </si>
  <si>
    <t xml:space="preserve">
</t>
    <phoneticPr fontId="1"/>
  </si>
  <si>
    <t>05742-00359</t>
  </si>
  <si>
    <t>A5F</t>
    <phoneticPr fontId="1"/>
  </si>
  <si>
    <t>A7F</t>
    <phoneticPr fontId="1"/>
  </si>
  <si>
    <t>A25F</t>
    <phoneticPr fontId="1"/>
  </si>
  <si>
    <t>A25G</t>
  </si>
  <si>
    <t>A25G</t>
    <phoneticPr fontId="1"/>
  </si>
  <si>
    <t>A27B</t>
  </si>
  <si>
    <t>A27B</t>
    <phoneticPr fontId="1"/>
  </si>
  <si>
    <t>L8EV</t>
    <phoneticPr fontId="1"/>
  </si>
  <si>
    <t>L9EV</t>
    <phoneticPr fontId="1"/>
  </si>
  <si>
    <t>A14GW</t>
  </si>
  <si>
    <t>A14GW</t>
    <phoneticPr fontId="1"/>
  </si>
  <si>
    <t>A14I</t>
    <phoneticPr fontId="1"/>
  </si>
  <si>
    <t>L5E</t>
  </si>
  <si>
    <t>L5E</t>
    <phoneticPr fontId="1"/>
  </si>
  <si>
    <t>A14H</t>
    <phoneticPr fontId="1"/>
  </si>
  <si>
    <t>A6E</t>
  </si>
  <si>
    <t>A6E</t>
    <phoneticPr fontId="1"/>
  </si>
  <si>
    <t>A12B</t>
    <phoneticPr fontId="1"/>
  </si>
  <si>
    <t>L6E</t>
    <phoneticPr fontId="1"/>
  </si>
  <si>
    <t>F14F</t>
    <phoneticPr fontId="1"/>
  </si>
  <si>
    <t>A27A</t>
  </si>
  <si>
    <t>適用号機で00019と00290のどちらの
コントローラを使用しているか
分からなかった為、両方で記載</t>
    <phoneticPr fontId="1"/>
  </si>
  <si>
    <t>A7F</t>
    <phoneticPr fontId="1"/>
  </si>
  <si>
    <t>A5F</t>
    <phoneticPr fontId="1"/>
  </si>
  <si>
    <t>A7G</t>
    <phoneticPr fontId="1"/>
  </si>
  <si>
    <t>A14D-2</t>
    <phoneticPr fontId="1"/>
  </si>
  <si>
    <t>適用号機で00143と00147のどちらのコントローラを使用しているか分からなかった為、両方で記載</t>
    <rPh sb="0" eb="2">
      <t>テキヨウ</t>
    </rPh>
    <rPh sb="2" eb="4">
      <t>ゴウキ</t>
    </rPh>
    <rPh sb="28" eb="30">
      <t>シヨウ</t>
    </rPh>
    <rPh sb="35" eb="36">
      <t>ワ</t>
    </rPh>
    <rPh sb="42" eb="43">
      <t>タメ</t>
    </rPh>
    <rPh sb="44" eb="46">
      <t>リョウホウ</t>
    </rPh>
    <rPh sb="47" eb="49">
      <t>キサイ</t>
    </rPh>
    <phoneticPr fontId="1"/>
  </si>
  <si>
    <t>適用号機で00372と00417のどちらのコントローラを使用しているか分からなかった為、両方で記載</t>
    <rPh sb="0" eb="2">
      <t>テキヨウ</t>
    </rPh>
    <rPh sb="2" eb="4">
      <t>ゴウキ</t>
    </rPh>
    <rPh sb="28" eb="30">
      <t>シヨウ</t>
    </rPh>
    <rPh sb="35" eb="36">
      <t>ワ</t>
    </rPh>
    <rPh sb="42" eb="43">
      <t>タメ</t>
    </rPh>
    <rPh sb="44" eb="46">
      <t>リョウホウ</t>
    </rPh>
    <rPh sb="47" eb="49">
      <t>キサイ</t>
    </rPh>
    <phoneticPr fontId="1"/>
  </si>
  <si>
    <t>適用号機で00020,00143.00147のどちらのコントローラを使用しているか
分からなかった為、両方で記載</t>
    <phoneticPr fontId="1"/>
  </si>
  <si>
    <t>A27A</t>
    <phoneticPr fontId="1"/>
  </si>
  <si>
    <t>A5F</t>
    <phoneticPr fontId="1"/>
  </si>
  <si>
    <t>A6E</t>
    <phoneticPr fontId="1"/>
  </si>
  <si>
    <t>A14FW</t>
    <phoneticPr fontId="1"/>
  </si>
  <si>
    <t>L9EV</t>
    <phoneticPr fontId="1"/>
  </si>
  <si>
    <t>A14H</t>
    <phoneticPr fontId="1"/>
  </si>
  <si>
    <t>L5E2</t>
  </si>
  <si>
    <t>C9-4</t>
    <phoneticPr fontId="1"/>
  </si>
  <si>
    <t>A9F</t>
  </si>
  <si>
    <t>A14HW</t>
    <phoneticPr fontId="1"/>
  </si>
  <si>
    <t>A5F</t>
    <phoneticPr fontId="1"/>
  </si>
  <si>
    <t>L5E</t>
    <phoneticPr fontId="1"/>
  </si>
  <si>
    <t>A12B</t>
    <phoneticPr fontId="1"/>
  </si>
  <si>
    <t>A14H</t>
    <phoneticPr fontId="1"/>
  </si>
  <si>
    <t>L9EV2</t>
    <phoneticPr fontId="1"/>
  </si>
  <si>
    <t>A25F</t>
    <phoneticPr fontId="1"/>
  </si>
  <si>
    <t>A27A</t>
    <phoneticPr fontId="1"/>
  </si>
  <si>
    <t>A27B</t>
    <phoneticPr fontId="1"/>
  </si>
  <si>
    <t>L9C</t>
    <phoneticPr fontId="1"/>
  </si>
  <si>
    <t>A14H</t>
    <phoneticPr fontId="1"/>
  </si>
  <si>
    <t>A14I</t>
    <phoneticPr fontId="1"/>
  </si>
  <si>
    <t>L5E</t>
    <phoneticPr fontId="1"/>
  </si>
  <si>
    <t>A12B</t>
    <phoneticPr fontId="1"/>
  </si>
  <si>
    <t>A13A</t>
    <phoneticPr fontId="1"/>
  </si>
  <si>
    <t>A14HW</t>
  </si>
  <si>
    <t>A14HW</t>
    <phoneticPr fontId="1"/>
  </si>
  <si>
    <t>C9-4</t>
    <phoneticPr fontId="1"/>
  </si>
  <si>
    <t>00019と00290でどちらのクラスタ
を使用しているか分からなかったため、
両方で記載</t>
    <rPh sb="22" eb="24">
      <t>シヨウ</t>
    </rPh>
    <rPh sb="29" eb="30">
      <t>ワ</t>
    </rPh>
    <rPh sb="40" eb="42">
      <t>リョウホウ</t>
    </rPh>
    <rPh sb="43" eb="45">
      <t>キサイ</t>
    </rPh>
    <phoneticPr fontId="1"/>
  </si>
  <si>
    <t>A5F</t>
    <phoneticPr fontId="1"/>
  </si>
  <si>
    <t>L6E</t>
    <phoneticPr fontId="1"/>
  </si>
  <si>
    <t>A7G</t>
    <phoneticPr fontId="1"/>
  </si>
  <si>
    <t>A9F</t>
    <phoneticPr fontId="1"/>
  </si>
  <si>
    <t>F14F</t>
    <phoneticPr fontId="1"/>
  </si>
  <si>
    <t>L8EV</t>
    <phoneticPr fontId="1"/>
  </si>
  <si>
    <t>A7F</t>
    <phoneticPr fontId="1"/>
  </si>
  <si>
    <t>L8EV2</t>
    <phoneticPr fontId="1"/>
  </si>
  <si>
    <t>A9D</t>
    <phoneticPr fontId="1"/>
  </si>
  <si>
    <t>A25D</t>
  </si>
  <si>
    <t>A11D-2</t>
  </si>
  <si>
    <t>A14D-1</t>
  </si>
  <si>
    <t>F10E</t>
    <phoneticPr fontId="1"/>
  </si>
  <si>
    <t>05542-00173</t>
  </si>
  <si>
    <t>A12A</t>
    <phoneticPr fontId="1"/>
  </si>
  <si>
    <t>A7F</t>
    <phoneticPr fontId="1"/>
  </si>
  <si>
    <t xml:space="preserve">A7G	</t>
    <phoneticPr fontId="1"/>
  </si>
  <si>
    <t>A12B</t>
    <phoneticPr fontId="1"/>
  </si>
  <si>
    <t>F10E</t>
  </si>
  <si>
    <t>A14J</t>
  </si>
  <si>
    <t>L6F</t>
  </si>
  <si>
    <t>00372、00417、00483、00455でどの
コントローラが使用しているか分からなかったため
全てで記載</t>
    <rPh sb="34" eb="36">
      <t>シヨウ</t>
    </rPh>
    <rPh sb="41" eb="42">
      <t>ワ</t>
    </rPh>
    <rPh sb="51" eb="52">
      <t>スベ</t>
    </rPh>
    <rPh sb="54" eb="56">
      <t>キサイ</t>
    </rPh>
    <phoneticPr fontId="1"/>
  </si>
  <si>
    <t>A5F</t>
    <phoneticPr fontId="1"/>
  </si>
  <si>
    <t>00417と00573でどちらのクラスタ
を使用しているか分からなかったため、
両方で記載</t>
    <phoneticPr fontId="1"/>
  </si>
  <si>
    <t>A25F</t>
    <phoneticPr fontId="1"/>
  </si>
  <si>
    <t>A25G</t>
    <phoneticPr fontId="1"/>
  </si>
  <si>
    <t>L8EV</t>
    <phoneticPr fontId="1"/>
  </si>
  <si>
    <t>L5E</t>
    <phoneticPr fontId="1"/>
  </si>
  <si>
    <t>L6F</t>
    <phoneticPr fontId="1"/>
  </si>
  <si>
    <t>L9EV2</t>
    <phoneticPr fontId="1"/>
  </si>
  <si>
    <t>J7B</t>
    <phoneticPr fontId="1"/>
  </si>
  <si>
    <t>L5E2</t>
    <phoneticPr fontId="1"/>
  </si>
  <si>
    <t>00076と00132でどちらのコントローラ
を使用しているか分からなかったため、
両方で記載</t>
    <phoneticPr fontId="1"/>
  </si>
  <si>
    <t>E3F</t>
    <phoneticPr fontId="1"/>
  </si>
  <si>
    <t>C9-4</t>
    <phoneticPr fontId="1"/>
  </si>
  <si>
    <t xml:space="preserve">C10-4	</t>
    <phoneticPr fontId="1"/>
  </si>
  <si>
    <t>A14HW</t>
    <phoneticPr fontId="1"/>
  </si>
  <si>
    <t xml:space="preserve">A14GW	</t>
    <phoneticPr fontId="1"/>
  </si>
  <si>
    <t>A14I</t>
    <phoneticPr fontId="1"/>
  </si>
  <si>
    <t>A14FW</t>
    <phoneticPr fontId="1"/>
  </si>
  <si>
    <t>17301-43664</t>
  </si>
  <si>
    <t>17301-43665</t>
  </si>
  <si>
    <t>L9EV</t>
    <phoneticPr fontId="1"/>
  </si>
  <si>
    <t>A27A</t>
    <phoneticPr fontId="1"/>
  </si>
  <si>
    <t>A27B</t>
    <phoneticPr fontId="1"/>
  </si>
  <si>
    <t>J4B</t>
    <phoneticPr fontId="1"/>
  </si>
  <si>
    <t>A4E</t>
    <phoneticPr fontId="1"/>
  </si>
  <si>
    <t>A5F</t>
    <phoneticPr fontId="1"/>
  </si>
  <si>
    <t>A12B</t>
    <phoneticPr fontId="1"/>
  </si>
  <si>
    <t>A13A</t>
    <phoneticPr fontId="1"/>
  </si>
  <si>
    <t>A12A</t>
    <phoneticPr fontId="1"/>
  </si>
  <si>
    <t>A14HW</t>
    <phoneticPr fontId="1"/>
  </si>
  <si>
    <t>E3F</t>
    <phoneticPr fontId="1"/>
  </si>
  <si>
    <t>F10E</t>
    <phoneticPr fontId="1"/>
  </si>
  <si>
    <t>L9EV</t>
    <phoneticPr fontId="1"/>
  </si>
  <si>
    <t>L9EV2</t>
    <phoneticPr fontId="1"/>
  </si>
  <si>
    <t>00019, 00290, 00371のどのコントローラを使用しているか分からなかった為全て記載</t>
    <rPh sb="29" eb="31">
      <t>シヨウ</t>
    </rPh>
    <rPh sb="36" eb="37">
      <t>ワ</t>
    </rPh>
    <rPh sb="43" eb="44">
      <t>タメ</t>
    </rPh>
    <rPh sb="44" eb="45">
      <t>スベ</t>
    </rPh>
    <rPh sb="46" eb="48">
      <t>キサイ</t>
    </rPh>
    <phoneticPr fontId="1"/>
  </si>
  <si>
    <t>A14I</t>
    <phoneticPr fontId="1"/>
  </si>
  <si>
    <t>A14H</t>
    <phoneticPr fontId="1"/>
  </si>
  <si>
    <t>J4B</t>
    <phoneticPr fontId="1"/>
  </si>
  <si>
    <t>A4E</t>
    <phoneticPr fontId="1"/>
  </si>
  <si>
    <t xml:space="preserve">A25G	</t>
    <phoneticPr fontId="1"/>
  </si>
  <si>
    <t>A27A</t>
    <phoneticPr fontId="1"/>
  </si>
  <si>
    <t>A27B</t>
    <phoneticPr fontId="1"/>
  </si>
  <si>
    <t xml:space="preserve">A14GW	</t>
    <phoneticPr fontId="1"/>
  </si>
  <si>
    <t>A14I</t>
    <phoneticPr fontId="1"/>
  </si>
  <si>
    <t>L8EV2</t>
    <phoneticPr fontId="1"/>
  </si>
  <si>
    <t>00230と００２３４のどちらのクラスタが使用されているか分からなかった為両方で記載</t>
    <rPh sb="21" eb="23">
      <t>シヨウ</t>
    </rPh>
    <rPh sb="29" eb="30">
      <t>ワ</t>
    </rPh>
    <rPh sb="36" eb="37">
      <t>タメ</t>
    </rPh>
    <rPh sb="37" eb="39">
      <t>リョウホウ</t>
    </rPh>
    <rPh sb="40" eb="42">
      <t>キサイ</t>
    </rPh>
    <phoneticPr fontId="1"/>
  </si>
  <si>
    <t>L8EV</t>
    <phoneticPr fontId="1"/>
  </si>
  <si>
    <t>L9EV</t>
    <phoneticPr fontId="1"/>
  </si>
  <si>
    <t>00371と００２３0のどちらのクラスタが使用されているか分からなかった為両方で記載</t>
    <rPh sb="21" eb="23">
      <t>シヨウ</t>
    </rPh>
    <rPh sb="29" eb="30">
      <t>ワ</t>
    </rPh>
    <rPh sb="36" eb="37">
      <t>タメ</t>
    </rPh>
    <rPh sb="37" eb="39">
      <t>リョウホウ</t>
    </rPh>
    <rPh sb="40" eb="42">
      <t>キサイ</t>
    </rPh>
    <phoneticPr fontId="1"/>
  </si>
  <si>
    <t>A14GW</t>
    <phoneticPr fontId="1"/>
  </si>
  <si>
    <t>A13A</t>
    <phoneticPr fontId="1"/>
  </si>
  <si>
    <t>00483と00602でどのコントローラが使用されているか分からなかった為両方で記載</t>
    <rPh sb="21" eb="23">
      <t>シヨウ</t>
    </rPh>
    <rPh sb="29" eb="30">
      <t>ワ</t>
    </rPh>
    <rPh sb="36" eb="37">
      <t>タメ</t>
    </rPh>
    <rPh sb="37" eb="39">
      <t>リョウホウ</t>
    </rPh>
    <rPh sb="40" eb="42">
      <t>キサイ</t>
    </rPh>
    <phoneticPr fontId="1"/>
  </si>
  <si>
    <t>A7G</t>
    <phoneticPr fontId="1"/>
  </si>
  <si>
    <t>F10E</t>
    <phoneticPr fontId="1"/>
  </si>
  <si>
    <t>F14F</t>
    <phoneticPr fontId="1"/>
  </si>
  <si>
    <t>A25F</t>
    <phoneticPr fontId="1"/>
  </si>
  <si>
    <t>L6F</t>
    <phoneticPr fontId="1"/>
  </si>
  <si>
    <t>A14J</t>
    <phoneticPr fontId="1"/>
  </si>
  <si>
    <t>A12A</t>
    <phoneticPr fontId="1"/>
  </si>
  <si>
    <t>L9ER2</t>
    <phoneticPr fontId="1"/>
  </si>
  <si>
    <t>L9EV</t>
    <phoneticPr fontId="1"/>
  </si>
  <si>
    <t>J10B</t>
    <phoneticPr fontId="1"/>
  </si>
  <si>
    <t>A27B</t>
    <phoneticPr fontId="1"/>
  </si>
  <si>
    <t>A14FW</t>
    <phoneticPr fontId="1"/>
  </si>
  <si>
    <t>A4E</t>
    <phoneticPr fontId="1"/>
  </si>
  <si>
    <t>J4B</t>
    <phoneticPr fontId="1"/>
  </si>
  <si>
    <t>A7F</t>
    <phoneticPr fontId="1"/>
  </si>
  <si>
    <t>区分</t>
    <rPh sb="0" eb="2">
      <t>クブン</t>
    </rPh>
    <phoneticPr fontId="1"/>
  </si>
  <si>
    <t>試作</t>
    <rPh sb="0" eb="2">
      <t>シサク</t>
    </rPh>
    <phoneticPr fontId="1"/>
  </si>
  <si>
    <t>L6E</t>
    <phoneticPr fontId="1"/>
  </si>
  <si>
    <t>L8C</t>
    <phoneticPr fontId="1"/>
  </si>
  <si>
    <t>備考</t>
    <rPh sb="0" eb="2">
      <t>ビコウ</t>
    </rPh>
    <phoneticPr fontId="1"/>
  </si>
  <si>
    <t>L8EV2</t>
    <phoneticPr fontId="1"/>
  </si>
  <si>
    <t>A14IW</t>
    <phoneticPr fontId="1"/>
  </si>
  <si>
    <t>A13AW</t>
    <phoneticPr fontId="1"/>
  </si>
  <si>
    <t>F14F</t>
    <phoneticPr fontId="1"/>
  </si>
  <si>
    <t>E2F</t>
    <phoneticPr fontId="1"/>
  </si>
  <si>
    <t>J7B</t>
    <phoneticPr fontId="1"/>
  </si>
  <si>
    <t>L5E2</t>
    <phoneticPr fontId="1"/>
  </si>
  <si>
    <t>A25F</t>
    <phoneticPr fontId="1"/>
  </si>
  <si>
    <t>A25G</t>
    <phoneticPr fontId="1"/>
  </si>
  <si>
    <t>A27A</t>
    <phoneticPr fontId="1"/>
  </si>
  <si>
    <t>号機は生産管理備考参照</t>
    <rPh sb="0" eb="2">
      <t>ゴウキ</t>
    </rPh>
    <rPh sb="3" eb="5">
      <t>セイサン</t>
    </rPh>
    <rPh sb="5" eb="7">
      <t>カンリ</t>
    </rPh>
    <rPh sb="7" eb="9">
      <t>ビコウ</t>
    </rPh>
    <rPh sb="9" eb="11">
      <t>サンショウ</t>
    </rPh>
    <phoneticPr fontId="1"/>
  </si>
  <si>
    <t>L85G</t>
    <phoneticPr fontId="1"/>
  </si>
  <si>
    <t>A13A</t>
    <phoneticPr fontId="1"/>
  </si>
  <si>
    <t>A14IW</t>
    <phoneticPr fontId="1"/>
  </si>
  <si>
    <t>A13AW</t>
    <phoneticPr fontId="1"/>
  </si>
  <si>
    <t>試作</t>
    <rPh sb="0" eb="2">
      <t>シサク</t>
    </rPh>
    <phoneticPr fontId="1"/>
  </si>
  <si>
    <t>A13A</t>
    <phoneticPr fontId="1"/>
  </si>
  <si>
    <t>A13AW</t>
    <phoneticPr fontId="1"/>
  </si>
  <si>
    <t>d27</t>
    <phoneticPr fontId="1"/>
  </si>
  <si>
    <t>05642-00075</t>
    <phoneticPr fontId="1"/>
  </si>
  <si>
    <t>V6.xx</t>
    <phoneticPr fontId="1"/>
  </si>
  <si>
    <t>エンジンECU変更</t>
    <rPh sb="7" eb="9">
      <t>ヘンコウ</t>
    </rPh>
    <phoneticPr fontId="1"/>
  </si>
  <si>
    <r>
      <t>A27A(514800667~</t>
    </r>
    <r>
      <rPr>
        <sz val="14"/>
        <rFont val="ＭＳ Ｐゴシック"/>
        <family val="3"/>
        <charset val="128"/>
      </rPr>
      <t>514800785</t>
    </r>
    <r>
      <rPr>
        <sz val="14"/>
        <rFont val="Arial Unicode MS"/>
        <family val="3"/>
        <charset val="128"/>
      </rPr>
      <t>)</t>
    </r>
    <phoneticPr fontId="1"/>
  </si>
  <si>
    <r>
      <t>A27B(STD/Low noise package)(514900459~</t>
    </r>
    <r>
      <rPr>
        <sz val="14"/>
        <rFont val="ＭＳ Ｐゴシック"/>
        <family val="3"/>
        <charset val="128"/>
      </rPr>
      <t>514901832</t>
    </r>
    <r>
      <rPr>
        <sz val="14"/>
        <rFont val="Arial Unicode MS"/>
        <family val="3"/>
        <charset val="128"/>
      </rPr>
      <t>)</t>
    </r>
    <phoneticPr fontId="1"/>
  </si>
  <si>
    <r>
      <t xml:space="preserve"> A25F(514600816~</t>
    </r>
    <r>
      <rPr>
        <sz val="14"/>
        <rFont val="ＭＳ Ｐゴシック"/>
        <family val="3"/>
        <charset val="128"/>
      </rPr>
      <t>514601413</t>
    </r>
    <r>
      <rPr>
        <sz val="14"/>
        <rFont val="Arial Unicode MS"/>
        <family val="3"/>
        <charset val="128"/>
      </rPr>
      <t>)</t>
    </r>
    <phoneticPr fontId="1"/>
  </si>
  <si>
    <r>
      <t>A25G(STD/Low noise package)(514700393~</t>
    </r>
    <r>
      <rPr>
        <sz val="14"/>
        <rFont val="ＭＳ Ｐゴシック"/>
        <family val="3"/>
        <charset val="128"/>
      </rPr>
      <t>514701357</t>
    </r>
    <r>
      <rPr>
        <sz val="14"/>
        <rFont val="Arial Unicode MS"/>
        <family val="3"/>
        <charset val="128"/>
      </rPr>
      <t>)</t>
    </r>
    <phoneticPr fontId="1"/>
  </si>
  <si>
    <r>
      <t>A27A(514800</t>
    </r>
    <r>
      <rPr>
        <sz val="14"/>
        <rFont val="ＭＳ Ｐゴシック"/>
        <family val="3"/>
        <charset val="128"/>
      </rPr>
      <t>786~</t>
    </r>
    <r>
      <rPr>
        <sz val="14"/>
        <rFont val="Arial Unicode MS"/>
        <family val="3"/>
        <charset val="128"/>
      </rPr>
      <t>)</t>
    </r>
    <phoneticPr fontId="1"/>
  </si>
  <si>
    <r>
      <t>A27B(STD/Low noise package)(51490</t>
    </r>
    <r>
      <rPr>
        <sz val="14"/>
        <rFont val="ＭＳ Ｐゴシック"/>
        <family val="3"/>
        <charset val="128"/>
      </rPr>
      <t>1833</t>
    </r>
    <r>
      <rPr>
        <sz val="14"/>
        <rFont val="Arial Unicode MS"/>
        <family val="3"/>
        <charset val="128"/>
      </rPr>
      <t>~)</t>
    </r>
    <phoneticPr fontId="1"/>
  </si>
  <si>
    <t>A25F(514601414~)</t>
    <phoneticPr fontId="1"/>
  </si>
  <si>
    <r>
      <t>A25G(STD/Low noise package)(5147</t>
    </r>
    <r>
      <rPr>
        <sz val="14"/>
        <rFont val="ＭＳ Ｐゴシック"/>
        <family val="3"/>
        <charset val="128"/>
      </rPr>
      <t>01358</t>
    </r>
    <r>
      <rPr>
        <sz val="14"/>
        <rFont val="Arial Unicode MS"/>
        <family val="3"/>
        <charset val="128"/>
      </rPr>
      <t>~)</t>
    </r>
    <phoneticPr fontId="1"/>
  </si>
  <si>
    <t>03542-00091</t>
    <phoneticPr fontId="1"/>
  </si>
  <si>
    <t>63542-00556</t>
    <phoneticPr fontId="1"/>
  </si>
  <si>
    <t>03642-00072</t>
    <phoneticPr fontId="1"/>
  </si>
  <si>
    <t>V2.xx</t>
    <phoneticPr fontId="1"/>
  </si>
  <si>
    <t>コントローラ共通品番廃止</t>
    <rPh sb="6" eb="8">
      <t>キョウツウ</t>
    </rPh>
    <rPh sb="8" eb="10">
      <t>ヒンバン</t>
    </rPh>
    <rPh sb="10" eb="12">
      <t>ハイシ</t>
    </rPh>
    <phoneticPr fontId="1"/>
  </si>
  <si>
    <t>03642-00327</t>
    <phoneticPr fontId="1"/>
  </si>
  <si>
    <t>保</t>
    <rPh sb="0" eb="1">
      <t>ホ</t>
    </rPh>
    <phoneticPr fontId="1"/>
  </si>
  <si>
    <t>V3.xx</t>
    <phoneticPr fontId="1"/>
  </si>
  <si>
    <t>120000010-120000467</t>
  </si>
  <si>
    <t>新規</t>
    <rPh sb="0" eb="2">
      <t>シンキ</t>
    </rPh>
    <phoneticPr fontId="6"/>
  </si>
  <si>
    <t>03342-00503</t>
    <phoneticPr fontId="1"/>
  </si>
  <si>
    <t>V4.xx</t>
    <phoneticPr fontId="1"/>
  </si>
  <si>
    <t>バッテリパック変更に伴う</t>
    <rPh sb="7" eb="9">
      <t>ヘンコウ</t>
    </rPh>
    <rPh sb="10" eb="11">
      <t>トモナ</t>
    </rPh>
    <phoneticPr fontId="1"/>
  </si>
  <si>
    <t>120000468-</t>
  </si>
  <si>
    <t>機能追加に伴うアップデート</t>
    <rPh sb="0" eb="4">
      <t>キノウツイカ</t>
    </rPh>
    <rPh sb="5" eb="6">
      <t>トモナ</t>
    </rPh>
    <phoneticPr fontId="6"/>
  </si>
  <si>
    <t>03342-00515</t>
    <phoneticPr fontId="1"/>
  </si>
  <si>
    <t>V5.xx</t>
    <phoneticPr fontId="1"/>
  </si>
  <si>
    <t>03396-00025</t>
    <phoneticPr fontId="1"/>
  </si>
  <si>
    <t>V3.xxのスプールキット(03301-00026)用</t>
    <rPh sb="26" eb="27">
      <t>ヨウ</t>
    </rPh>
    <phoneticPr fontId="1"/>
  </si>
  <si>
    <t>03342-00516</t>
    <phoneticPr fontId="1"/>
  </si>
  <si>
    <t>03396-00026</t>
    <phoneticPr fontId="1"/>
  </si>
  <si>
    <t>V4.xxのスプールキット(03301-00026)用</t>
    <rPh sb="26" eb="27">
      <t>ヨウ</t>
    </rPh>
    <phoneticPr fontId="1"/>
  </si>
  <si>
    <t>03342-00534</t>
    <phoneticPr fontId="1"/>
  </si>
  <si>
    <t>V7.xx</t>
    <phoneticPr fontId="1"/>
  </si>
  <si>
    <t>03396-00010</t>
    <phoneticPr fontId="1"/>
  </si>
  <si>
    <t>V3.xxのスプールキット(03301-00088)用</t>
    <rPh sb="26" eb="27">
      <t>ヨウ</t>
    </rPh>
    <phoneticPr fontId="1"/>
  </si>
  <si>
    <t>03342-00535</t>
    <phoneticPr fontId="1"/>
  </si>
  <si>
    <t>V8.xx</t>
    <phoneticPr fontId="1"/>
  </si>
  <si>
    <t>03396-00011</t>
    <phoneticPr fontId="1"/>
  </si>
  <si>
    <t>V4.xxのスプールキット(03301-00088)用</t>
    <rPh sb="26" eb="27">
      <t>ヨウ</t>
    </rPh>
    <phoneticPr fontId="1"/>
  </si>
  <si>
    <r>
      <t>(J7B)135300001~</t>
    </r>
    <r>
      <rPr>
        <sz val="14"/>
        <rFont val="Arial Unicode MS"/>
        <family val="2"/>
        <charset val="128"/>
      </rPr>
      <t>135302234</t>
    </r>
    <phoneticPr fontId="1"/>
  </si>
  <si>
    <r>
      <t>(J7B)135302235</t>
    </r>
    <r>
      <rPr>
        <sz val="14"/>
        <rFont val="ＭＳ Ｐゴシック"/>
        <family val="3"/>
        <charset val="128"/>
      </rPr>
      <t>~</t>
    </r>
    <phoneticPr fontId="1"/>
  </si>
  <si>
    <t>油圧性能の改善</t>
  </si>
  <si>
    <r>
      <t>195000005~</t>
    </r>
    <r>
      <rPr>
        <sz val="14"/>
        <rFont val="Arial Unicode MS"/>
        <family val="2"/>
        <charset val="128"/>
      </rPr>
      <t>195001138</t>
    </r>
    <phoneticPr fontId="1"/>
  </si>
  <si>
    <r>
      <t>195000005~</t>
    </r>
    <r>
      <rPr>
        <sz val="14"/>
        <rFont val="Arial Unicode MS"/>
        <family val="2"/>
        <charset val="128"/>
      </rPr>
      <t>195001162</t>
    </r>
    <phoneticPr fontId="1"/>
  </si>
  <si>
    <t>EN474:2020対応</t>
    <phoneticPr fontId="1"/>
  </si>
  <si>
    <r>
      <t>19500</t>
    </r>
    <r>
      <rPr>
        <sz val="14"/>
        <rFont val="ＭＳ Ｐゴシック"/>
        <family val="3"/>
        <charset val="128"/>
      </rPr>
      <t>1163~</t>
    </r>
    <phoneticPr fontId="1"/>
  </si>
  <si>
    <r>
      <t>EN474:2020</t>
    </r>
    <r>
      <rPr>
        <sz val="14"/>
        <rFont val="Arial Unicode MS"/>
        <family val="3"/>
        <charset val="128"/>
      </rPr>
      <t>対応</t>
    </r>
  </si>
  <si>
    <t>170100006-170100068</t>
    <phoneticPr fontId="1"/>
  </si>
  <si>
    <t>170100069-</t>
    <phoneticPr fontId="1"/>
  </si>
  <si>
    <t>05642-00075</t>
  </si>
  <si>
    <t>エンジンECU変更、機種専用品番番採用</t>
    <rPh sb="10" eb="12">
      <t>キシュ</t>
    </rPh>
    <rPh sb="12" eb="14">
      <t>センヨウ</t>
    </rPh>
    <rPh sb="14" eb="16">
      <t>ヒンバン</t>
    </rPh>
    <rPh sb="16" eb="17">
      <t>バン</t>
    </rPh>
    <rPh sb="17" eb="19">
      <t>サイヨウ</t>
    </rPh>
    <phoneticPr fontId="1"/>
  </si>
  <si>
    <t>03542-00091</t>
  </si>
  <si>
    <t>03542-00091</t>
    <phoneticPr fontId="1"/>
  </si>
  <si>
    <t>コントローラ共通品番廃止</t>
    <phoneticPr fontId="1"/>
  </si>
  <si>
    <t>機種専用品番採用</t>
    <rPh sb="0" eb="2">
      <t>キシュ</t>
    </rPh>
    <rPh sb="2" eb="4">
      <t>センヨウ</t>
    </rPh>
    <rPh sb="4" eb="6">
      <t>ヒンバン</t>
    </rPh>
    <rPh sb="6" eb="8">
      <t>サイヨウ</t>
    </rPh>
    <phoneticPr fontId="1"/>
  </si>
  <si>
    <t>〇</t>
    <phoneticPr fontId="1"/>
  </si>
  <si>
    <t>63542-00556</t>
  </si>
  <si>
    <t>63542-00556</t>
    <phoneticPr fontId="1"/>
  </si>
  <si>
    <t>A6E</t>
    <phoneticPr fontId="1"/>
  </si>
  <si>
    <t>A9F</t>
    <phoneticPr fontId="1"/>
  </si>
  <si>
    <t>03642-00072</t>
  </si>
  <si>
    <t>03642-00072</t>
    <phoneticPr fontId="1"/>
  </si>
  <si>
    <t>03642-00327</t>
  </si>
  <si>
    <t>03642-00327</t>
    <phoneticPr fontId="1"/>
  </si>
  <si>
    <t>バージョン</t>
    <phoneticPr fontId="1"/>
  </si>
  <si>
    <t>V6.xx</t>
    <phoneticPr fontId="1"/>
  </si>
  <si>
    <t>V2.xx</t>
    <phoneticPr fontId="1"/>
  </si>
  <si>
    <t>バッテリパック変更</t>
    <phoneticPr fontId="1"/>
  </si>
  <si>
    <t>V1.xx</t>
    <phoneticPr fontId="1"/>
  </si>
  <si>
    <t>05642-00075</t>
    <phoneticPr fontId="1"/>
  </si>
  <si>
    <t>V6.00</t>
    <phoneticPr fontId="1"/>
  </si>
  <si>
    <t>A7G</t>
    <phoneticPr fontId="1"/>
  </si>
  <si>
    <t>A5F</t>
    <phoneticPr fontId="1"/>
  </si>
  <si>
    <t>03342-00515</t>
  </si>
  <si>
    <t>03342-00516</t>
  </si>
  <si>
    <t>03342-00534</t>
  </si>
  <si>
    <t>03342-00535</t>
  </si>
  <si>
    <t>03396-00025</t>
    <phoneticPr fontId="1"/>
  </si>
  <si>
    <t>03396-00026</t>
    <phoneticPr fontId="1"/>
  </si>
  <si>
    <t>V5.00</t>
    <phoneticPr fontId="1"/>
  </si>
  <si>
    <t>V7.00</t>
    <phoneticPr fontId="1"/>
  </si>
  <si>
    <t>03396-00010</t>
    <phoneticPr fontId="1"/>
  </si>
  <si>
    <t>V8.00</t>
    <phoneticPr fontId="1"/>
  </si>
  <si>
    <t>03396-00011</t>
    <phoneticPr fontId="1"/>
  </si>
  <si>
    <r>
      <rPr>
        <sz val="14"/>
        <rFont val="Arial Unicode MS"/>
        <family val="3"/>
        <charset val="128"/>
      </rPr>
      <t>エンジン</t>
    </r>
    <r>
      <rPr>
        <sz val="14"/>
        <rFont val="Arial Unicode MS"/>
        <family val="2"/>
        <charset val="128"/>
      </rPr>
      <t>ECU</t>
    </r>
    <r>
      <rPr>
        <sz val="14"/>
        <rFont val="Arial Unicode MS"/>
        <family val="3"/>
        <charset val="128"/>
      </rPr>
      <t>の生産中止による</t>
    </r>
    <phoneticPr fontId="1"/>
  </si>
  <si>
    <r>
      <t>エンジン</t>
    </r>
    <r>
      <rPr>
        <sz val="14"/>
        <rFont val="Arial Unicode MS"/>
        <family val="2"/>
        <charset val="128"/>
      </rPr>
      <t>ECU</t>
    </r>
    <r>
      <rPr>
        <sz val="14"/>
        <rFont val="Arial Unicode MS"/>
        <family val="3"/>
        <charset val="128"/>
      </rPr>
      <t>変更</t>
    </r>
    <rPh sb="7" eb="9">
      <t>ヘンコウ</t>
    </rPh>
    <phoneticPr fontId="1"/>
  </si>
  <si>
    <r>
      <t>E3F</t>
    </r>
    <r>
      <rPr>
        <sz val="14"/>
        <rFont val="游ゴシック"/>
        <family val="3"/>
        <charset val="128"/>
      </rPr>
      <t>(CBN)</t>
    </r>
    <phoneticPr fontId="1"/>
  </si>
  <si>
    <t>03742-00414</t>
    <phoneticPr fontId="1"/>
  </si>
  <si>
    <t>d28</t>
    <phoneticPr fontId="1"/>
  </si>
  <si>
    <t>03796-00010</t>
    <phoneticPr fontId="1"/>
  </si>
  <si>
    <t>V1.04</t>
    <phoneticPr fontId="1"/>
  </si>
  <si>
    <t>411000006-TBA</t>
  </si>
  <si>
    <t>06842-00488</t>
    <phoneticPr fontId="1"/>
  </si>
  <si>
    <t>左グリップ45度タイプ採用</t>
    <rPh sb="0" eb="1">
      <t>ヒダリ</t>
    </rPh>
    <rPh sb="7" eb="8">
      <t>ド</t>
    </rPh>
    <rPh sb="11" eb="13">
      <t>サイヨウ</t>
    </rPh>
    <phoneticPr fontId="1"/>
  </si>
  <si>
    <t>TBA</t>
  </si>
  <si>
    <t>06842-00488</t>
  </si>
  <si>
    <t>06842-00488</t>
    <phoneticPr fontId="1"/>
  </si>
  <si>
    <t>左ジョイスティックレバー角度変更</t>
    <rPh sb="0" eb="1">
      <t>ヒダリ</t>
    </rPh>
    <rPh sb="12" eb="14">
      <t>カクド</t>
    </rPh>
    <rPh sb="14" eb="16">
      <t>ヘンコウ</t>
    </rPh>
    <phoneticPr fontId="1"/>
  </si>
  <si>
    <t>V2.01</t>
    <phoneticPr fontId="1"/>
  </si>
  <si>
    <t>不具合修正：センサ電圧異常の閾値変更</t>
    <rPh sb="0" eb="3">
      <t>フグアイ</t>
    </rPh>
    <rPh sb="3" eb="5">
      <t>シュウセイ</t>
    </rPh>
    <rPh sb="9" eb="11">
      <t>デンアツ</t>
    </rPh>
    <rPh sb="11" eb="13">
      <t>イジョウ</t>
    </rPh>
    <rPh sb="14" eb="16">
      <t>シキイチ</t>
    </rPh>
    <rPh sb="16" eb="18">
      <t>ヘンコウ</t>
    </rPh>
    <phoneticPr fontId="1"/>
  </si>
  <si>
    <t>L5E</t>
    <phoneticPr fontId="1"/>
  </si>
  <si>
    <t>06542-00132</t>
  </si>
  <si>
    <t>06542-00132</t>
    <phoneticPr fontId="1"/>
  </si>
  <si>
    <t>06842-00230</t>
    <phoneticPr fontId="1"/>
  </si>
  <si>
    <t>06642-00161</t>
  </si>
  <si>
    <t>06642-00161</t>
    <phoneticPr fontId="1"/>
  </si>
  <si>
    <t>L6F</t>
    <phoneticPr fontId="1"/>
  </si>
  <si>
    <t>L8EV</t>
    <phoneticPr fontId="1"/>
  </si>
  <si>
    <t>06842-00234</t>
    <phoneticPr fontId="1"/>
  </si>
  <si>
    <t>06942-00371</t>
  </si>
  <si>
    <t>06942-00371</t>
    <phoneticPr fontId="1"/>
  </si>
  <si>
    <t>V2.09</t>
    <phoneticPr fontId="1"/>
  </si>
  <si>
    <t>V3.07</t>
    <phoneticPr fontId="1"/>
  </si>
  <si>
    <t>V4.07</t>
    <phoneticPr fontId="1"/>
  </si>
  <si>
    <t>V2.10</t>
    <phoneticPr fontId="1"/>
  </si>
  <si>
    <t>L8EV2</t>
    <phoneticPr fontId="1"/>
  </si>
  <si>
    <t>L85G</t>
    <phoneticPr fontId="1"/>
  </si>
  <si>
    <t>L9ER2</t>
    <phoneticPr fontId="1"/>
  </si>
  <si>
    <t>L9EV</t>
    <phoneticPr fontId="1"/>
  </si>
  <si>
    <t>L9EV2</t>
    <phoneticPr fontId="1"/>
  </si>
  <si>
    <r>
      <rPr>
        <sz val="14"/>
        <rFont val="Arial Unicode MS"/>
        <family val="3"/>
        <charset val="128"/>
      </rPr>
      <t>走行操作性の改善</t>
    </r>
    <rPh sb="0" eb="4">
      <t>ソウコウソウサ</t>
    </rPh>
    <rPh sb="4" eb="5">
      <t>セイ</t>
    </rPh>
    <rPh sb="6" eb="8">
      <t>カイゼン</t>
    </rPh>
    <phoneticPr fontId="6"/>
  </si>
  <si>
    <t>V10.00</t>
    <phoneticPr fontId="1"/>
  </si>
  <si>
    <t>305500001~</t>
    <phoneticPr fontId="1"/>
  </si>
  <si>
    <r>
      <t>V9.0</t>
    </r>
    <r>
      <rPr>
        <sz val="14"/>
        <color rgb="FFFF0000"/>
        <rFont val="游ゴシック"/>
        <family val="3"/>
        <charset val="128"/>
      </rPr>
      <t>1</t>
    </r>
    <phoneticPr fontId="1"/>
  </si>
  <si>
    <t>d29</t>
    <phoneticPr fontId="1"/>
  </si>
  <si>
    <r>
      <t>V8.2</t>
    </r>
    <r>
      <rPr>
        <sz val="14"/>
        <color rgb="FFFF0000"/>
        <rFont val="游ゴシック"/>
        <family val="3"/>
        <charset val="128"/>
      </rPr>
      <t>4</t>
    </r>
    <phoneticPr fontId="1"/>
  </si>
  <si>
    <r>
      <t>V7.0</t>
    </r>
    <r>
      <rPr>
        <sz val="14"/>
        <color rgb="FFFF0000"/>
        <rFont val="游ゴシック"/>
        <family val="3"/>
        <charset val="128"/>
      </rPr>
      <t>5</t>
    </r>
    <phoneticPr fontId="1"/>
  </si>
  <si>
    <r>
      <t>V6.1</t>
    </r>
    <r>
      <rPr>
        <sz val="14"/>
        <color rgb="FFFF0000"/>
        <rFont val="游ゴシック"/>
        <family val="3"/>
        <charset val="128"/>
      </rPr>
      <t>4</t>
    </r>
    <phoneticPr fontId="1"/>
  </si>
  <si>
    <r>
      <t>V5.0</t>
    </r>
    <r>
      <rPr>
        <sz val="14"/>
        <color rgb="FFFF0000"/>
        <rFont val="游ゴシック"/>
        <family val="3"/>
        <charset val="128"/>
      </rPr>
      <t>5</t>
    </r>
    <phoneticPr fontId="1"/>
  </si>
  <si>
    <t>不具合修正：油圧パラメータリセット対策</t>
    <rPh sb="0" eb="3">
      <t>フグアイ</t>
    </rPh>
    <rPh sb="3" eb="5">
      <t>シュウセイ</t>
    </rPh>
    <rPh sb="6" eb="8">
      <t>ユアツ</t>
    </rPh>
    <rPh sb="17" eb="19">
      <t>タイサク</t>
    </rPh>
    <phoneticPr fontId="1"/>
  </si>
  <si>
    <t>05742-00323</t>
  </si>
  <si>
    <t>05742-00334</t>
  </si>
  <si>
    <t>05742-00335</t>
  </si>
  <si>
    <t>05742-00773</t>
  </si>
  <si>
    <t>A25G</t>
    <phoneticPr fontId="1"/>
  </si>
  <si>
    <t>A27B</t>
    <phoneticPr fontId="1"/>
  </si>
  <si>
    <t>A25F</t>
    <phoneticPr fontId="1"/>
  </si>
  <si>
    <t>A27A</t>
    <phoneticPr fontId="1"/>
  </si>
  <si>
    <t>仕様変更：コンバルスプール変更によりパラメータ変更</t>
    <rPh sb="0" eb="4">
      <t>シヨウヘンコウ</t>
    </rPh>
    <rPh sb="13" eb="15">
      <t>ヘンコウ</t>
    </rPh>
    <rPh sb="23" eb="25">
      <t>ヘンコウ</t>
    </rPh>
    <phoneticPr fontId="1"/>
  </si>
  <si>
    <t>E3F</t>
    <phoneticPr fontId="1"/>
  </si>
  <si>
    <t>17301-43667</t>
    <phoneticPr fontId="1"/>
  </si>
  <si>
    <t>17301-43671</t>
    <phoneticPr fontId="1"/>
  </si>
  <si>
    <t>パネル剥がれ防止対策品</t>
    <rPh sb="3" eb="4">
      <t>ハ</t>
    </rPh>
    <rPh sb="6" eb="8">
      <t>ボウシ</t>
    </rPh>
    <rPh sb="8" eb="10">
      <t>タイサク</t>
    </rPh>
    <rPh sb="10" eb="11">
      <t>ヒン</t>
    </rPh>
    <phoneticPr fontId="1"/>
  </si>
  <si>
    <t>ディスプレイ</t>
    <phoneticPr fontId="1"/>
  </si>
  <si>
    <t>コントローラ</t>
    <phoneticPr fontId="1"/>
  </si>
  <si>
    <t>ハードウェア</t>
    <phoneticPr fontId="1"/>
  </si>
  <si>
    <t>製造元</t>
    <rPh sb="0" eb="3">
      <t>セイゾウモト</t>
    </rPh>
    <phoneticPr fontId="1"/>
  </si>
  <si>
    <t>DSD</t>
    <phoneticPr fontId="1"/>
  </si>
  <si>
    <t>DP250</t>
    <phoneticPr fontId="1"/>
  </si>
  <si>
    <t>XO</t>
    <phoneticPr fontId="1"/>
  </si>
  <si>
    <t>17301-43695</t>
  </si>
  <si>
    <t>C9-5、C10-5用ディスプレイ</t>
    <rPh sb="10" eb="11">
      <t>ヨウ</t>
    </rPh>
    <phoneticPr fontId="1"/>
  </si>
  <si>
    <t>ローダー向けディスプレイ</t>
    <rPh sb="4" eb="5">
      <t>ム</t>
    </rPh>
    <phoneticPr fontId="1"/>
  </si>
  <si>
    <t>17301-43843</t>
    <phoneticPr fontId="1"/>
  </si>
  <si>
    <t>A25H/A27C</t>
    <phoneticPr fontId="1"/>
  </si>
  <si>
    <t>新規</t>
    <rPh sb="0" eb="2">
      <t>シンキ</t>
    </rPh>
    <phoneticPr fontId="1"/>
  </si>
  <si>
    <t>17301-43843</t>
  </si>
  <si>
    <t>B009385</t>
    <phoneticPr fontId="1"/>
  </si>
  <si>
    <t>A27C</t>
    <phoneticPr fontId="1"/>
  </si>
  <si>
    <t>V1.00</t>
    <phoneticPr fontId="1"/>
  </si>
  <si>
    <t>V1.00a4</t>
    <phoneticPr fontId="1"/>
  </si>
  <si>
    <t>試作出図</t>
    <rPh sb="0" eb="2">
      <t>シサク</t>
    </rPh>
    <rPh sb="2" eb="4">
      <t>シュツズ</t>
    </rPh>
    <phoneticPr fontId="1"/>
  </si>
  <si>
    <t>量産出図</t>
    <rPh sb="0" eb="2">
      <t>リョウサン</t>
    </rPh>
    <rPh sb="2" eb="4">
      <t>シュツズ</t>
    </rPh>
    <phoneticPr fontId="1"/>
  </si>
  <si>
    <t>A25H</t>
    <phoneticPr fontId="1"/>
  </si>
  <si>
    <t>A27C</t>
    <phoneticPr fontId="1"/>
  </si>
  <si>
    <t>試作</t>
    <rPh sb="0" eb="2">
      <t>シサク</t>
    </rPh>
    <phoneticPr fontId="1"/>
  </si>
  <si>
    <t>XO-800T</t>
    <phoneticPr fontId="1"/>
  </si>
  <si>
    <t>不具合修正：機種不明エラー誤発報</t>
    <rPh sb="0" eb="3">
      <t>フグアイ</t>
    </rPh>
    <rPh sb="3" eb="5">
      <t>シュウセイ</t>
    </rPh>
    <rPh sb="6" eb="8">
      <t>キシュ</t>
    </rPh>
    <rPh sb="8" eb="10">
      <t>フメイ</t>
    </rPh>
    <rPh sb="13" eb="16">
      <t>ゴハッポウ</t>
    </rPh>
    <phoneticPr fontId="1"/>
  </si>
  <si>
    <t>V6.01</t>
    <phoneticPr fontId="1"/>
  </si>
  <si>
    <t>05742-00550</t>
    <phoneticPr fontId="1"/>
  </si>
  <si>
    <t xml:space="preserve">	05742-00550</t>
  </si>
  <si>
    <t>採番</t>
    <rPh sb="0" eb="2">
      <t>サイバン</t>
    </rPh>
    <phoneticPr fontId="1"/>
  </si>
  <si>
    <t>E3F(CBN)</t>
    <phoneticPr fontId="1"/>
  </si>
  <si>
    <t>03342-00130</t>
  </si>
  <si>
    <t>CAB量産出図</t>
    <rPh sb="3" eb="5">
      <t>リョウサン</t>
    </rPh>
    <rPh sb="5" eb="7">
      <t>シュツズ</t>
    </rPh>
    <phoneticPr fontId="1"/>
  </si>
  <si>
    <t>A3F</t>
    <phoneticPr fontId="1"/>
  </si>
  <si>
    <t>#691,693は開発対応</t>
    <rPh sb="9" eb="11">
      <t>カイハツ</t>
    </rPh>
    <rPh sb="11" eb="13">
      <t>タイオウ</t>
    </rPh>
    <phoneticPr fontId="1"/>
  </si>
  <si>
    <t>17301-43691</t>
  </si>
  <si>
    <t>17301-43691</t>
    <phoneticPr fontId="1"/>
  </si>
  <si>
    <t>E3F</t>
    <phoneticPr fontId="1"/>
  </si>
  <si>
    <t>V140</t>
    <phoneticPr fontId="1"/>
  </si>
  <si>
    <t>V150</t>
    <phoneticPr fontId="1"/>
  </si>
  <si>
    <t>不具合修正：スライドスイッチ中立条件</t>
    <rPh sb="0" eb="3">
      <t>フグアイ</t>
    </rPh>
    <rPh sb="3" eb="5">
      <t>シュウセイ</t>
    </rPh>
    <rPh sb="14" eb="16">
      <t>チュウリツ</t>
    </rPh>
    <rPh sb="16" eb="18">
      <t>ジョウケン</t>
    </rPh>
    <phoneticPr fontId="1"/>
  </si>
  <si>
    <t>V2.05</t>
    <phoneticPr fontId="1"/>
  </si>
  <si>
    <t>V4.10</t>
    <phoneticPr fontId="1"/>
  </si>
  <si>
    <t>V4.04</t>
    <phoneticPr fontId="1"/>
  </si>
  <si>
    <t>V5.02</t>
    <phoneticPr fontId="1"/>
  </si>
  <si>
    <t>V2.16</t>
    <phoneticPr fontId="1"/>
  </si>
  <si>
    <t>V1.30</t>
    <phoneticPr fontId="1"/>
  </si>
  <si>
    <t>V1.40</t>
    <phoneticPr fontId="1"/>
  </si>
  <si>
    <t>V2.07</t>
    <phoneticPr fontId="1"/>
  </si>
  <si>
    <t>GPSユニット</t>
    <phoneticPr fontId="1"/>
  </si>
  <si>
    <t>17301-43431</t>
    <phoneticPr fontId="1"/>
  </si>
  <si>
    <t>17301-43432</t>
    <phoneticPr fontId="1"/>
  </si>
  <si>
    <t>17301-43435</t>
    <phoneticPr fontId="1"/>
  </si>
  <si>
    <t>17301-43436</t>
    <phoneticPr fontId="1"/>
  </si>
  <si>
    <t>17301-43438</t>
    <phoneticPr fontId="1"/>
  </si>
  <si>
    <t>ZTR</t>
    <phoneticPr fontId="1"/>
  </si>
  <si>
    <t>M7H</t>
    <phoneticPr fontId="1"/>
  </si>
  <si>
    <t>-</t>
    <phoneticPr fontId="1"/>
  </si>
  <si>
    <t>250kbps</t>
    <phoneticPr fontId="1"/>
  </si>
  <si>
    <t>17301-43431</t>
    <phoneticPr fontId="1"/>
  </si>
  <si>
    <t>新規出図</t>
    <rPh sb="0" eb="2">
      <t>シンキ</t>
    </rPh>
    <rPh sb="2" eb="4">
      <t>シュツズ</t>
    </rPh>
    <phoneticPr fontId="1"/>
  </si>
  <si>
    <t>不具合修正：エンジンエラーコード表示不具合</t>
    <rPh sb="0" eb="3">
      <t>フグアイ</t>
    </rPh>
    <rPh sb="3" eb="5">
      <t>シュウセイ</t>
    </rPh>
    <rPh sb="16" eb="18">
      <t>ヒョウジ</t>
    </rPh>
    <rPh sb="18" eb="21">
      <t>フグアイ</t>
    </rPh>
    <phoneticPr fontId="1"/>
  </si>
  <si>
    <t>仕様書入手、プログラム変更なし</t>
    <rPh sb="0" eb="3">
      <t>シヨウショ</t>
    </rPh>
    <rPh sb="3" eb="5">
      <t>ニュウシュ</t>
    </rPh>
    <rPh sb="11" eb="13">
      <t>ヘンコウ</t>
    </rPh>
    <phoneticPr fontId="1"/>
  </si>
  <si>
    <t>仕様変更：内部チップ変更</t>
    <rPh sb="0" eb="4">
      <t>シヨウヘンコウ</t>
    </rPh>
    <rPh sb="5" eb="7">
      <t>ナイブ</t>
    </rPh>
    <rPh sb="10" eb="12">
      <t>ヘンコウ</t>
    </rPh>
    <phoneticPr fontId="1"/>
  </si>
  <si>
    <t>500kbps</t>
    <phoneticPr fontId="1"/>
  </si>
  <si>
    <t>17301-43432</t>
    <phoneticPr fontId="1"/>
  </si>
  <si>
    <r>
      <t>V5.0</t>
    </r>
    <r>
      <rPr>
        <sz val="14"/>
        <rFont val="游ゴシック"/>
        <family val="3"/>
        <charset val="128"/>
      </rPr>
      <t>5</t>
    </r>
    <phoneticPr fontId="1"/>
  </si>
  <si>
    <r>
      <t>V6.1</t>
    </r>
    <r>
      <rPr>
        <sz val="14"/>
        <rFont val="游ゴシック"/>
        <family val="3"/>
        <charset val="128"/>
      </rPr>
      <t>4</t>
    </r>
    <phoneticPr fontId="1"/>
  </si>
  <si>
    <r>
      <t>V7.0</t>
    </r>
    <r>
      <rPr>
        <sz val="14"/>
        <rFont val="游ゴシック"/>
        <family val="3"/>
        <charset val="128"/>
      </rPr>
      <t>5</t>
    </r>
    <phoneticPr fontId="1"/>
  </si>
  <si>
    <r>
      <t>V8.2</t>
    </r>
    <r>
      <rPr>
        <sz val="14"/>
        <rFont val="游ゴシック"/>
        <family val="3"/>
        <charset val="128"/>
      </rPr>
      <t>4</t>
    </r>
    <phoneticPr fontId="1"/>
  </si>
  <si>
    <r>
      <t>V9.0</t>
    </r>
    <r>
      <rPr>
        <sz val="14"/>
        <rFont val="游ゴシック"/>
        <family val="3"/>
        <charset val="128"/>
      </rPr>
      <t>1</t>
    </r>
    <phoneticPr fontId="1"/>
  </si>
  <si>
    <t>M7L</t>
    <phoneticPr fontId="1"/>
  </si>
  <si>
    <t>250kbps,LTE</t>
    <phoneticPr fontId="1"/>
  </si>
  <si>
    <t>17301-43435</t>
    <phoneticPr fontId="1"/>
  </si>
  <si>
    <t xml:space="preserve">	50115</t>
    <phoneticPr fontId="1"/>
  </si>
  <si>
    <t>500kbps,LTE</t>
    <phoneticPr fontId="1"/>
  </si>
  <si>
    <t>17301-43436</t>
    <phoneticPr fontId="1"/>
  </si>
  <si>
    <t>V0.00</t>
    <phoneticPr fontId="1"/>
  </si>
  <si>
    <t>V1.04</t>
    <phoneticPr fontId="1"/>
  </si>
  <si>
    <t>V1.10</t>
    <phoneticPr fontId="1"/>
  </si>
  <si>
    <t>V1.11</t>
    <phoneticPr fontId="1"/>
  </si>
  <si>
    <t>V1.00</t>
    <phoneticPr fontId="1"/>
  </si>
  <si>
    <t>V1.12</t>
    <phoneticPr fontId="1"/>
  </si>
  <si>
    <t>V1.13</t>
    <phoneticPr fontId="1"/>
  </si>
  <si>
    <t>V1.14</t>
    <phoneticPr fontId="1"/>
  </si>
  <si>
    <t>V1.16</t>
    <phoneticPr fontId="1"/>
  </si>
  <si>
    <t>誤記：コントローラ品番</t>
    <rPh sb="0" eb="2">
      <t>ゴキ</t>
    </rPh>
    <rPh sb="9" eb="11">
      <t>ヒンバン</t>
    </rPh>
    <phoneticPr fontId="1"/>
  </si>
  <si>
    <t>量産出図</t>
    <rPh sb="0" eb="2">
      <t>リョウサン</t>
    </rPh>
    <rPh sb="2" eb="4">
      <t>シュツズ</t>
    </rPh>
    <phoneticPr fontId="1"/>
  </si>
  <si>
    <t>仕様変更：油圧ポンプ変更</t>
    <rPh sb="0" eb="4">
      <t>シヨウヘンコウ</t>
    </rPh>
    <rPh sb="5" eb="7">
      <t>ユアツ</t>
    </rPh>
    <rPh sb="10" eb="12">
      <t>ヘンコウ</t>
    </rPh>
    <phoneticPr fontId="1"/>
  </si>
  <si>
    <t>仕様変更：サービス流量表示値の変更</t>
    <rPh sb="0" eb="4">
      <t>シヨウヘンコウ</t>
    </rPh>
    <rPh sb="9" eb="11">
      <t>リュウリョウ</t>
    </rPh>
    <rPh sb="11" eb="14">
      <t>ヒョウジチ</t>
    </rPh>
    <rPh sb="15" eb="17">
      <t>ヘンコウ</t>
    </rPh>
    <phoneticPr fontId="1"/>
  </si>
  <si>
    <t>仕様変更：クレーン仕様追加</t>
    <rPh sb="0" eb="4">
      <t>シヨウヘンコウ</t>
    </rPh>
    <rPh sb="9" eb="11">
      <t>シヨウ</t>
    </rPh>
    <rPh sb="11" eb="13">
      <t>ツイカ</t>
    </rPh>
    <phoneticPr fontId="1"/>
  </si>
  <si>
    <t>不具合修正：過去エラー表示</t>
    <rPh sb="0" eb="3">
      <t>フグアイ</t>
    </rPh>
    <rPh sb="3" eb="5">
      <t>シュウセイ</t>
    </rPh>
    <rPh sb="6" eb="8">
      <t>カコ</t>
    </rPh>
    <rPh sb="11" eb="13">
      <t>ヒョウジ</t>
    </rPh>
    <phoneticPr fontId="1"/>
  </si>
  <si>
    <t>仕様：オートエンジンストップ機能改善</t>
    <rPh sb="0" eb="2">
      <t>シヨウ</t>
    </rPh>
    <rPh sb="14" eb="16">
      <t>キノウ</t>
    </rPh>
    <rPh sb="16" eb="18">
      <t>カイゼン</t>
    </rPh>
    <phoneticPr fontId="1"/>
  </si>
  <si>
    <t>V1.17</t>
    <phoneticPr fontId="1"/>
  </si>
  <si>
    <t>仕様：オートグリス仕様変更</t>
    <rPh sb="0" eb="2">
      <t>シヨウ</t>
    </rPh>
    <rPh sb="9" eb="11">
      <t>シヨウ</t>
    </rPh>
    <rPh sb="11" eb="13">
      <t>ヘンコウ</t>
    </rPh>
    <phoneticPr fontId="1"/>
  </si>
  <si>
    <t>新規</t>
    <rPh sb="0" eb="2">
      <t>シンキ</t>
    </rPh>
    <phoneticPr fontId="1"/>
  </si>
  <si>
    <t>17301-43830</t>
    <phoneticPr fontId="1"/>
  </si>
  <si>
    <t>500kbps、3G、Japan</t>
    <phoneticPr fontId="1"/>
  </si>
  <si>
    <t>17301-43438</t>
    <phoneticPr fontId="1"/>
  </si>
  <si>
    <t xml:space="preserve">	55967</t>
    <phoneticPr fontId="1"/>
  </si>
  <si>
    <t>17301-43830</t>
    <phoneticPr fontId="1"/>
  </si>
  <si>
    <t>17301-43870</t>
    <phoneticPr fontId="1"/>
  </si>
  <si>
    <t>XO-430T</t>
    <phoneticPr fontId="1"/>
  </si>
  <si>
    <t>新規：J7Bクレーン仕様として</t>
    <rPh sb="0" eb="2">
      <t>シンキ</t>
    </rPh>
    <rPh sb="10" eb="12">
      <t>シヨウ</t>
    </rPh>
    <phoneticPr fontId="1"/>
  </si>
  <si>
    <t>J7B(CNP)/J10B(CNP)</t>
    <phoneticPr fontId="1"/>
  </si>
  <si>
    <t>V8.17</t>
    <phoneticPr fontId="1"/>
  </si>
  <si>
    <t>17301-43903</t>
    <phoneticPr fontId="1"/>
  </si>
  <si>
    <t>仕様変更：内部基盤変更</t>
    <rPh sb="0" eb="4">
      <t>シヨウヘンコウ</t>
    </rPh>
    <rPh sb="5" eb="7">
      <t>ナイブ</t>
    </rPh>
    <rPh sb="7" eb="9">
      <t>キバン</t>
    </rPh>
    <rPh sb="9" eb="11">
      <t>ヘンコウ</t>
    </rPh>
    <phoneticPr fontId="1"/>
  </si>
  <si>
    <t>17301-43902</t>
    <phoneticPr fontId="1"/>
  </si>
  <si>
    <t>内部部品変更</t>
    <rPh sb="0" eb="2">
      <t>ナイブ</t>
    </rPh>
    <rPh sb="2" eb="4">
      <t>ブヒン</t>
    </rPh>
    <rPh sb="4" eb="6">
      <t>ヘンコウ</t>
    </rPh>
    <phoneticPr fontId="1"/>
  </si>
  <si>
    <t>17301-43901</t>
    <phoneticPr fontId="1"/>
  </si>
  <si>
    <t>A25F</t>
    <phoneticPr fontId="1"/>
  </si>
  <si>
    <t>05701-00058</t>
    <phoneticPr fontId="1"/>
  </si>
  <si>
    <t>サービスツール</t>
    <phoneticPr fontId="1"/>
  </si>
  <si>
    <t>05642-00505</t>
    <phoneticPr fontId="1"/>
  </si>
  <si>
    <t>05742-00773</t>
    <phoneticPr fontId="1"/>
  </si>
  <si>
    <t>05742-00335</t>
    <phoneticPr fontId="1"/>
  </si>
  <si>
    <t>05742-00334</t>
    <phoneticPr fontId="1"/>
  </si>
  <si>
    <t>05742-00323</t>
    <phoneticPr fontId="1"/>
  </si>
  <si>
    <t>ｄ30</t>
    <phoneticPr fontId="1"/>
  </si>
  <si>
    <r>
      <t>V2.00</t>
    </r>
    <r>
      <rPr>
        <sz val="14"/>
        <color rgb="FFFF0000"/>
        <rFont val="Arial Unicode MS"/>
        <family val="3"/>
        <charset val="128"/>
      </rPr>
      <t>,V3.00</t>
    </r>
    <phoneticPr fontId="1"/>
  </si>
  <si>
    <t>05642-01054</t>
    <phoneticPr fontId="1"/>
  </si>
  <si>
    <r>
      <t>緊急ステアリング</t>
    </r>
    <r>
      <rPr>
        <sz val="14"/>
        <color rgb="FFFF0000"/>
        <rFont val="Calibri"/>
        <family val="3"/>
      </rPr>
      <t>SOL</t>
    </r>
    <r>
      <rPr>
        <sz val="14"/>
        <color rgb="FFFF0000"/>
        <rFont val="ＭＳ Ｐゴシック"/>
        <family val="3"/>
        <charset val="128"/>
      </rPr>
      <t>対応</t>
    </r>
    <r>
      <rPr>
        <sz val="14"/>
        <color rgb="FFFF0000"/>
        <rFont val="Arial Unicode MS"/>
        <family val="3"/>
        <charset val="128"/>
      </rPr>
      <t>(30km/h</t>
    </r>
    <r>
      <rPr>
        <sz val="14"/>
        <color rgb="FFFF0000"/>
        <rFont val="MS UI Gothic"/>
        <family val="3"/>
        <charset val="128"/>
      </rPr>
      <t>、</t>
    </r>
    <r>
      <rPr>
        <sz val="14"/>
        <color rgb="FFFF0000"/>
        <rFont val="ＭＳ Ｐゴシック"/>
        <family val="3"/>
        <charset val="128"/>
      </rPr>
      <t>SOLあり）</t>
    </r>
    <rPh sb="0" eb="2">
      <t>キンキュウ</t>
    </rPh>
    <rPh sb="11" eb="13">
      <t>タイオウ</t>
    </rPh>
    <phoneticPr fontId="1"/>
  </si>
  <si>
    <t>05642-01061</t>
    <phoneticPr fontId="1"/>
  </si>
  <si>
    <r>
      <t>緊急ステアリング</t>
    </r>
    <r>
      <rPr>
        <sz val="14"/>
        <color rgb="FFFF0000"/>
        <rFont val="Calibri"/>
        <family val="3"/>
      </rPr>
      <t>SOL</t>
    </r>
    <r>
      <rPr>
        <sz val="14"/>
        <color rgb="FFFF0000"/>
        <rFont val="ＭＳ Ｐゴシック"/>
        <family val="3"/>
        <charset val="128"/>
      </rPr>
      <t>対応</t>
    </r>
    <r>
      <rPr>
        <sz val="14"/>
        <color rgb="FFFF0000"/>
        <rFont val="Arial Unicode MS"/>
        <family val="3"/>
        <charset val="128"/>
      </rPr>
      <t>(30km/h</t>
    </r>
    <r>
      <rPr>
        <sz val="14"/>
        <color rgb="FFFF0000"/>
        <rFont val="MS UI Gothic"/>
        <family val="3"/>
        <charset val="128"/>
      </rPr>
      <t>、</t>
    </r>
    <r>
      <rPr>
        <sz val="14"/>
        <color rgb="FFFF0000"/>
        <rFont val="Arial Unicode MS"/>
        <family val="3"/>
        <charset val="128"/>
      </rPr>
      <t>SOLなし）</t>
    </r>
    <rPh sb="0" eb="2">
      <t>キンキュウ</t>
    </rPh>
    <rPh sb="11" eb="13">
      <t>タイオウ</t>
    </rPh>
    <phoneticPr fontId="1"/>
  </si>
  <si>
    <t>05542-00189</t>
    <phoneticPr fontId="1"/>
  </si>
  <si>
    <t>05542-00198</t>
    <phoneticPr fontId="1"/>
  </si>
  <si>
    <t>緊急ステアリングソレノイド追加(30km/h、ソレノイドあり)</t>
    <rPh sb="0" eb="2">
      <t>キンキュウ</t>
    </rPh>
    <rPh sb="13" eb="15">
      <t>ツイカ</t>
    </rPh>
    <phoneticPr fontId="1"/>
  </si>
  <si>
    <t>緊急ステアリングソレノイド追加(30km/h、ソレノイドなし)</t>
    <rPh sb="0" eb="2">
      <t>キンキュウ</t>
    </rPh>
    <rPh sb="13" eb="15">
      <t>ツイカ</t>
    </rPh>
    <phoneticPr fontId="1"/>
  </si>
  <si>
    <t>V1.07</t>
    <phoneticPr fontId="1"/>
  </si>
  <si>
    <t>V2.19</t>
    <phoneticPr fontId="1"/>
  </si>
  <si>
    <t>V7.06</t>
    <phoneticPr fontId="1"/>
  </si>
  <si>
    <t>V9.02</t>
    <phoneticPr fontId="1"/>
  </si>
  <si>
    <t>V8.25</t>
    <phoneticPr fontId="1"/>
  </si>
  <si>
    <t>V6.15</t>
    <phoneticPr fontId="1"/>
  </si>
  <si>
    <t>V5.06</t>
    <phoneticPr fontId="1"/>
  </si>
  <si>
    <t>仕様：オートグリスパラメタ変更、モノと2Pでパラメータ切り替え</t>
    <rPh sb="0" eb="2">
      <t>シヨウ</t>
    </rPh>
    <rPh sb="13" eb="15">
      <t>ヘンコウ</t>
    </rPh>
    <rPh sb="27" eb="28">
      <t>キ</t>
    </rPh>
    <rPh sb="29" eb="30">
      <t>カ</t>
    </rPh>
    <phoneticPr fontId="1"/>
  </si>
  <si>
    <t>A25E</t>
    <phoneticPr fontId="27"/>
  </si>
  <si>
    <t>05701-00005</t>
    <phoneticPr fontId="27"/>
  </si>
  <si>
    <t>A25EW</t>
    <phoneticPr fontId="27"/>
  </si>
  <si>
    <t>05701-00026</t>
    <phoneticPr fontId="27"/>
  </si>
  <si>
    <t>05601-00120</t>
    <phoneticPr fontId="27"/>
  </si>
  <si>
    <t>05501-00021</t>
    <phoneticPr fontId="27"/>
  </si>
  <si>
    <t>A13A</t>
    <phoneticPr fontId="27"/>
  </si>
  <si>
    <t>05501-00059</t>
    <phoneticPr fontId="27"/>
  </si>
  <si>
    <t>03401-00020</t>
    <phoneticPr fontId="27"/>
  </si>
  <si>
    <t>A14H/I</t>
  </si>
  <si>
    <t>05601-00118</t>
    <phoneticPr fontId="27"/>
  </si>
  <si>
    <t>A14J</t>
    <phoneticPr fontId="27"/>
  </si>
  <si>
    <t>05601-00235</t>
    <phoneticPr fontId="27"/>
  </si>
  <si>
    <t>06901-00001</t>
    <phoneticPr fontId="27"/>
  </si>
  <si>
    <t>06901-00026</t>
    <phoneticPr fontId="27"/>
  </si>
  <si>
    <t>L5E</t>
    <phoneticPr fontId="27"/>
  </si>
  <si>
    <t>L6F</t>
    <phoneticPr fontId="27"/>
  </si>
  <si>
    <t>06601-00024</t>
    <phoneticPr fontId="27"/>
  </si>
  <si>
    <t>F10E</t>
    <phoneticPr fontId="27"/>
  </si>
  <si>
    <t>05601-00139</t>
    <phoneticPr fontId="27"/>
  </si>
  <si>
    <t>A14D-2(中国語）</t>
    <rPh sb="7" eb="10">
      <t>チュウゴクゴ</t>
    </rPh>
    <phoneticPr fontId="27"/>
  </si>
  <si>
    <t>05601-00142</t>
    <phoneticPr fontId="27"/>
  </si>
  <si>
    <t>A14D-2(英語）</t>
    <rPh sb="7" eb="9">
      <t>エイゴ</t>
    </rPh>
    <phoneticPr fontId="27"/>
  </si>
  <si>
    <t>05601-00143</t>
    <phoneticPr fontId="27"/>
  </si>
  <si>
    <t>07001-00012</t>
    <phoneticPr fontId="27"/>
  </si>
  <si>
    <t>C9-4</t>
    <phoneticPr fontId="27"/>
  </si>
  <si>
    <t>A25FG/A27AB</t>
    <phoneticPr fontId="27"/>
  </si>
  <si>
    <t>05601-00197</t>
    <phoneticPr fontId="27"/>
  </si>
  <si>
    <t>A14IW</t>
    <phoneticPr fontId="27"/>
  </si>
  <si>
    <t>05601-00283</t>
    <phoneticPr fontId="27"/>
  </si>
  <si>
    <t>E3F</t>
    <phoneticPr fontId="27"/>
  </si>
  <si>
    <t>03301-00075</t>
    <phoneticPr fontId="27"/>
  </si>
  <si>
    <t>03601-00015</t>
    <phoneticPr fontId="27"/>
  </si>
  <si>
    <t>05501-00087</t>
    <phoneticPr fontId="27"/>
  </si>
  <si>
    <t>05501-00022</t>
    <phoneticPr fontId="27"/>
  </si>
  <si>
    <t>03901-00024</t>
    <phoneticPr fontId="27"/>
  </si>
  <si>
    <t>03901-00050</t>
    <phoneticPr fontId="27"/>
  </si>
  <si>
    <t>07101-00019</t>
    <phoneticPr fontId="27"/>
  </si>
  <si>
    <t>07101-00020</t>
    <phoneticPr fontId="27"/>
  </si>
  <si>
    <t>05701-00005</t>
  </si>
  <si>
    <t>06501-00004</t>
    <phoneticPr fontId="27"/>
  </si>
  <si>
    <t>06501-00008</t>
    <phoneticPr fontId="27"/>
  </si>
  <si>
    <t>05701-00026</t>
  </si>
  <si>
    <t xml:space="preserve">	44135</t>
    <phoneticPr fontId="1"/>
  </si>
  <si>
    <t>V1.01</t>
    <phoneticPr fontId="1"/>
  </si>
  <si>
    <t>V1.02</t>
    <phoneticPr fontId="1"/>
  </si>
  <si>
    <t>V1.04F</t>
    <phoneticPr fontId="1"/>
  </si>
  <si>
    <t>V1.05F</t>
    <phoneticPr fontId="1"/>
  </si>
  <si>
    <t>41940</t>
    <phoneticPr fontId="1"/>
  </si>
  <si>
    <t>42327</t>
    <phoneticPr fontId="1"/>
  </si>
  <si>
    <t>42834</t>
    <phoneticPr fontId="1"/>
  </si>
  <si>
    <t>44135</t>
    <phoneticPr fontId="1"/>
  </si>
  <si>
    <t>62508</t>
    <phoneticPr fontId="1"/>
  </si>
  <si>
    <t>V1.00</t>
    <phoneticPr fontId="1"/>
  </si>
  <si>
    <t>V1.03F</t>
    <phoneticPr fontId="1"/>
  </si>
  <si>
    <t>05601-00120</t>
    <phoneticPr fontId="1"/>
  </si>
  <si>
    <t>44946</t>
    <phoneticPr fontId="1"/>
  </si>
  <si>
    <t>05501-00021</t>
    <phoneticPr fontId="1"/>
  </si>
  <si>
    <t>ラジオ</t>
    <phoneticPr fontId="1"/>
  </si>
  <si>
    <t>東海理化</t>
    <rPh sb="0" eb="4">
      <t>トウカイリカ</t>
    </rPh>
    <phoneticPr fontId="1"/>
  </si>
  <si>
    <t>17050-05220</t>
  </si>
  <si>
    <t>17050-05220</t>
    <phoneticPr fontId="1"/>
  </si>
  <si>
    <t>B005396</t>
    <phoneticPr fontId="1"/>
  </si>
  <si>
    <t>55368</t>
    <phoneticPr fontId="1"/>
  </si>
  <si>
    <t>60263</t>
    <phoneticPr fontId="1"/>
  </si>
  <si>
    <t>60990</t>
    <phoneticPr fontId="1"/>
  </si>
  <si>
    <t>A13A</t>
    <phoneticPr fontId="1"/>
  </si>
  <si>
    <t>A13AW</t>
    <phoneticPr fontId="1"/>
  </si>
  <si>
    <t>A14IW</t>
    <phoneticPr fontId="1"/>
  </si>
  <si>
    <t>J10B</t>
    <phoneticPr fontId="1"/>
  </si>
  <si>
    <t>J7B</t>
    <phoneticPr fontId="1"/>
  </si>
  <si>
    <t>新規</t>
    <rPh sb="0" eb="2">
      <t>シンキ</t>
    </rPh>
    <phoneticPr fontId="1"/>
  </si>
  <si>
    <t>仕様：内部部品変更、互換性あり</t>
    <rPh sb="0" eb="2">
      <t>シヨウ</t>
    </rPh>
    <rPh sb="3" eb="5">
      <t>ナイブ</t>
    </rPh>
    <rPh sb="5" eb="7">
      <t>ブヒン</t>
    </rPh>
    <rPh sb="7" eb="9">
      <t>ヘンコウ</t>
    </rPh>
    <rPh sb="10" eb="13">
      <t>ゴカンセイ</t>
    </rPh>
    <phoneticPr fontId="1"/>
  </si>
  <si>
    <t>仕様：仕様書改定、動作の変更なし</t>
    <rPh sb="0" eb="2">
      <t>シヨウ</t>
    </rPh>
    <rPh sb="3" eb="6">
      <t>シヨウショ</t>
    </rPh>
    <rPh sb="6" eb="8">
      <t>カイテイ</t>
    </rPh>
    <rPh sb="9" eb="11">
      <t>ドウサ</t>
    </rPh>
    <rPh sb="12" eb="14">
      <t>ヘンコウ</t>
    </rPh>
    <phoneticPr fontId="1"/>
  </si>
  <si>
    <t>17050-05227</t>
  </si>
  <si>
    <t>V1.02</t>
    <phoneticPr fontId="1"/>
  </si>
  <si>
    <t>B008576</t>
    <phoneticPr fontId="1"/>
  </si>
  <si>
    <t>60393</t>
    <phoneticPr fontId="1"/>
  </si>
  <si>
    <t>仕様：Bluetoothモジュールアップデート、互換性あり</t>
    <rPh sb="0" eb="2">
      <t>シヨウ</t>
    </rPh>
    <rPh sb="24" eb="27">
      <t>ゴカンセイ</t>
    </rPh>
    <phoneticPr fontId="1"/>
  </si>
  <si>
    <t>E7F</t>
    <phoneticPr fontId="1"/>
  </si>
  <si>
    <t>新規採用</t>
    <rPh sb="0" eb="2">
      <t>シンキ</t>
    </rPh>
    <rPh sb="2" eb="4">
      <t>サイヨウ</t>
    </rPh>
    <phoneticPr fontId="1"/>
  </si>
  <si>
    <t>防水対応、+B電源廃止、17050-05220代替品、互換性なし</t>
    <rPh sb="0" eb="4">
      <t>ボウスイタイオウ</t>
    </rPh>
    <rPh sb="7" eb="9">
      <t>デンゲン</t>
    </rPh>
    <rPh sb="9" eb="11">
      <t>ハイシ</t>
    </rPh>
    <rPh sb="23" eb="26">
      <t>ダイタイヒン</t>
    </rPh>
    <rPh sb="27" eb="30">
      <t>ゴカンセイ</t>
    </rPh>
    <phoneticPr fontId="1"/>
  </si>
  <si>
    <t>17050-05227</t>
    <phoneticPr fontId="1"/>
  </si>
  <si>
    <t>A4E/F.J4B</t>
    <phoneticPr fontId="27"/>
  </si>
  <si>
    <t>A5F.A7G.A12B</t>
    <phoneticPr fontId="27"/>
  </si>
  <si>
    <t>A5F.A7G.A12B.A6E.A9F</t>
    <phoneticPr fontId="27"/>
  </si>
  <si>
    <t>A6E.A9F</t>
    <phoneticPr fontId="27"/>
  </si>
  <si>
    <t>L6E.L8C.L9C</t>
    <phoneticPr fontId="1"/>
  </si>
  <si>
    <t>L8E.L9E</t>
    <phoneticPr fontId="1"/>
  </si>
  <si>
    <t>A13AW</t>
    <phoneticPr fontId="1"/>
  </si>
  <si>
    <t>A14GW/HW</t>
    <phoneticPr fontId="27"/>
  </si>
  <si>
    <t>C9-3</t>
    <phoneticPr fontId="1"/>
  </si>
  <si>
    <t>J7B.J10B</t>
    <phoneticPr fontId="1"/>
  </si>
  <si>
    <t>L8EV</t>
    <phoneticPr fontId="1"/>
  </si>
  <si>
    <t>03201-00016</t>
    <phoneticPr fontId="1"/>
  </si>
  <si>
    <t>イモビサービスツールType2</t>
    <phoneticPr fontId="1"/>
  </si>
  <si>
    <t>イモビサービスツールType1</t>
    <phoneticPr fontId="1"/>
  </si>
  <si>
    <t>J2</t>
    <phoneticPr fontId="1"/>
  </si>
  <si>
    <t>A3F</t>
    <phoneticPr fontId="1"/>
  </si>
  <si>
    <t>03601-00030</t>
    <phoneticPr fontId="27"/>
  </si>
  <si>
    <t>ライセンス版</t>
    <rPh sb="5" eb="6">
      <t>バン</t>
    </rPh>
    <phoneticPr fontId="1"/>
  </si>
  <si>
    <t>フリー版</t>
    <rPh sb="3" eb="4">
      <t>バン</t>
    </rPh>
    <phoneticPr fontId="1"/>
  </si>
  <si>
    <t>03701-00066</t>
    <phoneticPr fontId="1"/>
  </si>
  <si>
    <t>05501-00045</t>
    <phoneticPr fontId="1"/>
  </si>
  <si>
    <t>05501-00060</t>
    <phoneticPr fontId="1"/>
  </si>
  <si>
    <t>05501-00086</t>
    <phoneticPr fontId="1"/>
  </si>
  <si>
    <t>フリー版（メイン、走行）</t>
    <rPh sb="3" eb="4">
      <t>バン</t>
    </rPh>
    <rPh sb="9" eb="11">
      <t>ソウコウ</t>
    </rPh>
    <phoneticPr fontId="1"/>
  </si>
  <si>
    <t>未出図</t>
    <rPh sb="0" eb="3">
      <t>ミシュツズ</t>
    </rPh>
    <phoneticPr fontId="1"/>
  </si>
  <si>
    <t>A14I</t>
    <phoneticPr fontId="1"/>
  </si>
  <si>
    <t xml:space="preserve">	05601-00280</t>
    <phoneticPr fontId="1"/>
  </si>
  <si>
    <t>05601-00281</t>
    <phoneticPr fontId="1"/>
  </si>
  <si>
    <t>05601-00282</t>
    <phoneticPr fontId="1"/>
  </si>
  <si>
    <t>フリー版</t>
    <rPh sb="3" eb="4">
      <t>バン</t>
    </rPh>
    <phoneticPr fontId="1"/>
  </si>
  <si>
    <t>06601-00025</t>
    <phoneticPr fontId="27"/>
  </si>
  <si>
    <t>06801-00018</t>
    <phoneticPr fontId="1"/>
  </si>
  <si>
    <t>フリー版、マルチグリップ（グレーダー）仕様</t>
    <rPh sb="3" eb="4">
      <t>バン</t>
    </rPh>
    <rPh sb="19" eb="21">
      <t>シヨウ</t>
    </rPh>
    <phoneticPr fontId="1"/>
  </si>
  <si>
    <t>ライセンス版、マルチグリップ（グレーダー）仕様</t>
    <rPh sb="5" eb="6">
      <t>バン</t>
    </rPh>
    <rPh sb="21" eb="23">
      <t>シヨウ</t>
    </rPh>
    <phoneticPr fontId="1"/>
  </si>
  <si>
    <t>06801-00025</t>
    <phoneticPr fontId="1"/>
  </si>
  <si>
    <t>06801-00028</t>
    <phoneticPr fontId="1"/>
  </si>
  <si>
    <t>06901-00049</t>
    <phoneticPr fontId="27"/>
  </si>
  <si>
    <t>07001-00017</t>
    <phoneticPr fontId="1"/>
  </si>
  <si>
    <t>フリー版、エンジン</t>
    <rPh sb="3" eb="4">
      <t>バン</t>
    </rPh>
    <phoneticPr fontId="1"/>
  </si>
  <si>
    <t>フリー版、日本語</t>
    <rPh sb="3" eb="4">
      <t>バン</t>
    </rPh>
    <rPh sb="5" eb="8">
      <t>ニホンゴ</t>
    </rPh>
    <phoneticPr fontId="1"/>
  </si>
  <si>
    <t>17301-43142</t>
    <phoneticPr fontId="1"/>
  </si>
  <si>
    <t>７インチクラスタ(17301-43901)用プログラム</t>
    <rPh sb="21" eb="22">
      <t>ヨウ</t>
    </rPh>
    <phoneticPr fontId="1"/>
  </si>
  <si>
    <t>A13A</t>
    <phoneticPr fontId="1"/>
  </si>
  <si>
    <t>8インチクラスタ(17301-43810)用プログラム</t>
    <rPh sb="21" eb="22">
      <t>ヨウ</t>
    </rPh>
    <phoneticPr fontId="1"/>
  </si>
  <si>
    <t>05501-00072</t>
    <phoneticPr fontId="1"/>
  </si>
  <si>
    <t>BAL'S</t>
    <phoneticPr fontId="1"/>
  </si>
  <si>
    <t>06601-00431</t>
    <phoneticPr fontId="1"/>
  </si>
  <si>
    <t>L6C</t>
    <phoneticPr fontId="1"/>
  </si>
  <si>
    <t>L6C用メンテナンスソフト</t>
    <rPh sb="3" eb="4">
      <t>ヨウ</t>
    </rPh>
    <phoneticPr fontId="1"/>
  </si>
  <si>
    <t>ALL</t>
    <phoneticPr fontId="1"/>
  </si>
  <si>
    <t>RFIDタグ(赤)の複製書き込み治具用ソフト</t>
    <rPh sb="7" eb="8">
      <t>アカ</t>
    </rPh>
    <rPh sb="10" eb="12">
      <t>フクセイ</t>
    </rPh>
    <rPh sb="12" eb="13">
      <t>カ</t>
    </rPh>
    <rPh sb="14" eb="15">
      <t>コ</t>
    </rPh>
    <rPh sb="16" eb="18">
      <t>ジグ</t>
    </rPh>
    <rPh sb="18" eb="19">
      <t>ヨウ</t>
    </rPh>
    <phoneticPr fontId="1"/>
  </si>
  <si>
    <t>17301-41859</t>
    <phoneticPr fontId="1"/>
  </si>
  <si>
    <t>03701-00065</t>
    <phoneticPr fontId="1"/>
  </si>
  <si>
    <t>03301-00034</t>
    <phoneticPr fontId="1"/>
  </si>
  <si>
    <t>07001-00019</t>
    <phoneticPr fontId="1"/>
  </si>
  <si>
    <t>07101-00012</t>
    <phoneticPr fontId="1"/>
  </si>
  <si>
    <t>06801-00027</t>
    <phoneticPr fontId="1"/>
  </si>
  <si>
    <t>A14HW/GW.A25F/G.A27A./B</t>
    <phoneticPr fontId="1"/>
  </si>
  <si>
    <t>61087</t>
    <phoneticPr fontId="1"/>
  </si>
  <si>
    <t>63574</t>
    <phoneticPr fontId="1"/>
  </si>
  <si>
    <t>V2.19</t>
    <phoneticPr fontId="1"/>
  </si>
  <si>
    <t>V4.06</t>
    <phoneticPr fontId="1"/>
  </si>
  <si>
    <t>V5.07</t>
    <phoneticPr fontId="1"/>
  </si>
  <si>
    <t>V6.16</t>
    <phoneticPr fontId="1"/>
  </si>
  <si>
    <t>V7.07</t>
    <phoneticPr fontId="1"/>
  </si>
  <si>
    <t>V8.26</t>
    <phoneticPr fontId="1"/>
  </si>
  <si>
    <t>V9.03</t>
    <phoneticPr fontId="1"/>
  </si>
  <si>
    <t>不具合：エバポレータ温度表示</t>
    <rPh sb="0" eb="3">
      <t>フグアイ</t>
    </rPh>
    <rPh sb="10" eb="12">
      <t>オンド</t>
    </rPh>
    <rPh sb="12" eb="14">
      <t>ヒョウジ</t>
    </rPh>
    <phoneticPr fontId="1"/>
  </si>
  <si>
    <t>03242-00069</t>
    <phoneticPr fontId="1"/>
  </si>
  <si>
    <t>63567</t>
    <phoneticPr fontId="1"/>
  </si>
  <si>
    <t>17301-43696</t>
    <phoneticPr fontId="1"/>
  </si>
  <si>
    <t>新規</t>
    <rPh sb="0" eb="2">
      <t>シンキ</t>
    </rPh>
    <phoneticPr fontId="1"/>
  </si>
  <si>
    <t>V028</t>
    <phoneticPr fontId="1"/>
  </si>
  <si>
    <t>63602</t>
    <phoneticPr fontId="1"/>
  </si>
  <si>
    <t>63124</t>
    <phoneticPr fontId="1"/>
  </si>
  <si>
    <t>V2.13</t>
    <phoneticPr fontId="1"/>
  </si>
  <si>
    <t>V3.02</t>
    <phoneticPr fontId="1"/>
  </si>
  <si>
    <t>05501-00029</t>
    <phoneticPr fontId="1"/>
  </si>
  <si>
    <t>05501-00086</t>
    <phoneticPr fontId="1"/>
  </si>
  <si>
    <t>V1.10F</t>
    <phoneticPr fontId="1"/>
  </si>
  <si>
    <t>V1.04L</t>
    <phoneticPr fontId="1"/>
  </si>
  <si>
    <t>仕様：始動時ビーコン動作</t>
    <rPh sb="0" eb="2">
      <t>シヨウ</t>
    </rPh>
    <rPh sb="3" eb="6">
      <t>シドウジ</t>
    </rPh>
    <rPh sb="10" eb="12">
      <t>ドウサ</t>
    </rPh>
    <phoneticPr fontId="1"/>
  </si>
  <si>
    <t>V2.14</t>
    <phoneticPr fontId="1"/>
  </si>
  <si>
    <t>V3.03</t>
    <phoneticPr fontId="1"/>
  </si>
  <si>
    <t>V1.10</t>
    <phoneticPr fontId="1"/>
  </si>
  <si>
    <t>V2.05</t>
    <phoneticPr fontId="1"/>
  </si>
  <si>
    <t>V2.03</t>
    <phoneticPr fontId="1"/>
  </si>
  <si>
    <t>V1.05</t>
    <phoneticPr fontId="1"/>
  </si>
  <si>
    <t>05501-00059</t>
    <phoneticPr fontId="1"/>
  </si>
  <si>
    <t>V1.11F</t>
    <phoneticPr fontId="1"/>
  </si>
  <si>
    <t>V1.05L</t>
    <phoneticPr fontId="1"/>
  </si>
  <si>
    <t>05501-00060</t>
    <phoneticPr fontId="1"/>
  </si>
  <si>
    <t>V1.02L</t>
    <phoneticPr fontId="1"/>
  </si>
  <si>
    <t>不具合：前回変更時の修正もれ</t>
    <rPh sb="0" eb="3">
      <t>フグアイ</t>
    </rPh>
    <rPh sb="4" eb="6">
      <t>ゼンカイ</t>
    </rPh>
    <rPh sb="6" eb="9">
      <t>ヘンコウジ</t>
    </rPh>
    <rPh sb="10" eb="12">
      <t>シュウセイ</t>
    </rPh>
    <phoneticPr fontId="1"/>
  </si>
  <si>
    <t>仕様：始動時のスイング/アジャストモード設定</t>
    <rPh sb="0" eb="2">
      <t>シヨウ</t>
    </rPh>
    <rPh sb="3" eb="6">
      <t>シドウジ</t>
    </rPh>
    <rPh sb="20" eb="22">
      <t>セッテイ</t>
    </rPh>
    <phoneticPr fontId="1"/>
  </si>
  <si>
    <t>-</t>
    <phoneticPr fontId="1"/>
  </si>
  <si>
    <t>〇</t>
    <phoneticPr fontId="1"/>
  </si>
  <si>
    <t>新規、E3Fキャノピ</t>
    <phoneticPr fontId="1"/>
  </si>
  <si>
    <t>54582</t>
    <phoneticPr fontId="1"/>
  </si>
  <si>
    <t>17301-43690</t>
    <phoneticPr fontId="1"/>
  </si>
  <si>
    <t>49120</t>
    <phoneticPr fontId="1"/>
  </si>
  <si>
    <t>53520</t>
    <phoneticPr fontId="1"/>
  </si>
  <si>
    <t>54076</t>
    <phoneticPr fontId="1"/>
  </si>
  <si>
    <t>新規：E3F</t>
    <rPh sb="0" eb="2">
      <t>シンキ</t>
    </rPh>
    <phoneticPr fontId="1"/>
  </si>
  <si>
    <t>V110</t>
    <phoneticPr fontId="1"/>
  </si>
  <si>
    <t>仕様：バッテリ残量表示、他</t>
    <rPh sb="0" eb="2">
      <t>シヨウ</t>
    </rPh>
    <rPh sb="7" eb="9">
      <t>ザンリョウ</t>
    </rPh>
    <rPh sb="9" eb="11">
      <t>ヒョウジ</t>
    </rPh>
    <rPh sb="12" eb="13">
      <t>ホカ</t>
    </rPh>
    <phoneticPr fontId="1"/>
  </si>
  <si>
    <t>仕様：ヒーター追加、他</t>
    <rPh sb="0" eb="2">
      <t>シヨウ</t>
    </rPh>
    <rPh sb="7" eb="9">
      <t>ツイカ</t>
    </rPh>
    <rPh sb="10" eb="11">
      <t>ホカ</t>
    </rPh>
    <phoneticPr fontId="1"/>
  </si>
  <si>
    <t>03742-00557</t>
    <phoneticPr fontId="1"/>
  </si>
  <si>
    <t>J7B</t>
    <phoneticPr fontId="1"/>
  </si>
  <si>
    <t>新規 US仕様EPA対応</t>
    <rPh sb="0" eb="2">
      <t>シンキ</t>
    </rPh>
    <rPh sb="5" eb="7">
      <t>シヨウ</t>
    </rPh>
    <rPh sb="10" eb="12">
      <t>タイオウ</t>
    </rPh>
    <phoneticPr fontId="1"/>
  </si>
  <si>
    <t>V3.00</t>
    <phoneticPr fontId="1"/>
  </si>
  <si>
    <t>XL104-0019</t>
    <phoneticPr fontId="1"/>
  </si>
  <si>
    <t>63310</t>
    <phoneticPr fontId="1"/>
  </si>
  <si>
    <t>新規：US仕様EPA対応</t>
    <rPh sb="0" eb="2">
      <t>シンキ</t>
    </rPh>
    <rPh sb="5" eb="7">
      <t>シヨウ</t>
    </rPh>
    <rPh sb="10" eb="12">
      <t>タイオウ</t>
    </rPh>
    <phoneticPr fontId="1"/>
  </si>
  <si>
    <t>仕様：V2.xxと互換性あり</t>
    <rPh sb="0" eb="2">
      <t>シヨウ</t>
    </rPh>
    <rPh sb="9" eb="12">
      <t>ゴカンセイ</t>
    </rPh>
    <phoneticPr fontId="1"/>
  </si>
  <si>
    <t>-</t>
    <phoneticPr fontId="1"/>
  </si>
  <si>
    <t>17301-43840</t>
  </si>
  <si>
    <t>17301-43840</t>
    <phoneticPr fontId="1"/>
  </si>
  <si>
    <t>新規</t>
    <rPh sb="0" eb="2">
      <t>シンキ</t>
    </rPh>
    <phoneticPr fontId="1"/>
  </si>
  <si>
    <t>55898</t>
    <phoneticPr fontId="1"/>
  </si>
  <si>
    <t>55973</t>
    <phoneticPr fontId="1"/>
  </si>
  <si>
    <t>56474</t>
    <phoneticPr fontId="1"/>
  </si>
  <si>
    <t>60245</t>
    <phoneticPr fontId="1"/>
  </si>
  <si>
    <t>60642</t>
    <phoneticPr fontId="1"/>
  </si>
  <si>
    <t>61698</t>
    <phoneticPr fontId="1"/>
  </si>
  <si>
    <t>62495</t>
    <phoneticPr fontId="1"/>
  </si>
  <si>
    <t>新規：</t>
    <rPh sb="0" eb="2">
      <t>シンキ</t>
    </rPh>
    <phoneticPr fontId="1"/>
  </si>
  <si>
    <t>54721</t>
    <phoneticPr fontId="1"/>
  </si>
  <si>
    <t>B007816</t>
    <phoneticPr fontId="1"/>
  </si>
  <si>
    <t>P102</t>
    <phoneticPr fontId="1"/>
  </si>
  <si>
    <t>仕様：ラジオ情報表示改善（番組名、ミュートボタン、スキャンなど）</t>
    <rPh sb="0" eb="2">
      <t>シヨウ</t>
    </rPh>
    <rPh sb="6" eb="8">
      <t>ジョウホウ</t>
    </rPh>
    <rPh sb="8" eb="10">
      <t>ヒョウジ</t>
    </rPh>
    <rPh sb="10" eb="12">
      <t>カイゼン</t>
    </rPh>
    <rPh sb="13" eb="16">
      <t>バングミメイ</t>
    </rPh>
    <phoneticPr fontId="1"/>
  </si>
  <si>
    <t>P117</t>
    <phoneticPr fontId="1"/>
  </si>
  <si>
    <t>仕様：ラジオ番組一覧表示</t>
    <rPh sb="0" eb="2">
      <t>シヨウ</t>
    </rPh>
    <rPh sb="6" eb="8">
      <t>バングミ</t>
    </rPh>
    <rPh sb="8" eb="10">
      <t>イチラン</t>
    </rPh>
    <rPh sb="10" eb="12">
      <t>ヒョウジ</t>
    </rPh>
    <phoneticPr fontId="1"/>
  </si>
  <si>
    <t>不具合：A14IWの流量設定の初期値が仕様と違う</t>
    <rPh sb="0" eb="3">
      <t>フグアイ</t>
    </rPh>
    <rPh sb="10" eb="12">
      <t>リュウリョウ</t>
    </rPh>
    <rPh sb="12" eb="14">
      <t>セッテイ</t>
    </rPh>
    <rPh sb="15" eb="18">
      <t>ショキチ</t>
    </rPh>
    <rPh sb="19" eb="21">
      <t>シヨウ</t>
    </rPh>
    <rPh sb="22" eb="23">
      <t>チガ</t>
    </rPh>
    <phoneticPr fontId="1"/>
  </si>
  <si>
    <t>P124</t>
    <phoneticPr fontId="1"/>
  </si>
  <si>
    <t>P133</t>
    <phoneticPr fontId="1"/>
  </si>
  <si>
    <t>不具合：バックカメラ画像の揺れ改善
仕様：拡張出力機能追加、ジョイスティックステアリング機能追加、オートディギング機能追加、エコプラス機能追加</t>
    <rPh sb="0" eb="3">
      <t>フグアイ</t>
    </rPh>
    <rPh sb="10" eb="12">
      <t>ガゾウ</t>
    </rPh>
    <rPh sb="13" eb="14">
      <t>ユ</t>
    </rPh>
    <rPh sb="15" eb="17">
      <t>カイゼン</t>
    </rPh>
    <rPh sb="18" eb="20">
      <t>シヨウ</t>
    </rPh>
    <rPh sb="21" eb="23">
      <t>カクチョウ</t>
    </rPh>
    <rPh sb="23" eb="25">
      <t>シュツリョク</t>
    </rPh>
    <rPh sb="25" eb="27">
      <t>キノウ</t>
    </rPh>
    <rPh sb="27" eb="29">
      <t>ツイカ</t>
    </rPh>
    <rPh sb="44" eb="46">
      <t>キノウ</t>
    </rPh>
    <rPh sb="46" eb="48">
      <t>ツイカ</t>
    </rPh>
    <rPh sb="57" eb="59">
      <t>キノウ</t>
    </rPh>
    <rPh sb="59" eb="61">
      <t>ツイカ</t>
    </rPh>
    <rPh sb="67" eb="69">
      <t>キノウ</t>
    </rPh>
    <rPh sb="69" eb="71">
      <t>ツイカ</t>
    </rPh>
    <phoneticPr fontId="1"/>
  </si>
  <si>
    <t>P135</t>
    <phoneticPr fontId="1"/>
  </si>
  <si>
    <t>不具合：電話番号が表示されない</t>
    <rPh sb="0" eb="3">
      <t>フグアイ</t>
    </rPh>
    <rPh sb="4" eb="8">
      <t>デンワバンゴウ</t>
    </rPh>
    <rPh sb="9" eb="11">
      <t>ヒョウジ</t>
    </rPh>
    <phoneticPr fontId="1"/>
  </si>
  <si>
    <t>P140</t>
    <phoneticPr fontId="1"/>
  </si>
  <si>
    <t>不具合：機種判別に失敗しパラメータがリセットされる
仕様：オートディギングピン情報追加</t>
    <rPh sb="0" eb="3">
      <t>フグアイ</t>
    </rPh>
    <rPh sb="4" eb="8">
      <t>キシュハンベツ</t>
    </rPh>
    <rPh sb="9" eb="11">
      <t>シッパイ</t>
    </rPh>
    <rPh sb="26" eb="28">
      <t>シヨウ</t>
    </rPh>
    <rPh sb="39" eb="41">
      <t>ジョウホウ</t>
    </rPh>
    <rPh sb="41" eb="43">
      <t>ツイカ</t>
    </rPh>
    <phoneticPr fontId="1"/>
  </si>
  <si>
    <t>P1xx</t>
    <phoneticPr fontId="1"/>
  </si>
  <si>
    <t>17301-43842</t>
  </si>
  <si>
    <t>17301-43842</t>
    <phoneticPr fontId="1"/>
  </si>
  <si>
    <t>P2xx</t>
    <phoneticPr fontId="1"/>
  </si>
  <si>
    <t>仕様：EN474:2020対応</t>
    <rPh sb="0" eb="2">
      <t>シヨウ</t>
    </rPh>
    <rPh sb="13" eb="15">
      <t>タイオウ</t>
    </rPh>
    <phoneticPr fontId="1"/>
  </si>
  <si>
    <t>61205</t>
    <phoneticPr fontId="1"/>
  </si>
  <si>
    <t>61591</t>
    <phoneticPr fontId="1"/>
  </si>
  <si>
    <t>63514</t>
    <phoneticPr fontId="1"/>
  </si>
  <si>
    <t>新規：EN474-5対応（品番設定のみ）</t>
    <rPh sb="0" eb="2">
      <t>シンキ</t>
    </rPh>
    <rPh sb="10" eb="12">
      <t>タイオウ</t>
    </rPh>
    <rPh sb="13" eb="15">
      <t>ヒンバン</t>
    </rPh>
    <rPh sb="15" eb="17">
      <t>セッテイ</t>
    </rPh>
    <phoneticPr fontId="1"/>
  </si>
  <si>
    <t>不具合：機種判別に失敗しパラメータがリセットされる
仕様：緊急ステアリング警告アイコン追加</t>
    <rPh sb="0" eb="3">
      <t>フグアイ</t>
    </rPh>
    <rPh sb="4" eb="8">
      <t>キシュハンベツ</t>
    </rPh>
    <rPh sb="9" eb="11">
      <t>シッパイ</t>
    </rPh>
    <rPh sb="26" eb="28">
      <t>シヨウ</t>
    </rPh>
    <rPh sb="29" eb="31">
      <t>キンキュウ</t>
    </rPh>
    <rPh sb="37" eb="39">
      <t>ケイコク</t>
    </rPh>
    <rPh sb="43" eb="45">
      <t>ツイカ</t>
    </rPh>
    <phoneticPr fontId="1"/>
  </si>
  <si>
    <t>P215</t>
    <phoneticPr fontId="1"/>
  </si>
  <si>
    <t>仕様：緊急ステアリングソレノイド断線エラー追加</t>
    <rPh sb="0" eb="2">
      <t>シヨウ</t>
    </rPh>
    <rPh sb="3" eb="5">
      <t>キンキュウ</t>
    </rPh>
    <rPh sb="16" eb="18">
      <t>ダンセン</t>
    </rPh>
    <rPh sb="21" eb="23">
      <t>ツイカ</t>
    </rPh>
    <phoneticPr fontId="1"/>
  </si>
  <si>
    <t>P206</t>
    <phoneticPr fontId="1"/>
  </si>
  <si>
    <t>P212</t>
    <phoneticPr fontId="1"/>
  </si>
  <si>
    <t>63577</t>
    <phoneticPr fontId="1"/>
  </si>
  <si>
    <t>-</t>
    <phoneticPr fontId="1"/>
  </si>
  <si>
    <t>06896-00001</t>
    <phoneticPr fontId="1"/>
  </si>
  <si>
    <t>治具</t>
    <rPh sb="0" eb="2">
      <t>ジグ</t>
    </rPh>
    <phoneticPr fontId="1"/>
  </si>
  <si>
    <t>DP250-01-01-04-05</t>
    <phoneticPr fontId="1"/>
  </si>
  <si>
    <t>V1.40</t>
    <phoneticPr fontId="1"/>
  </si>
  <si>
    <t>62014</t>
    <phoneticPr fontId="1"/>
  </si>
  <si>
    <t>63712</t>
    <phoneticPr fontId="1"/>
  </si>
  <si>
    <t>03701-00065</t>
    <phoneticPr fontId="1"/>
  </si>
  <si>
    <t>63753</t>
    <phoneticPr fontId="1"/>
  </si>
  <si>
    <t>03701-00066</t>
    <phoneticPr fontId="1"/>
  </si>
  <si>
    <t>05701-00058</t>
    <phoneticPr fontId="1"/>
  </si>
  <si>
    <t>50307</t>
    <phoneticPr fontId="1"/>
  </si>
  <si>
    <t>62508</t>
    <phoneticPr fontId="1"/>
  </si>
  <si>
    <t>54648</t>
    <phoneticPr fontId="1"/>
  </si>
  <si>
    <t>63236</t>
    <phoneticPr fontId="1"/>
  </si>
  <si>
    <t>V1.00</t>
    <phoneticPr fontId="1"/>
  </si>
  <si>
    <t>新規：</t>
    <rPh sb="0" eb="2">
      <t>シンキ</t>
    </rPh>
    <phoneticPr fontId="1"/>
  </si>
  <si>
    <t>V1.01F</t>
    <phoneticPr fontId="1"/>
  </si>
  <si>
    <t>仕様：クレーン仕様追加</t>
    <rPh sb="0" eb="2">
      <t>シヨウ</t>
    </rPh>
    <rPh sb="7" eb="9">
      <t>シヨウ</t>
    </rPh>
    <rPh sb="9" eb="11">
      <t>ツイカ</t>
    </rPh>
    <phoneticPr fontId="1"/>
  </si>
  <si>
    <t>不具合：クラスタパスワード設定機能</t>
    <rPh sb="0" eb="3">
      <t>フグアイ</t>
    </rPh>
    <rPh sb="13" eb="15">
      <t>セッテイ</t>
    </rPh>
    <rPh sb="15" eb="17">
      <t>キノウ</t>
    </rPh>
    <phoneticPr fontId="1"/>
  </si>
  <si>
    <t>V1.02F</t>
    <phoneticPr fontId="1"/>
  </si>
  <si>
    <t>V1.04F</t>
    <phoneticPr fontId="1"/>
  </si>
  <si>
    <t>V1.13F</t>
    <phoneticPr fontId="1"/>
  </si>
  <si>
    <t>仕様：オートエンジンストップ機能変更、ビーコン起動時の仕様変更</t>
    <rPh sb="0" eb="2">
      <t>シヨウ</t>
    </rPh>
    <rPh sb="14" eb="16">
      <t>キノウ</t>
    </rPh>
    <rPh sb="16" eb="18">
      <t>ヘンコウ</t>
    </rPh>
    <rPh sb="23" eb="26">
      <t>キドウジ</t>
    </rPh>
    <rPh sb="27" eb="29">
      <t>シヨウ</t>
    </rPh>
    <rPh sb="29" eb="31">
      <t>ヘンコウ</t>
    </rPh>
    <phoneticPr fontId="1"/>
  </si>
  <si>
    <t>V1.00L</t>
    <phoneticPr fontId="1"/>
  </si>
  <si>
    <t>新規：ライセンス版</t>
    <rPh sb="0" eb="2">
      <t>シンキ</t>
    </rPh>
    <rPh sb="8" eb="9">
      <t>バン</t>
    </rPh>
    <phoneticPr fontId="1"/>
  </si>
  <si>
    <t>V1.01L</t>
    <phoneticPr fontId="1"/>
  </si>
  <si>
    <t>V1.03L</t>
    <phoneticPr fontId="1"/>
  </si>
  <si>
    <t>54718</t>
    <phoneticPr fontId="1"/>
  </si>
  <si>
    <t>60410</t>
    <phoneticPr fontId="1"/>
  </si>
  <si>
    <t>62019</t>
    <phoneticPr fontId="1"/>
  </si>
  <si>
    <t>不具合：エンジンサービスツール機能不具合改善</t>
    <rPh sb="0" eb="3">
      <t>フグアイ</t>
    </rPh>
    <rPh sb="15" eb="17">
      <t>キノウ</t>
    </rPh>
    <rPh sb="17" eb="20">
      <t>フグアイ</t>
    </rPh>
    <rPh sb="20" eb="22">
      <t>カイゼン</t>
    </rPh>
    <phoneticPr fontId="1"/>
  </si>
  <si>
    <t>V1.00F</t>
    <phoneticPr fontId="1"/>
  </si>
  <si>
    <t>V1.05F</t>
    <phoneticPr fontId="1"/>
  </si>
  <si>
    <t>V1.06F</t>
    <phoneticPr fontId="1"/>
  </si>
  <si>
    <t>V1.07F</t>
    <phoneticPr fontId="1"/>
  </si>
  <si>
    <t>V1.12F</t>
    <phoneticPr fontId="1"/>
  </si>
  <si>
    <t>45920</t>
    <phoneticPr fontId="1"/>
  </si>
  <si>
    <t>46921</t>
    <phoneticPr fontId="1"/>
  </si>
  <si>
    <t>47644</t>
    <phoneticPr fontId="1"/>
  </si>
  <si>
    <t>48255</t>
    <phoneticPr fontId="1"/>
  </si>
  <si>
    <t>48542</t>
    <phoneticPr fontId="1"/>
  </si>
  <si>
    <t>48593</t>
    <phoneticPr fontId="1"/>
  </si>
  <si>
    <t>49487</t>
    <phoneticPr fontId="1"/>
  </si>
  <si>
    <t>52310</t>
    <phoneticPr fontId="1"/>
  </si>
  <si>
    <t>53853</t>
    <phoneticPr fontId="1"/>
  </si>
  <si>
    <t>新規：新規出図</t>
    <rPh sb="0" eb="2">
      <t>シンキ</t>
    </rPh>
    <rPh sb="3" eb="7">
      <t>シンキシュツズ</t>
    </rPh>
    <phoneticPr fontId="1"/>
  </si>
  <si>
    <t>仕様：オートバックカメラ、サービスパターンチェンジ</t>
    <rPh sb="0" eb="2">
      <t>シヨウ</t>
    </rPh>
    <phoneticPr fontId="1"/>
  </si>
  <si>
    <t>仕様：ハードロック仕様追加</t>
    <rPh sb="0" eb="2">
      <t>シヨウ</t>
    </rPh>
    <rPh sb="9" eb="11">
      <t>シヨウ</t>
    </rPh>
    <rPh sb="11" eb="13">
      <t>ツイカ</t>
    </rPh>
    <phoneticPr fontId="1"/>
  </si>
  <si>
    <t>仕様：パワーモード廃止、低温時エンジン保護追加</t>
    <rPh sb="0" eb="2">
      <t>シヨウ</t>
    </rPh>
    <rPh sb="9" eb="11">
      <t>ハイシ</t>
    </rPh>
    <rPh sb="12" eb="15">
      <t>テイオンジ</t>
    </rPh>
    <rPh sb="19" eb="21">
      <t>ホゴ</t>
    </rPh>
    <rPh sb="21" eb="23">
      <t>ツイカ</t>
    </rPh>
    <phoneticPr fontId="1"/>
  </si>
  <si>
    <t>仕様：A25G/A27Bファンドライブパラメータ追加</t>
    <rPh sb="0" eb="2">
      <t>シヨウ</t>
    </rPh>
    <rPh sb="24" eb="26">
      <t>ツイカ</t>
    </rPh>
    <phoneticPr fontId="1"/>
  </si>
  <si>
    <t>V10.01</t>
    <phoneticPr fontId="1"/>
  </si>
  <si>
    <t>V8.01</t>
    <phoneticPr fontId="1"/>
  </si>
  <si>
    <t>63644</t>
    <phoneticPr fontId="1"/>
  </si>
  <si>
    <t>不具合：アワメータカウント、コンタクタ溶着、左レバー中立以上、IOXコントローラ電源電圧</t>
    <rPh sb="0" eb="3">
      <t>フグアイ</t>
    </rPh>
    <rPh sb="19" eb="21">
      <t>ヨウチャク</t>
    </rPh>
    <rPh sb="22" eb="23">
      <t>ヒダリ</t>
    </rPh>
    <rPh sb="26" eb="28">
      <t>チュウリツ</t>
    </rPh>
    <rPh sb="28" eb="30">
      <t>イジョウ</t>
    </rPh>
    <rPh sb="40" eb="42">
      <t>デンゲン</t>
    </rPh>
    <rPh sb="42" eb="44">
      <t>デンアツ</t>
    </rPh>
    <phoneticPr fontId="1"/>
  </si>
  <si>
    <t>不具合：アワメータカウント</t>
    <rPh sb="0" eb="3">
      <t>フグアイ</t>
    </rPh>
    <phoneticPr fontId="1"/>
  </si>
  <si>
    <t>07101-00026</t>
    <phoneticPr fontId="1"/>
  </si>
  <si>
    <t>新規：通常版</t>
    <rPh sb="0" eb="2">
      <t>シンキ</t>
    </rPh>
    <rPh sb="3" eb="5">
      <t>ツウジョウ</t>
    </rPh>
    <rPh sb="5" eb="6">
      <t>バン</t>
    </rPh>
    <phoneticPr fontId="1"/>
  </si>
  <si>
    <t>61457</t>
    <phoneticPr fontId="1"/>
  </si>
  <si>
    <t>V1.00F</t>
    <phoneticPr fontId="1"/>
  </si>
  <si>
    <t>-</t>
    <phoneticPr fontId="1"/>
  </si>
  <si>
    <t>05742-00550</t>
  </si>
  <si>
    <t>05742-00550</t>
    <phoneticPr fontId="1"/>
  </si>
  <si>
    <t>63576</t>
    <phoneticPr fontId="1"/>
  </si>
  <si>
    <t>V1.01</t>
    <phoneticPr fontId="1"/>
  </si>
  <si>
    <t>仕様：AUX圧力調整SOLパラメータ変更、他量産P指摘事項対応</t>
    <rPh sb="0" eb="2">
      <t>シヨウ</t>
    </rPh>
    <rPh sb="6" eb="8">
      <t>アツリョク</t>
    </rPh>
    <rPh sb="8" eb="10">
      <t>チョウセイ</t>
    </rPh>
    <rPh sb="18" eb="20">
      <t>ヘンコウ</t>
    </rPh>
    <rPh sb="21" eb="22">
      <t>ホカ</t>
    </rPh>
    <rPh sb="22" eb="24">
      <t>リョウサン</t>
    </rPh>
    <rPh sb="25" eb="29">
      <t>シテキジコウ</t>
    </rPh>
    <rPh sb="29" eb="31">
      <t>タイオウ</t>
    </rPh>
    <phoneticPr fontId="1"/>
  </si>
  <si>
    <t>設変</t>
    <rPh sb="0" eb="2">
      <t>セツヘン</t>
    </rPh>
    <phoneticPr fontId="1"/>
  </si>
  <si>
    <t>5.7"COLOR DISPLAY WITH OUT VIDEO</t>
    <phoneticPr fontId="1"/>
  </si>
  <si>
    <t>5.7"COLOR DISPLAY WITH VIDEO</t>
    <phoneticPr fontId="1"/>
  </si>
  <si>
    <t>17301-43820</t>
  </si>
  <si>
    <t>17301-43820</t>
    <phoneticPr fontId="1"/>
  </si>
  <si>
    <t>17301-43821</t>
  </si>
  <si>
    <t>17301-43821</t>
    <phoneticPr fontId="1"/>
  </si>
  <si>
    <t>カメラあり</t>
    <phoneticPr fontId="1"/>
  </si>
  <si>
    <t>B007078</t>
    <phoneticPr fontId="1"/>
  </si>
  <si>
    <t>54648</t>
    <phoneticPr fontId="1"/>
  </si>
  <si>
    <t>55139</t>
    <phoneticPr fontId="1"/>
  </si>
  <si>
    <t>54721</t>
    <phoneticPr fontId="1"/>
  </si>
  <si>
    <t>55521</t>
    <phoneticPr fontId="1"/>
  </si>
  <si>
    <t>60217</t>
    <phoneticPr fontId="1"/>
  </si>
  <si>
    <t>62539</t>
    <phoneticPr fontId="1"/>
  </si>
  <si>
    <t xml:space="preserve">	62938</t>
    <phoneticPr fontId="1"/>
  </si>
  <si>
    <t>仕様：クレーン仕様追加</t>
    <rPh sb="0" eb="2">
      <t>シヨウ</t>
    </rPh>
    <rPh sb="7" eb="9">
      <t>シヨウ</t>
    </rPh>
    <rPh sb="9" eb="11">
      <t>ツイカ</t>
    </rPh>
    <phoneticPr fontId="1"/>
  </si>
  <si>
    <t>不具合：過去エラー表示</t>
    <rPh sb="0" eb="3">
      <t>フグアイ</t>
    </rPh>
    <rPh sb="4" eb="6">
      <t>カコ</t>
    </rPh>
    <rPh sb="9" eb="11">
      <t>ヒョウジ</t>
    </rPh>
    <phoneticPr fontId="1"/>
  </si>
  <si>
    <t>仕様：DAB画面番組名表示</t>
    <rPh sb="0" eb="2">
      <t>シヨウ</t>
    </rPh>
    <rPh sb="6" eb="8">
      <t>ガメン</t>
    </rPh>
    <rPh sb="8" eb="11">
      <t>バングミメイ</t>
    </rPh>
    <rPh sb="11" eb="13">
      <t>ヒョウジ</t>
    </rPh>
    <phoneticPr fontId="1"/>
  </si>
  <si>
    <t>仕様：DAB画面番組一覧表示
不具合：PM体積量、灰体積量の表示</t>
    <rPh sb="0" eb="2">
      <t>シヨウ</t>
    </rPh>
    <rPh sb="6" eb="8">
      <t>ガメン</t>
    </rPh>
    <rPh sb="8" eb="10">
      <t>バングミ</t>
    </rPh>
    <rPh sb="10" eb="12">
      <t>イチラン</t>
    </rPh>
    <rPh sb="12" eb="14">
      <t>ヒョウジ</t>
    </rPh>
    <rPh sb="15" eb="18">
      <t>フグアイ</t>
    </rPh>
    <rPh sb="21" eb="24">
      <t>タイセキリョウ</t>
    </rPh>
    <rPh sb="25" eb="26">
      <t>ハイ</t>
    </rPh>
    <rPh sb="26" eb="29">
      <t>タイセキリョウ</t>
    </rPh>
    <rPh sb="30" eb="32">
      <t>ヒョウジ</t>
    </rPh>
    <phoneticPr fontId="1"/>
  </si>
  <si>
    <t>仕様：J7B減馬力制御変更に伴い裏画面入出力画面にピン情報追加</t>
    <rPh sb="0" eb="2">
      <t>シヨウ</t>
    </rPh>
    <rPh sb="6" eb="9">
      <t>ゲンバリキ</t>
    </rPh>
    <rPh sb="9" eb="11">
      <t>セイギョ</t>
    </rPh>
    <rPh sb="11" eb="13">
      <t>ヘンコウ</t>
    </rPh>
    <rPh sb="14" eb="15">
      <t>トモナ</t>
    </rPh>
    <rPh sb="16" eb="19">
      <t>ウラガメン</t>
    </rPh>
    <rPh sb="19" eb="22">
      <t>ニュウシュツリョク</t>
    </rPh>
    <rPh sb="22" eb="24">
      <t>ガメン</t>
    </rPh>
    <rPh sb="27" eb="29">
      <t>ジョウホウ</t>
    </rPh>
    <rPh sb="29" eb="31">
      <t>ツイカ</t>
    </rPh>
    <phoneticPr fontId="1"/>
  </si>
  <si>
    <t>不具合：エラーコード表示漏れ</t>
    <rPh sb="0" eb="3">
      <t>フグアイ</t>
    </rPh>
    <rPh sb="10" eb="12">
      <t>ヒョウジ</t>
    </rPh>
    <rPh sb="12" eb="13">
      <t>モ</t>
    </rPh>
    <phoneticPr fontId="1"/>
  </si>
  <si>
    <t>61035</t>
    <phoneticPr fontId="1"/>
  </si>
  <si>
    <t>61445</t>
    <phoneticPr fontId="1"/>
  </si>
  <si>
    <t>62938</t>
    <phoneticPr fontId="1"/>
  </si>
  <si>
    <t>新規：EN474対応バックカメラ仕様追加</t>
    <rPh sb="0" eb="2">
      <t>シンキ</t>
    </rPh>
    <rPh sb="8" eb="10">
      <t>タイオウ</t>
    </rPh>
    <rPh sb="16" eb="18">
      <t>シヨウ</t>
    </rPh>
    <rPh sb="18" eb="20">
      <t>ツイカ</t>
    </rPh>
    <phoneticPr fontId="1"/>
  </si>
  <si>
    <t>不具合：アイコンの視認性向上</t>
    <rPh sb="0" eb="3">
      <t>フグアイ</t>
    </rPh>
    <rPh sb="9" eb="12">
      <t>シニンセイ</t>
    </rPh>
    <rPh sb="12" eb="14">
      <t>コウジョウ</t>
    </rPh>
    <phoneticPr fontId="1"/>
  </si>
  <si>
    <t>V130</t>
    <phoneticPr fontId="1"/>
  </si>
  <si>
    <t>DM700 BASIC WITH TOUCH</t>
    <phoneticPr fontId="1"/>
  </si>
  <si>
    <t>-</t>
    <phoneticPr fontId="1"/>
  </si>
  <si>
    <t>V111</t>
    <phoneticPr fontId="1"/>
  </si>
  <si>
    <t>不具合：FRAM破損、HWDファイルアップデート(v311)</t>
    <rPh sb="0" eb="3">
      <t>フグアイ</t>
    </rPh>
    <rPh sb="8" eb="10">
      <t>ハソン</t>
    </rPh>
    <phoneticPr fontId="1"/>
  </si>
  <si>
    <t>V121</t>
    <phoneticPr fontId="1"/>
  </si>
  <si>
    <t>V131</t>
    <phoneticPr fontId="1"/>
  </si>
  <si>
    <t>J10B</t>
  </si>
  <si>
    <t>J7B</t>
  </si>
  <si>
    <t>17301-43830</t>
    <phoneticPr fontId="1"/>
  </si>
  <si>
    <t>XO-430TJ</t>
    <phoneticPr fontId="1"/>
  </si>
  <si>
    <t>17301-43695</t>
    <phoneticPr fontId="1"/>
  </si>
  <si>
    <t>XO-570T</t>
    <phoneticPr fontId="1"/>
  </si>
  <si>
    <t>62602</t>
    <phoneticPr fontId="1"/>
  </si>
  <si>
    <t>63187</t>
    <phoneticPr fontId="1"/>
  </si>
  <si>
    <t>C9-5/C10-5</t>
    <phoneticPr fontId="1"/>
  </si>
  <si>
    <t>C10-5</t>
    <phoneticPr fontId="1"/>
  </si>
  <si>
    <t>C9-5</t>
    <phoneticPr fontId="1"/>
  </si>
  <si>
    <t>17301-43667</t>
  </si>
  <si>
    <t>B008955</t>
    <phoneticPr fontId="1"/>
  </si>
  <si>
    <t>56003</t>
    <phoneticPr fontId="1"/>
  </si>
  <si>
    <t>56041</t>
    <phoneticPr fontId="1"/>
  </si>
  <si>
    <t>新規：</t>
    <rPh sb="0" eb="2">
      <t>シンキ</t>
    </rPh>
    <phoneticPr fontId="1"/>
  </si>
  <si>
    <t>仕様：ラベルにQRコード追加</t>
    <rPh sb="0" eb="2">
      <t>シヨウ</t>
    </rPh>
    <rPh sb="12" eb="14">
      <t>ツイカ</t>
    </rPh>
    <phoneticPr fontId="1"/>
  </si>
  <si>
    <t>56084</t>
    <phoneticPr fontId="1"/>
  </si>
  <si>
    <t>56317</t>
    <phoneticPr fontId="1"/>
  </si>
  <si>
    <t>61008</t>
    <phoneticPr fontId="1"/>
  </si>
  <si>
    <t>60762</t>
    <phoneticPr fontId="1"/>
  </si>
  <si>
    <t>61125</t>
    <phoneticPr fontId="1"/>
  </si>
  <si>
    <t>L5E</t>
    <phoneticPr fontId="1"/>
  </si>
  <si>
    <t>L5E2</t>
    <phoneticPr fontId="1"/>
  </si>
  <si>
    <t>L6F</t>
    <phoneticPr fontId="1"/>
  </si>
  <si>
    <t>L8EV</t>
    <phoneticPr fontId="1"/>
  </si>
  <si>
    <t>L9EV2</t>
    <phoneticPr fontId="1"/>
  </si>
  <si>
    <t>L9ER2</t>
    <phoneticPr fontId="1"/>
  </si>
  <si>
    <t>L8EV2</t>
    <phoneticPr fontId="1"/>
  </si>
  <si>
    <t>V1.01</t>
    <phoneticPr fontId="1"/>
  </si>
  <si>
    <t>V1.00</t>
    <phoneticPr fontId="1"/>
  </si>
  <si>
    <t>不具合：バグ修正</t>
    <rPh sb="0" eb="3">
      <t>フグアイ</t>
    </rPh>
    <rPh sb="6" eb="8">
      <t>シュウセイ</t>
    </rPh>
    <phoneticPr fontId="1"/>
  </si>
  <si>
    <t>V1.02</t>
    <phoneticPr fontId="1"/>
  </si>
  <si>
    <t>V1.04</t>
    <phoneticPr fontId="1"/>
  </si>
  <si>
    <t>仕様：機能の初期値を変更
不具合：一定時間で画面が消える不具合を修正</t>
    <rPh sb="0" eb="2">
      <t>シヨウ</t>
    </rPh>
    <rPh sb="3" eb="5">
      <t>キノウ</t>
    </rPh>
    <rPh sb="6" eb="9">
      <t>ショキチ</t>
    </rPh>
    <rPh sb="10" eb="12">
      <t>ヘンコウ</t>
    </rPh>
    <rPh sb="13" eb="16">
      <t>フグアイ</t>
    </rPh>
    <rPh sb="17" eb="21">
      <t>イッテイジカン</t>
    </rPh>
    <rPh sb="22" eb="24">
      <t>ガメン</t>
    </rPh>
    <rPh sb="25" eb="26">
      <t>キ</t>
    </rPh>
    <rPh sb="28" eb="31">
      <t>フグアイ</t>
    </rPh>
    <rPh sb="32" eb="34">
      <t>シュウセイ</t>
    </rPh>
    <phoneticPr fontId="1"/>
  </si>
  <si>
    <t>V1.07</t>
    <phoneticPr fontId="1"/>
  </si>
  <si>
    <t>不具合：クリープモード時ATTアイコンが選択できない
不具合：昼夜モードが切り替わらない
不具合：裏画面Input情報の表示桁数
不具合：エンジンエラーコード表示</t>
    <rPh sb="0" eb="3">
      <t>フグアイ</t>
    </rPh>
    <rPh sb="11" eb="12">
      <t>ジ</t>
    </rPh>
    <rPh sb="20" eb="22">
      <t>センタク</t>
    </rPh>
    <rPh sb="27" eb="30">
      <t>フグアイ</t>
    </rPh>
    <rPh sb="31" eb="33">
      <t>ヒルヨル</t>
    </rPh>
    <rPh sb="37" eb="38">
      <t>キ</t>
    </rPh>
    <rPh sb="39" eb="40">
      <t>カ</t>
    </rPh>
    <rPh sb="45" eb="48">
      <t>フグアイ</t>
    </rPh>
    <rPh sb="49" eb="52">
      <t>ウラガメン</t>
    </rPh>
    <rPh sb="57" eb="59">
      <t>ジョウホウ</t>
    </rPh>
    <rPh sb="60" eb="62">
      <t>ヒョウジ</t>
    </rPh>
    <rPh sb="62" eb="64">
      <t>ケタスウ</t>
    </rPh>
    <rPh sb="65" eb="68">
      <t>フグアイ</t>
    </rPh>
    <rPh sb="79" eb="81">
      <t>ヒョウジ</t>
    </rPh>
    <phoneticPr fontId="1"/>
  </si>
  <si>
    <t>不具合：防水対策</t>
    <rPh sb="0" eb="3">
      <t>フグアイ</t>
    </rPh>
    <rPh sb="4" eb="6">
      <t>ボウスイ</t>
    </rPh>
    <rPh sb="6" eb="8">
      <t>タイサク</t>
    </rPh>
    <phoneticPr fontId="1"/>
  </si>
  <si>
    <t>不具合：ディスプレイCAN通信異常の誤発報</t>
    <rPh sb="0" eb="3">
      <t>フグアイ</t>
    </rPh>
    <rPh sb="13" eb="15">
      <t>ツウシン</t>
    </rPh>
    <rPh sb="15" eb="17">
      <t>イジョウ</t>
    </rPh>
    <rPh sb="18" eb="21">
      <t>ゴハッポウ</t>
    </rPh>
    <phoneticPr fontId="1"/>
  </si>
  <si>
    <t>不具合：液晶剥がれ対策（プライマ処理追加）</t>
    <rPh sb="0" eb="3">
      <t>フグアイ</t>
    </rPh>
    <rPh sb="4" eb="7">
      <t>エキショウハ</t>
    </rPh>
    <rPh sb="9" eb="11">
      <t>タイサク</t>
    </rPh>
    <rPh sb="16" eb="18">
      <t>ショリ</t>
    </rPh>
    <rPh sb="18" eb="20">
      <t>ツイカ</t>
    </rPh>
    <phoneticPr fontId="1"/>
  </si>
  <si>
    <t>V1.08</t>
    <phoneticPr fontId="1"/>
  </si>
  <si>
    <t>17301-43671</t>
  </si>
  <si>
    <t>XO-570TM</t>
    <phoneticPr fontId="1"/>
  </si>
  <si>
    <t>17301-43671</t>
    <phoneticPr fontId="1"/>
  </si>
  <si>
    <t>63034</t>
    <phoneticPr fontId="1"/>
  </si>
  <si>
    <t>V1.10</t>
    <phoneticPr fontId="1"/>
  </si>
  <si>
    <t>不具合：防水対策
不具合：カメラ画像が表示されない</t>
    <rPh sb="0" eb="3">
      <t>フグアイ</t>
    </rPh>
    <rPh sb="4" eb="8">
      <t>ボウスイタイサク</t>
    </rPh>
    <rPh sb="9" eb="12">
      <t>フグアイ</t>
    </rPh>
    <rPh sb="16" eb="18">
      <t>ガゾウ</t>
    </rPh>
    <rPh sb="19" eb="21">
      <t>ヒョウジ</t>
    </rPh>
    <phoneticPr fontId="1"/>
  </si>
  <si>
    <t>KOSO</t>
    <phoneticPr fontId="1"/>
  </si>
  <si>
    <t>竹内</t>
    <rPh sb="0" eb="2">
      <t>タケウチ</t>
    </rPh>
    <phoneticPr fontId="1"/>
  </si>
  <si>
    <t>17301-43870</t>
  </si>
  <si>
    <t>L85G</t>
  </si>
  <si>
    <t>A25F/G、A27A/B</t>
    <phoneticPr fontId="1"/>
  </si>
  <si>
    <t>A13A</t>
    <phoneticPr fontId="1"/>
  </si>
  <si>
    <t>17301-43850</t>
  </si>
  <si>
    <t>17301-43850</t>
    <phoneticPr fontId="1"/>
  </si>
  <si>
    <t>17301-43852</t>
  </si>
  <si>
    <t>17301-43852</t>
    <phoneticPr fontId="1"/>
  </si>
  <si>
    <t>8inch</t>
    <phoneticPr fontId="1"/>
  </si>
  <si>
    <t>P1xx</t>
    <phoneticPr fontId="1"/>
  </si>
  <si>
    <t>新規</t>
    <rPh sb="0" eb="2">
      <t>シンキ</t>
    </rPh>
    <phoneticPr fontId="1"/>
  </si>
  <si>
    <t>55446</t>
    <phoneticPr fontId="1"/>
  </si>
  <si>
    <t>60086</t>
    <phoneticPr fontId="1"/>
  </si>
  <si>
    <t>60031</t>
    <phoneticPr fontId="1"/>
  </si>
  <si>
    <t>61757</t>
    <phoneticPr fontId="1"/>
  </si>
  <si>
    <t>A14HW/GW、A25F/G、A27A/B</t>
    <phoneticPr fontId="1"/>
  </si>
  <si>
    <t>54713</t>
    <phoneticPr fontId="1"/>
  </si>
  <si>
    <t>新規：製造元変更</t>
    <rPh sb="0" eb="2">
      <t>シンキ</t>
    </rPh>
    <rPh sb="3" eb="5">
      <t>セイゾウ</t>
    </rPh>
    <rPh sb="5" eb="6">
      <t>モト</t>
    </rPh>
    <rPh sb="6" eb="8">
      <t>ヘンコウ</t>
    </rPh>
    <phoneticPr fontId="1"/>
  </si>
  <si>
    <t>P103</t>
    <phoneticPr fontId="1"/>
  </si>
  <si>
    <t>P102</t>
    <phoneticPr fontId="1"/>
  </si>
  <si>
    <t>不具合：起動時の機種判別の不具合、エンジンモデルが表示されない</t>
    <rPh sb="0" eb="3">
      <t>フグアイ</t>
    </rPh>
    <rPh sb="4" eb="7">
      <t>キドウジ</t>
    </rPh>
    <rPh sb="8" eb="10">
      <t>キシュ</t>
    </rPh>
    <rPh sb="10" eb="12">
      <t>ハンベツ</t>
    </rPh>
    <rPh sb="13" eb="16">
      <t>フグアイ</t>
    </rPh>
    <rPh sb="25" eb="27">
      <t>ヒョウジ</t>
    </rPh>
    <phoneticPr fontId="1"/>
  </si>
  <si>
    <t>仕様：反射防止</t>
    <rPh sb="0" eb="2">
      <t>シヨウ</t>
    </rPh>
    <rPh sb="3" eb="5">
      <t>ハンシャ</t>
    </rPh>
    <rPh sb="5" eb="7">
      <t>ボウシ</t>
    </rPh>
    <phoneticPr fontId="1"/>
  </si>
  <si>
    <t>P106</t>
    <phoneticPr fontId="1"/>
  </si>
  <si>
    <t>不具合：サービス圧抜け対策、他バグ修正</t>
    <rPh sb="0" eb="3">
      <t>フグアイ</t>
    </rPh>
    <rPh sb="8" eb="9">
      <t>アツ</t>
    </rPh>
    <rPh sb="9" eb="10">
      <t>ヌ</t>
    </rPh>
    <rPh sb="11" eb="13">
      <t>タイサク</t>
    </rPh>
    <rPh sb="14" eb="15">
      <t>ホカ</t>
    </rPh>
    <rPh sb="17" eb="19">
      <t>シュウセイ</t>
    </rPh>
    <phoneticPr fontId="1"/>
  </si>
  <si>
    <t>P111</t>
    <phoneticPr fontId="1"/>
  </si>
  <si>
    <t>不具合：サイドカメラ仕様でフリーズする（補用向け）</t>
    <rPh sb="0" eb="3">
      <t>フグアイ</t>
    </rPh>
    <rPh sb="10" eb="12">
      <t>シヨウ</t>
    </rPh>
    <rPh sb="20" eb="22">
      <t>ホヨウ</t>
    </rPh>
    <rPh sb="22" eb="23">
      <t>ム</t>
    </rPh>
    <phoneticPr fontId="1"/>
  </si>
  <si>
    <t>61205</t>
    <phoneticPr fontId="1"/>
  </si>
  <si>
    <t xml:space="preserve">	61591</t>
    <phoneticPr fontId="1"/>
  </si>
  <si>
    <t>新規：EN474対応</t>
    <rPh sb="0" eb="2">
      <t>シンキ</t>
    </rPh>
    <rPh sb="8" eb="10">
      <t>タイオウ</t>
    </rPh>
    <phoneticPr fontId="1"/>
  </si>
  <si>
    <t>A14IW</t>
  </si>
  <si>
    <t>新規：EN474対応（採番のみ）</t>
    <rPh sb="0" eb="2">
      <t>シンキ</t>
    </rPh>
    <rPh sb="8" eb="10">
      <t>タイオウ</t>
    </rPh>
    <rPh sb="11" eb="13">
      <t>サイバン</t>
    </rPh>
    <phoneticPr fontId="1"/>
  </si>
  <si>
    <t>新規：EN474対応
不具合：カメラ画面フリーズ対策
不具合：電話番号表示不具合</t>
    <rPh sb="0" eb="2">
      <t>シンキ</t>
    </rPh>
    <rPh sb="8" eb="10">
      <t>タイオウ</t>
    </rPh>
    <rPh sb="11" eb="14">
      <t>フグアイ</t>
    </rPh>
    <rPh sb="18" eb="20">
      <t>ガメン</t>
    </rPh>
    <rPh sb="24" eb="26">
      <t>タイサク</t>
    </rPh>
    <rPh sb="27" eb="30">
      <t>フグアイ</t>
    </rPh>
    <rPh sb="31" eb="35">
      <t>デンワバンゴウ</t>
    </rPh>
    <rPh sb="35" eb="37">
      <t>ヒョウジ</t>
    </rPh>
    <rPh sb="37" eb="40">
      <t>フグアイ</t>
    </rPh>
    <phoneticPr fontId="1"/>
  </si>
  <si>
    <t>17301-43880</t>
  </si>
  <si>
    <t>17301-43880</t>
    <phoneticPr fontId="1"/>
  </si>
  <si>
    <t>17301-43860</t>
  </si>
  <si>
    <t>17301-43860</t>
    <phoneticPr fontId="1"/>
  </si>
  <si>
    <t>17301-43861</t>
  </si>
  <si>
    <t>17301-43861</t>
    <phoneticPr fontId="1"/>
  </si>
  <si>
    <t>B008576</t>
    <phoneticPr fontId="1"/>
  </si>
  <si>
    <t>61086</t>
    <phoneticPr fontId="1"/>
  </si>
  <si>
    <t>61807</t>
    <phoneticPr fontId="1"/>
  </si>
  <si>
    <t>63719</t>
    <phoneticPr fontId="1"/>
  </si>
  <si>
    <t>新規：量産出図</t>
    <rPh sb="0" eb="2">
      <t>シンキ</t>
    </rPh>
    <rPh sb="3" eb="5">
      <t>リョウサン</t>
    </rPh>
    <rPh sb="5" eb="7">
      <t>シュツズ</t>
    </rPh>
    <phoneticPr fontId="1"/>
  </si>
  <si>
    <t>P114</t>
    <phoneticPr fontId="1"/>
  </si>
  <si>
    <t>不具合：クリープゲージが表示されない</t>
    <rPh sb="0" eb="3">
      <t>フグアイ</t>
    </rPh>
    <rPh sb="12" eb="14">
      <t>ヒョウジ</t>
    </rPh>
    <phoneticPr fontId="1"/>
  </si>
  <si>
    <t>P119</t>
    <phoneticPr fontId="1"/>
  </si>
  <si>
    <t>仕様：アクセスマネジメント（データ更新時にCAN信号を送信）対応</t>
    <rPh sb="0" eb="2">
      <t>シヨウ</t>
    </rPh>
    <rPh sb="17" eb="19">
      <t>コウシン</t>
    </rPh>
    <rPh sb="19" eb="20">
      <t>ジ</t>
    </rPh>
    <rPh sb="24" eb="26">
      <t>シンゴウ</t>
    </rPh>
    <rPh sb="27" eb="29">
      <t>ソウシン</t>
    </rPh>
    <rPh sb="30" eb="32">
      <t>タイオウ</t>
    </rPh>
    <phoneticPr fontId="1"/>
  </si>
  <si>
    <t xml:space="preserve">	B008623</t>
    <phoneticPr fontId="1"/>
  </si>
  <si>
    <t>P104</t>
    <phoneticPr fontId="1"/>
  </si>
  <si>
    <t>新規：部品手配</t>
    <rPh sb="0" eb="2">
      <t>シンキ</t>
    </rPh>
    <rPh sb="3" eb="5">
      <t>ブヒン</t>
    </rPh>
    <rPh sb="5" eb="7">
      <t>テハイ</t>
    </rPh>
    <phoneticPr fontId="1"/>
  </si>
  <si>
    <t>新規：製造元変更
仕様：DABラジオに番組表を表示
注）コントローラとの組み合わせにより互換性あり</t>
    <rPh sb="0" eb="2">
      <t>シンキ</t>
    </rPh>
    <rPh sb="3" eb="6">
      <t>セイゾウモト</t>
    </rPh>
    <rPh sb="6" eb="8">
      <t>ヘンコウ</t>
    </rPh>
    <rPh sb="9" eb="11">
      <t>シヨウ</t>
    </rPh>
    <rPh sb="19" eb="22">
      <t>バングミヒョウ</t>
    </rPh>
    <rPh sb="23" eb="25">
      <t>ヒョウジ</t>
    </rPh>
    <rPh sb="26" eb="27">
      <t>チュウ</t>
    </rPh>
    <rPh sb="36" eb="37">
      <t>ク</t>
    </rPh>
    <rPh sb="38" eb="39">
      <t>ア</t>
    </rPh>
    <rPh sb="44" eb="47">
      <t>ゴカンセイ</t>
    </rPh>
    <phoneticPr fontId="1"/>
  </si>
  <si>
    <t>不具合：電話番号表示不具合</t>
    <rPh sb="0" eb="3">
      <t>フグアイ</t>
    </rPh>
    <rPh sb="4" eb="8">
      <t>デンワバンゴウ</t>
    </rPh>
    <rPh sb="8" eb="10">
      <t>ヒョウジ</t>
    </rPh>
    <rPh sb="10" eb="13">
      <t>フグアイ</t>
    </rPh>
    <phoneticPr fontId="1"/>
  </si>
  <si>
    <t>61591</t>
    <phoneticPr fontId="1"/>
  </si>
  <si>
    <t>P206</t>
    <phoneticPr fontId="1"/>
  </si>
  <si>
    <t>A14IW、A13AW</t>
    <phoneticPr fontId="1"/>
  </si>
  <si>
    <t>54969</t>
    <phoneticPr fontId="1"/>
  </si>
  <si>
    <t>61727</t>
    <phoneticPr fontId="1"/>
  </si>
  <si>
    <t>62317</t>
    <phoneticPr fontId="1"/>
  </si>
  <si>
    <t>J7B</t>
    <phoneticPr fontId="1"/>
  </si>
  <si>
    <t>新規：キャノピクレーン仕様として</t>
    <rPh sb="0" eb="2">
      <t>シンキ</t>
    </rPh>
    <rPh sb="11" eb="13">
      <t>シヨウ</t>
    </rPh>
    <phoneticPr fontId="1"/>
  </si>
  <si>
    <t>V1.17、MCU2.13</t>
    <phoneticPr fontId="1"/>
  </si>
  <si>
    <t>不具合：エラーコード602（CAN通信異常）誤発報</t>
    <rPh sb="0" eb="3">
      <t>フグアイ</t>
    </rPh>
    <rPh sb="17" eb="19">
      <t>ツウシン</t>
    </rPh>
    <rPh sb="19" eb="21">
      <t>イジョウ</t>
    </rPh>
    <rPh sb="22" eb="25">
      <t>ゴハッポウ</t>
    </rPh>
    <phoneticPr fontId="1"/>
  </si>
  <si>
    <t>不具合：防水対策（暫定）</t>
    <rPh sb="0" eb="3">
      <t>フグアイ</t>
    </rPh>
    <rPh sb="4" eb="8">
      <t>ボウスイタイサク</t>
    </rPh>
    <rPh sb="9" eb="11">
      <t>ザンテイ</t>
    </rPh>
    <phoneticPr fontId="1"/>
  </si>
  <si>
    <t>不具合：防水対策（暫定）</t>
    <rPh sb="0" eb="3">
      <t>フグアイ</t>
    </rPh>
    <rPh sb="4" eb="8">
      <t>ボウスイタイサク</t>
    </rPh>
    <rPh sb="9" eb="11">
      <t>ザンテイ</t>
    </rPh>
    <phoneticPr fontId="1"/>
  </si>
  <si>
    <t>DM700N-TN-2NB-2D-A-2-TK</t>
    <phoneticPr fontId="1"/>
  </si>
  <si>
    <t>XL104-0000</t>
    <phoneticPr fontId="1"/>
  </si>
  <si>
    <t>05642-01054</t>
    <phoneticPr fontId="1"/>
  </si>
  <si>
    <t>63514</t>
    <phoneticPr fontId="1"/>
  </si>
  <si>
    <t>新規：EN474対応、緊急ステアリングSOL追加（採番のみ）</t>
    <rPh sb="0" eb="2">
      <t>シンキ</t>
    </rPh>
    <rPh sb="8" eb="10">
      <t>タイオウ</t>
    </rPh>
    <rPh sb="11" eb="13">
      <t>キンキュウ</t>
    </rPh>
    <rPh sb="22" eb="24">
      <t>ツイカ</t>
    </rPh>
    <rPh sb="25" eb="27">
      <t>サイバン</t>
    </rPh>
    <phoneticPr fontId="1"/>
  </si>
  <si>
    <t>新規：EN474対応、緊急ステアリングSOL追加（ソフトゥエア設定）</t>
    <rPh sb="0" eb="2">
      <t>シンキ</t>
    </rPh>
    <rPh sb="8" eb="10">
      <t>タイオウ</t>
    </rPh>
    <rPh sb="11" eb="13">
      <t>キンキュウ</t>
    </rPh>
    <rPh sb="22" eb="24">
      <t>ツイカ</t>
    </rPh>
    <rPh sb="31" eb="33">
      <t>セッテイ</t>
    </rPh>
    <phoneticPr fontId="1"/>
  </si>
  <si>
    <t>A14IW</t>
    <phoneticPr fontId="1"/>
  </si>
  <si>
    <t>05642-01061</t>
  </si>
  <si>
    <t>05642-01061</t>
    <phoneticPr fontId="1"/>
  </si>
  <si>
    <t>05542-00189</t>
  </si>
  <si>
    <t>05542-00189</t>
    <phoneticPr fontId="1"/>
  </si>
  <si>
    <t>63312</t>
    <phoneticPr fontId="1"/>
  </si>
  <si>
    <t>A13AW</t>
    <phoneticPr fontId="1"/>
  </si>
  <si>
    <t>05542-00198</t>
  </si>
  <si>
    <t>03342-00503</t>
  </si>
  <si>
    <t>03342-00503</t>
    <phoneticPr fontId="1"/>
  </si>
  <si>
    <t xml:space="preserve">	55360</t>
    <phoneticPr fontId="1"/>
  </si>
  <si>
    <t>61467</t>
    <phoneticPr fontId="1"/>
  </si>
  <si>
    <t>仕様：バッテリパック変更による</t>
    <rPh sb="0" eb="2">
      <t>シヨウ</t>
    </rPh>
    <rPh sb="10" eb="12">
      <t>ヘンコウ</t>
    </rPh>
    <phoneticPr fontId="1"/>
  </si>
  <si>
    <t>E3F</t>
    <phoneticPr fontId="1"/>
  </si>
  <si>
    <t>V4.00</t>
    <phoneticPr fontId="1"/>
  </si>
  <si>
    <t>グリップ左</t>
    <rPh sb="4" eb="5">
      <t>ヒダリ</t>
    </rPh>
    <phoneticPr fontId="1"/>
  </si>
  <si>
    <t>Engcon</t>
    <phoneticPr fontId="1"/>
  </si>
  <si>
    <t>A14IW</t>
    <phoneticPr fontId="1"/>
  </si>
  <si>
    <t>16502-06460</t>
  </si>
  <si>
    <t>16502-06460</t>
    <phoneticPr fontId="1"/>
  </si>
  <si>
    <t>16502-06470</t>
  </si>
  <si>
    <t>16502-06470</t>
    <phoneticPr fontId="1"/>
  </si>
  <si>
    <t>新規：A14IWで新規採用</t>
    <rPh sb="0" eb="2">
      <t>シンキ</t>
    </rPh>
    <rPh sb="9" eb="11">
      <t>シンキ</t>
    </rPh>
    <rPh sb="11" eb="13">
      <t>サイヨウ</t>
    </rPh>
    <phoneticPr fontId="1"/>
  </si>
  <si>
    <t>62290</t>
    <phoneticPr fontId="1"/>
  </si>
  <si>
    <t>B007886</t>
    <phoneticPr fontId="1"/>
  </si>
  <si>
    <t>55653</t>
    <phoneticPr fontId="1"/>
  </si>
  <si>
    <t>仕様：ケーブル素材変更</t>
    <rPh sb="0" eb="2">
      <t>シヨウ</t>
    </rPh>
    <rPh sb="7" eb="9">
      <t>ソザイ</t>
    </rPh>
    <rPh sb="9" eb="11">
      <t>ヘンコウ</t>
    </rPh>
    <phoneticPr fontId="1"/>
  </si>
  <si>
    <t>仕様：内部基盤変更</t>
    <rPh sb="0" eb="2">
      <t>シヨウ</t>
    </rPh>
    <rPh sb="3" eb="7">
      <t>ナイブキバン</t>
    </rPh>
    <rPh sb="7" eb="9">
      <t>ヘンコウ</t>
    </rPh>
    <phoneticPr fontId="1"/>
  </si>
  <si>
    <t>-</t>
    <phoneticPr fontId="1"/>
  </si>
  <si>
    <t>A14IW</t>
    <phoneticPr fontId="1"/>
  </si>
  <si>
    <t>グリップ右</t>
    <rPh sb="4" eb="5">
      <t>ミギ</t>
    </rPh>
    <phoneticPr fontId="1"/>
  </si>
  <si>
    <t>63315</t>
    <phoneticPr fontId="1"/>
  </si>
  <si>
    <t>63345</t>
    <phoneticPr fontId="1"/>
  </si>
  <si>
    <t>●12/19</t>
    <phoneticPr fontId="1"/>
  </si>
  <si>
    <t>17301-43669</t>
    <phoneticPr fontId="1"/>
  </si>
  <si>
    <t>C9-5･C10-5ように採番したが未使用</t>
    <rPh sb="13" eb="15">
      <t>サイバン</t>
    </rPh>
    <rPh sb="18" eb="21">
      <t>ミシヨウ</t>
    </rPh>
    <phoneticPr fontId="1"/>
  </si>
  <si>
    <t>コストダウン提案品</t>
    <rPh sb="6" eb="8">
      <t>テイアン</t>
    </rPh>
    <rPh sb="8" eb="9">
      <t>ヒン</t>
    </rPh>
    <phoneticPr fontId="1"/>
  </si>
  <si>
    <t>16502-06550</t>
    <phoneticPr fontId="1"/>
  </si>
  <si>
    <t>16502-06560</t>
    <phoneticPr fontId="1"/>
  </si>
  <si>
    <t>63967</t>
    <phoneticPr fontId="1"/>
  </si>
  <si>
    <t>-</t>
    <phoneticPr fontId="1"/>
  </si>
  <si>
    <t>仕様：コストダウン提案品</t>
    <rPh sb="0" eb="2">
      <t>シヨウ</t>
    </rPh>
    <rPh sb="9" eb="12">
      <t>テイアンヒン</t>
    </rPh>
    <phoneticPr fontId="1"/>
  </si>
  <si>
    <t>05642-00950</t>
    <phoneticPr fontId="1"/>
  </si>
  <si>
    <t>05642-00951</t>
    <phoneticPr fontId="1"/>
  </si>
  <si>
    <t>A14K</t>
    <phoneticPr fontId="1"/>
  </si>
  <si>
    <t>XL104-0000</t>
    <phoneticPr fontId="1"/>
  </si>
  <si>
    <t>SC024-120</t>
    <phoneticPr fontId="1"/>
  </si>
  <si>
    <t>63950</t>
    <phoneticPr fontId="1"/>
  </si>
  <si>
    <t>V0.02X49</t>
    <phoneticPr fontId="1"/>
  </si>
  <si>
    <t>V0.00X09、V0.00X05</t>
    <phoneticPr fontId="1"/>
  </si>
  <si>
    <t>仕様：量産前の暫定プログラム</t>
    <rPh sb="0" eb="2">
      <t>シヨウ</t>
    </rPh>
    <rPh sb="3" eb="5">
      <t>リョウサン</t>
    </rPh>
    <rPh sb="5" eb="6">
      <t>マエ</t>
    </rPh>
    <rPh sb="7" eb="9">
      <t>ザンテイ</t>
    </rPh>
    <phoneticPr fontId="1"/>
  </si>
  <si>
    <t>06642-00161</t>
    <phoneticPr fontId="1"/>
  </si>
  <si>
    <t>63912</t>
    <phoneticPr fontId="1"/>
  </si>
  <si>
    <t>V2.11</t>
    <phoneticPr fontId="1"/>
  </si>
  <si>
    <t>-</t>
    <phoneticPr fontId="1"/>
  </si>
  <si>
    <t>不具合修正：AUX1センサ高圧異常誤発報</t>
    <rPh sb="0" eb="3">
      <t>フグアイ</t>
    </rPh>
    <rPh sb="3" eb="5">
      <t>シュウセイ</t>
    </rPh>
    <rPh sb="13" eb="15">
      <t>コウアツ</t>
    </rPh>
    <rPh sb="15" eb="17">
      <t>イジョウ</t>
    </rPh>
    <rPh sb="17" eb="20">
      <t>ゴハッポウ</t>
    </rPh>
    <phoneticPr fontId="1"/>
  </si>
  <si>
    <t>L6F</t>
    <phoneticPr fontId="1"/>
  </si>
  <si>
    <t>プログラムに不具合があったため実績なし</t>
    <rPh sb="6" eb="9">
      <t>フグアイ</t>
    </rPh>
    <rPh sb="15" eb="17">
      <t>ジッセキ</t>
    </rPh>
    <phoneticPr fontId="1"/>
  </si>
  <si>
    <t>63885</t>
    <phoneticPr fontId="1"/>
  </si>
  <si>
    <t>63906</t>
    <phoneticPr fontId="1"/>
  </si>
  <si>
    <t>仕様：筐体にベントホール追加</t>
    <rPh sb="0" eb="2">
      <t>シヨウ</t>
    </rPh>
    <rPh sb="3" eb="5">
      <t>キョウタイ</t>
    </rPh>
    <rPh sb="12" eb="14">
      <t>ツイカ</t>
    </rPh>
    <phoneticPr fontId="1"/>
  </si>
  <si>
    <t>V1.01a4</t>
    <phoneticPr fontId="1"/>
  </si>
  <si>
    <t>仕様：タイマ制御対応、TAM対応、シートベルト対応</t>
    <rPh sb="0" eb="2">
      <t>シヨウ</t>
    </rPh>
    <rPh sb="6" eb="8">
      <t>セイギョ</t>
    </rPh>
    <rPh sb="8" eb="10">
      <t>タイオウ</t>
    </rPh>
    <rPh sb="14" eb="16">
      <t>タイオウ</t>
    </rPh>
    <rPh sb="23" eb="25">
      <t>タイオウ</t>
    </rPh>
    <phoneticPr fontId="1"/>
  </si>
  <si>
    <t>仕様：TAM対応、タイマ制御対応（制御中にACC復帰可とする）</t>
    <rPh sb="0" eb="2">
      <t>シヨウ</t>
    </rPh>
    <rPh sb="6" eb="8">
      <t>タイオウ</t>
    </rPh>
    <rPh sb="12" eb="14">
      <t>セイギョ</t>
    </rPh>
    <rPh sb="14" eb="16">
      <t>タイオウ</t>
    </rPh>
    <rPh sb="17" eb="19">
      <t>セイギョ</t>
    </rPh>
    <rPh sb="19" eb="20">
      <t>チュウ</t>
    </rPh>
    <rPh sb="24" eb="26">
      <t>フッキ</t>
    </rPh>
    <rPh sb="26" eb="27">
      <t>カ</t>
    </rPh>
    <phoneticPr fontId="1"/>
  </si>
  <si>
    <t>05742-00691</t>
    <phoneticPr fontId="1"/>
  </si>
  <si>
    <t>60834</t>
    <phoneticPr fontId="1"/>
  </si>
  <si>
    <t>63604</t>
    <phoneticPr fontId="1"/>
  </si>
  <si>
    <t>新規：品番設定</t>
    <rPh sb="0" eb="2">
      <t>シンキ</t>
    </rPh>
    <rPh sb="3" eb="5">
      <t>ヒンバン</t>
    </rPh>
    <rPh sb="5" eb="7">
      <t>セッテイ</t>
    </rPh>
    <phoneticPr fontId="1"/>
  </si>
  <si>
    <t>仕様：量産仕様として出図</t>
    <rPh sb="0" eb="2">
      <t>シヨウ</t>
    </rPh>
    <rPh sb="3" eb="5">
      <t>リョウサン</t>
    </rPh>
    <rPh sb="5" eb="7">
      <t>シヨウ</t>
    </rPh>
    <rPh sb="10" eb="12">
      <t>シュツズ</t>
    </rPh>
    <phoneticPr fontId="1"/>
  </si>
  <si>
    <t>64003</t>
    <phoneticPr fontId="1"/>
  </si>
  <si>
    <t>仕様：TAM対応
不具合：AUX2SOL出力設定変更(DOUT→PWM)</t>
    <rPh sb="0" eb="2">
      <t>シヨウ</t>
    </rPh>
    <rPh sb="6" eb="8">
      <t>タイオウ</t>
    </rPh>
    <rPh sb="9" eb="12">
      <t>フグアイ</t>
    </rPh>
    <rPh sb="20" eb="22">
      <t>シュツリョク</t>
    </rPh>
    <rPh sb="22" eb="24">
      <t>セッテイ</t>
    </rPh>
    <rPh sb="24" eb="26">
      <t>ヘンコウ</t>
    </rPh>
    <phoneticPr fontId="1"/>
  </si>
  <si>
    <t>63924</t>
    <phoneticPr fontId="1"/>
  </si>
  <si>
    <t>ASS部
在庫書き換え
-：不要
〇：要
●：済</t>
    <rPh sb="3" eb="4">
      <t>ブ</t>
    </rPh>
    <rPh sb="5" eb="7">
      <t>ザイコ</t>
    </rPh>
    <rPh sb="7" eb="8">
      <t>カ</t>
    </rPh>
    <rPh sb="9" eb="10">
      <t>カ</t>
    </rPh>
    <rPh sb="14" eb="16">
      <t>フヨウ</t>
    </rPh>
    <rPh sb="19" eb="20">
      <t>ヨウ</t>
    </rPh>
    <rPh sb="23" eb="24">
      <t>スミ</t>
    </rPh>
    <phoneticPr fontId="1"/>
  </si>
  <si>
    <t>状態</t>
    <rPh sb="0" eb="2">
      <t>ジョウタイ</t>
    </rPh>
    <phoneticPr fontId="1"/>
  </si>
  <si>
    <t>グリップ</t>
    <phoneticPr fontId="1"/>
  </si>
  <si>
    <t>メインコントローラ</t>
    <phoneticPr fontId="1"/>
  </si>
  <si>
    <t>サブコントローラ</t>
    <phoneticPr fontId="1"/>
  </si>
  <si>
    <t>下部体コントローラ</t>
    <rPh sb="0" eb="3">
      <t>カブタイ</t>
    </rPh>
    <phoneticPr fontId="1"/>
  </si>
  <si>
    <t>新規
不具合：スライドSW異常の閾値変更</t>
    <rPh sb="0" eb="2">
      <t>シンキ</t>
    </rPh>
    <rPh sb="3" eb="6">
      <t>フグアイ</t>
    </rPh>
    <phoneticPr fontId="1"/>
  </si>
  <si>
    <t>ディスプレイのモデルチェンジ
不具合：スライドSW異常の閾値変更</t>
    <rPh sb="15" eb="18">
      <t>フグアイ</t>
    </rPh>
    <phoneticPr fontId="1"/>
  </si>
  <si>
    <t>仕様：操作性改善（J7Bのみ品番変更）</t>
    <rPh sb="0" eb="2">
      <t>シヨウ</t>
    </rPh>
    <phoneticPr fontId="1"/>
  </si>
  <si>
    <t>新規：A12B用として</t>
    <rPh sb="0" eb="2">
      <t>シンキ</t>
    </rPh>
    <rPh sb="7" eb="8">
      <t>ヨウ</t>
    </rPh>
    <phoneticPr fontId="1"/>
  </si>
  <si>
    <t>新規：フッペン向け新規</t>
    <rPh sb="0" eb="2">
      <t>シンキ</t>
    </rPh>
    <rPh sb="7" eb="8">
      <t>ム</t>
    </rPh>
    <rPh sb="9" eb="11">
      <t>シンキ</t>
    </rPh>
    <phoneticPr fontId="1"/>
  </si>
  <si>
    <t>仕様：HWDアップデート(1.00→1.01)</t>
    <rPh sb="0" eb="2">
      <t>シヨウ</t>
    </rPh>
    <phoneticPr fontId="1"/>
  </si>
  <si>
    <t>key</t>
    <phoneticPr fontId="1"/>
  </si>
  <si>
    <t>不具合：コントローラリセット不具合（AUX1操作時)
仕様：HWD Ver2.40適用
特採：
市場対策：</t>
    <rPh sb="0" eb="3">
      <t>フグアイ</t>
    </rPh>
    <rPh sb="14" eb="17">
      <t>フグアイ</t>
    </rPh>
    <rPh sb="22" eb="25">
      <t>ソウサジ</t>
    </rPh>
    <rPh sb="27" eb="29">
      <t>シヨウ</t>
    </rPh>
    <rPh sb="41" eb="43">
      <t>テキヨウ</t>
    </rPh>
    <rPh sb="44" eb="46">
      <t>トクサイ</t>
    </rPh>
    <rPh sb="48" eb="50">
      <t>シジョウ</t>
    </rPh>
    <rPh sb="50" eb="52">
      <t>タイサク</t>
    </rPh>
    <phoneticPr fontId="1"/>
  </si>
  <si>
    <t>仕様：オフセットブームのストップ位置、スロー位置パラメター修正
仕様：アワメータをサービスツール上で変更できる機能追加
仕様：燃料プレ警告追加
仕様：サービス流量パラメータ修正</t>
    <rPh sb="0" eb="2">
      <t>シヨウ</t>
    </rPh>
    <rPh sb="16" eb="18">
      <t>イチ</t>
    </rPh>
    <rPh sb="22" eb="24">
      <t>イチ</t>
    </rPh>
    <rPh sb="29" eb="31">
      <t>シュウセイ</t>
    </rPh>
    <rPh sb="32" eb="34">
      <t>シヨウ</t>
    </rPh>
    <rPh sb="48" eb="49">
      <t>ジョウ</t>
    </rPh>
    <rPh sb="50" eb="52">
      <t>ヘンコウ</t>
    </rPh>
    <rPh sb="55" eb="57">
      <t>キノウ</t>
    </rPh>
    <rPh sb="57" eb="59">
      <t>ツイカ</t>
    </rPh>
    <rPh sb="60" eb="62">
      <t>シヨウ</t>
    </rPh>
    <rPh sb="63" eb="65">
      <t>ネンリョウ</t>
    </rPh>
    <rPh sb="67" eb="69">
      <t>ケイコク</t>
    </rPh>
    <rPh sb="69" eb="71">
      <t>ツイカ</t>
    </rPh>
    <rPh sb="72" eb="74">
      <t>シヨウ</t>
    </rPh>
    <rPh sb="79" eb="81">
      <t>リュウリョウ</t>
    </rPh>
    <rPh sb="86" eb="88">
      <t>シュウセイ</t>
    </rPh>
    <phoneticPr fontId="1"/>
  </si>
  <si>
    <t>不具合：第３サービス出力不具合修正</t>
    <rPh sb="0" eb="3">
      <t>フグアイ</t>
    </rPh>
    <rPh sb="4" eb="5">
      <t>ダイ</t>
    </rPh>
    <rPh sb="10" eb="12">
      <t>シュツリョク</t>
    </rPh>
    <rPh sb="12" eb="15">
      <t>フグアイ</t>
    </rPh>
    <rPh sb="15" eb="17">
      <t>シュウセイ</t>
    </rPh>
    <phoneticPr fontId="1"/>
  </si>
  <si>
    <t>仕様：M、Sモードでストップ、スロー角度の初期値変更
仕様：ブーム角度センサ異常時の挙動変更</t>
    <rPh sb="0" eb="2">
      <t>シヨウ</t>
    </rPh>
    <rPh sb="18" eb="20">
      <t>カクド</t>
    </rPh>
    <rPh sb="21" eb="24">
      <t>ショキチ</t>
    </rPh>
    <rPh sb="24" eb="26">
      <t>ヘンコウ</t>
    </rPh>
    <rPh sb="27" eb="29">
      <t>シヨウ</t>
    </rPh>
    <rPh sb="33" eb="35">
      <t>カクド</t>
    </rPh>
    <rPh sb="38" eb="40">
      <t>イジョウ</t>
    </rPh>
    <rPh sb="40" eb="41">
      <t>ジ</t>
    </rPh>
    <rPh sb="42" eb="44">
      <t>キョドウ</t>
    </rPh>
    <rPh sb="44" eb="46">
      <t>ヘンコウ</t>
    </rPh>
    <phoneticPr fontId="1"/>
  </si>
  <si>
    <t>仕様：ディスプレイ上でオプション選択できる機能を追加</t>
    <rPh sb="0" eb="2">
      <t>シヨウ</t>
    </rPh>
    <rPh sb="9" eb="10">
      <t>ジョウ</t>
    </rPh>
    <rPh sb="16" eb="18">
      <t>センタク</t>
    </rPh>
    <rPh sb="21" eb="23">
      <t>キノウ</t>
    </rPh>
    <rPh sb="24" eb="26">
      <t>ツイカ</t>
    </rPh>
    <phoneticPr fontId="1"/>
  </si>
  <si>
    <t>仕様：DPFリカバリ再生機能追加</t>
    <rPh sb="0" eb="2">
      <t>シヨウ</t>
    </rPh>
    <rPh sb="10" eb="12">
      <t>サイセイ</t>
    </rPh>
    <rPh sb="12" eb="14">
      <t>キノウ</t>
    </rPh>
    <rPh sb="14" eb="16">
      <t>ツイカ</t>
    </rPh>
    <phoneticPr fontId="1"/>
  </si>
  <si>
    <t>仕様：流量設定に関係するパラメータ初期変更
仕様：ブームストップ角度のパラメータ初期値変更</t>
    <rPh sb="0" eb="2">
      <t>シヨウ</t>
    </rPh>
    <rPh sb="3" eb="5">
      <t>リュウリョウ</t>
    </rPh>
    <rPh sb="5" eb="7">
      <t>セッテイ</t>
    </rPh>
    <rPh sb="8" eb="10">
      <t>カンケイ</t>
    </rPh>
    <rPh sb="17" eb="19">
      <t>ショキ</t>
    </rPh>
    <rPh sb="19" eb="21">
      <t>ヘンコウ</t>
    </rPh>
    <rPh sb="22" eb="24">
      <t>シヨウ</t>
    </rPh>
    <rPh sb="32" eb="34">
      <t>カクド</t>
    </rPh>
    <rPh sb="40" eb="43">
      <t>ショキチ</t>
    </rPh>
    <rPh sb="43" eb="45">
      <t>ヘンコウ</t>
    </rPh>
    <phoneticPr fontId="1"/>
  </si>
  <si>
    <t>不具合：スライドスイッチ中立異常対策</t>
    <rPh sb="0" eb="3">
      <t>フグアイ</t>
    </rPh>
    <rPh sb="12" eb="14">
      <t>チュウリツ</t>
    </rPh>
    <rPh sb="14" eb="16">
      <t>イジョウ</t>
    </rPh>
    <rPh sb="16" eb="18">
      <t>タイサク</t>
    </rPh>
    <phoneticPr fontId="1"/>
  </si>
  <si>
    <t>V1.8x</t>
    <phoneticPr fontId="1"/>
  </si>
  <si>
    <t>V1.xx</t>
    <phoneticPr fontId="1"/>
  </si>
  <si>
    <t>バックモニタ用</t>
    <rPh sb="6" eb="7">
      <t>ヨウ</t>
    </rPh>
    <phoneticPr fontId="1"/>
  </si>
  <si>
    <t>C10-4</t>
    <phoneticPr fontId="1"/>
  </si>
  <si>
    <t>17301-43673</t>
    <phoneticPr fontId="1"/>
  </si>
  <si>
    <t>V1.02</t>
    <phoneticPr fontId="1"/>
  </si>
  <si>
    <t>仕様：液晶剥がれの恒久対策品へ変更</t>
    <rPh sb="0" eb="2">
      <t>シヨウ</t>
    </rPh>
    <rPh sb="3" eb="5">
      <t>エキショウ</t>
    </rPh>
    <rPh sb="5" eb="6">
      <t>ハ</t>
    </rPh>
    <rPh sb="9" eb="13">
      <t>コウキュウタイサク</t>
    </rPh>
    <rPh sb="13" eb="14">
      <t>ヒン</t>
    </rPh>
    <rPh sb="15" eb="17">
      <t>ヘンコウ</t>
    </rPh>
    <phoneticPr fontId="1"/>
  </si>
  <si>
    <t>60847</t>
    <phoneticPr fontId="1"/>
  </si>
  <si>
    <t>V1.19</t>
    <phoneticPr fontId="1"/>
  </si>
  <si>
    <t>仕様変更：J10B追加</t>
    <rPh sb="0" eb="4">
      <t>シヨウヘンコウ</t>
    </rPh>
    <rPh sb="9" eb="11">
      <t>ツイカ</t>
    </rPh>
    <phoneticPr fontId="1"/>
  </si>
  <si>
    <t>仕様変更：DABラジオ番組名表示、ミュートボタン追加</t>
    <rPh sb="0" eb="4">
      <t>シヨウヘンコウ</t>
    </rPh>
    <rPh sb="11" eb="14">
      <t>バングミメイ</t>
    </rPh>
    <rPh sb="14" eb="16">
      <t>ヒョウジ</t>
    </rPh>
    <rPh sb="24" eb="26">
      <t>ツイカ</t>
    </rPh>
    <phoneticPr fontId="1"/>
  </si>
  <si>
    <t>仕様変更：J10Bクレーン仕様追加</t>
    <rPh sb="0" eb="4">
      <t>シヨウヘンコウ</t>
    </rPh>
    <rPh sb="13" eb="15">
      <t>シヨウ</t>
    </rPh>
    <rPh sb="15" eb="17">
      <t>ツイカ</t>
    </rPh>
    <phoneticPr fontId="1"/>
  </si>
  <si>
    <t>不具合：J10Bエンジン停止スイッチ警告誤発報</t>
    <rPh sb="0" eb="3">
      <t>フグアイ</t>
    </rPh>
    <rPh sb="12" eb="14">
      <t>テイシ</t>
    </rPh>
    <rPh sb="18" eb="20">
      <t>ケイコク</t>
    </rPh>
    <rPh sb="20" eb="23">
      <t>ゴハッポウ</t>
    </rPh>
    <phoneticPr fontId="1"/>
  </si>
  <si>
    <t>不具合:DABラジオアンテナ電源が有効にならない</t>
    <rPh sb="0" eb="3">
      <t>フグアイ</t>
    </rPh>
    <rPh sb="14" eb="16">
      <t>デンゲン</t>
    </rPh>
    <rPh sb="17" eb="19">
      <t>ユウコウ</t>
    </rPh>
    <phoneticPr fontId="1"/>
  </si>
  <si>
    <t>不具合:キーON時ラジオがAMに切り替わる</t>
    <rPh sb="0" eb="3">
      <t>フグアイ</t>
    </rPh>
    <rPh sb="8" eb="9">
      <t>ジ</t>
    </rPh>
    <rPh sb="16" eb="17">
      <t>キ</t>
    </rPh>
    <rPh sb="18" eb="19">
      <t>カ</t>
    </rPh>
    <phoneticPr fontId="1"/>
  </si>
  <si>
    <t>V5.05</t>
    <phoneticPr fontId="1"/>
  </si>
  <si>
    <t>V6.14</t>
    <phoneticPr fontId="1"/>
  </si>
  <si>
    <t>V7.05</t>
    <phoneticPr fontId="1"/>
  </si>
  <si>
    <t>V8.24</t>
    <phoneticPr fontId="1"/>
  </si>
  <si>
    <t>V9.01</t>
    <phoneticPr fontId="1"/>
  </si>
  <si>
    <t>仕様：SOH未更新エラー抑制、他</t>
    <rPh sb="0" eb="2">
      <t>シヨウ</t>
    </rPh>
    <rPh sb="6" eb="9">
      <t>ミコウシン</t>
    </rPh>
    <rPh sb="12" eb="14">
      <t>ヨクセイ</t>
    </rPh>
    <rPh sb="15" eb="16">
      <t>ホカ</t>
    </rPh>
    <phoneticPr fontId="1"/>
  </si>
  <si>
    <t>不具合：エラーコード602誤発報</t>
    <rPh sb="0" eb="3">
      <t>フグアイ</t>
    </rPh>
    <rPh sb="13" eb="16">
      <t>ゴハッポウ</t>
    </rPh>
    <phoneticPr fontId="1"/>
  </si>
  <si>
    <t>V1.02、V1.01</t>
    <phoneticPr fontId="1"/>
  </si>
  <si>
    <t>V1.04F、V1.02F</t>
    <phoneticPr fontId="1"/>
  </si>
  <si>
    <t>V1.05F、V1.03F</t>
    <phoneticPr fontId="1"/>
  </si>
  <si>
    <t>V1.07F、V1.04F</t>
    <phoneticPr fontId="1"/>
  </si>
  <si>
    <t>仕様：DABアンテナ電源初期値変更OFF→ON</t>
    <rPh sb="0" eb="2">
      <t>シヨウ</t>
    </rPh>
    <rPh sb="10" eb="12">
      <t>デンゲン</t>
    </rPh>
    <rPh sb="12" eb="15">
      <t>ショキチ</t>
    </rPh>
    <rPh sb="15" eb="17">
      <t>ヘンコウ</t>
    </rPh>
    <phoneticPr fontId="1"/>
  </si>
  <si>
    <t>Pri:V1.37、Sec:V1.29</t>
    <phoneticPr fontId="1"/>
  </si>
  <si>
    <t>新規：量産P暫定</t>
    <rPh sb="0" eb="2">
      <t>シンキ</t>
    </rPh>
    <rPh sb="3" eb="5">
      <t>リョウサン</t>
    </rPh>
    <rPh sb="6" eb="8">
      <t>ザンテイ</t>
    </rPh>
    <phoneticPr fontId="1"/>
  </si>
  <si>
    <t>量産：E3F</t>
    <rPh sb="0" eb="2">
      <t>リョウサン</t>
    </rPh>
    <phoneticPr fontId="1"/>
  </si>
  <si>
    <t>仕様：レバーパターンA/B対応、日本語対応</t>
    <rPh sb="0" eb="2">
      <t>シヨウ</t>
    </rPh>
    <rPh sb="13" eb="15">
      <t>タイオウ</t>
    </rPh>
    <rPh sb="16" eb="19">
      <t>ニホンゴ</t>
    </rPh>
    <rPh sb="19" eb="21">
      <t>タイオウ</t>
    </rPh>
    <phoneticPr fontId="1"/>
  </si>
  <si>
    <t>不具合：日付設定(バッテリパック対応)</t>
    <rPh sb="0" eb="3">
      <t>フグアイ</t>
    </rPh>
    <rPh sb="4" eb="6">
      <t>ヒヅケ</t>
    </rPh>
    <rPh sb="6" eb="8">
      <t>セッテイ</t>
    </rPh>
    <rPh sb="16" eb="18">
      <t>タイオウ</t>
    </rPh>
    <phoneticPr fontId="1"/>
  </si>
  <si>
    <t>仕様：反射防止のためLCDパネル変更</t>
    <rPh sb="0" eb="2">
      <t>シヨウ</t>
    </rPh>
    <rPh sb="3" eb="5">
      <t>ハンシャ</t>
    </rPh>
    <rPh sb="5" eb="7">
      <t>ボウシ</t>
    </rPh>
    <rPh sb="16" eb="18">
      <t>ヘンコウ</t>
    </rPh>
    <phoneticPr fontId="1"/>
  </si>
  <si>
    <t>不具合：ラジオアンテナ電源がONにならない
仕様：自動圧抜きON/OFF切替追加</t>
    <rPh sb="0" eb="3">
      <t>フグアイ</t>
    </rPh>
    <rPh sb="11" eb="13">
      <t>デンゲン</t>
    </rPh>
    <rPh sb="22" eb="24">
      <t>シヨウ</t>
    </rPh>
    <rPh sb="25" eb="27">
      <t>ジドウ</t>
    </rPh>
    <rPh sb="27" eb="29">
      <t>アツヌ</t>
    </rPh>
    <rPh sb="36" eb="38">
      <t>キリカエ</t>
    </rPh>
    <rPh sb="38" eb="40">
      <t>ツイカ</t>
    </rPh>
    <phoneticPr fontId="1"/>
  </si>
  <si>
    <t>仕様：EN474-5対応、カメラ画面の制御変更</t>
    <rPh sb="0" eb="2">
      <t>シヨウ</t>
    </rPh>
    <rPh sb="10" eb="12">
      <t>タイオウ</t>
    </rPh>
    <rPh sb="16" eb="18">
      <t>ガメン</t>
    </rPh>
    <rPh sb="19" eb="21">
      <t>セイギョ</t>
    </rPh>
    <rPh sb="21" eb="23">
      <t>ヘンコウ</t>
    </rPh>
    <phoneticPr fontId="1"/>
  </si>
  <si>
    <t>仕様：A25H追加(スイングペダルエラー追加)
仕様：アクセスマネジメント情報更新CAN[UA6]追加</t>
    <rPh sb="0" eb="2">
      <t>シヨウ</t>
    </rPh>
    <rPh sb="7" eb="9">
      <t>ツイカ</t>
    </rPh>
    <rPh sb="20" eb="22">
      <t>ツイカ</t>
    </rPh>
    <rPh sb="24" eb="26">
      <t>シヨウ</t>
    </rPh>
    <rPh sb="37" eb="39">
      <t>ジョウホウ</t>
    </rPh>
    <rPh sb="39" eb="41">
      <t>コウシン</t>
    </rPh>
    <rPh sb="49" eb="51">
      <t>ツイカ</t>
    </rPh>
    <phoneticPr fontId="1"/>
  </si>
  <si>
    <t>不具合：6553hr以上のアワメータを設定できない</t>
    <rPh sb="0" eb="3">
      <t>フグアイ</t>
    </rPh>
    <rPh sb="10" eb="12">
      <t>イジョウ</t>
    </rPh>
    <rPh sb="19" eb="21">
      <t>セッテイ</t>
    </rPh>
    <phoneticPr fontId="1"/>
  </si>
  <si>
    <t>V1.０5L</t>
    <phoneticPr fontId="1"/>
  </si>
  <si>
    <t>仕様：機種判別、AUX1リリーフ圧変更、オートエンジンストップ追加</t>
    <rPh sb="0" eb="2">
      <t>シヨウ</t>
    </rPh>
    <rPh sb="3" eb="5">
      <t>キシュ</t>
    </rPh>
    <rPh sb="5" eb="7">
      <t>ハンベツ</t>
    </rPh>
    <rPh sb="16" eb="17">
      <t>アツ</t>
    </rPh>
    <rPh sb="17" eb="19">
      <t>ヘンコウ</t>
    </rPh>
    <rPh sb="31" eb="33">
      <t>ツイカ</t>
    </rPh>
    <phoneticPr fontId="1"/>
  </si>
  <si>
    <t>仕様：AUX1リリーフ圧変更</t>
    <rPh sb="0" eb="2">
      <t>シヨウ</t>
    </rPh>
    <rPh sb="11" eb="12">
      <t>アツ</t>
    </rPh>
    <rPh sb="12" eb="14">
      <t>ヘンコウ</t>
    </rPh>
    <phoneticPr fontId="1"/>
  </si>
  <si>
    <t>仕様：A25H/Gファンドライブ制御変更</t>
    <rPh sb="0" eb="2">
      <t>シヨウ</t>
    </rPh>
    <rPh sb="16" eb="18">
      <t>セイギョ</t>
    </rPh>
    <rPh sb="18" eb="20">
      <t>ヘンコウ</t>
    </rPh>
    <phoneticPr fontId="1"/>
  </si>
  <si>
    <t>仕様：270度カメラ対応、オートグリス対応</t>
    <rPh sb="0" eb="2">
      <t>シヨウ</t>
    </rPh>
    <rPh sb="6" eb="7">
      <t>ド</t>
    </rPh>
    <rPh sb="10" eb="12">
      <t>タイオウ</t>
    </rPh>
    <rPh sb="19" eb="21">
      <t>タイオウ</t>
    </rPh>
    <phoneticPr fontId="1"/>
  </si>
  <si>
    <r>
      <t>L6E/L8C</t>
    </r>
    <r>
      <rPr>
        <strike/>
        <sz val="11"/>
        <rFont val="ＭＳ ゴシック"/>
        <family val="3"/>
        <charset val="128"/>
      </rPr>
      <t>/L9C</t>
    </r>
    <phoneticPr fontId="1"/>
  </si>
  <si>
    <t>ハードウェア</t>
  </si>
  <si>
    <t>改定</t>
    <rPh sb="0" eb="2">
      <t>カイテイ</t>
    </rPh>
    <phoneticPr fontId="1"/>
  </si>
  <si>
    <t>05501-00029</t>
    <phoneticPr fontId="1"/>
  </si>
  <si>
    <t>不明</t>
    <rPh sb="0" eb="2">
      <t>フメイ</t>
    </rPh>
    <phoneticPr fontId="1"/>
  </si>
  <si>
    <t>対象機種</t>
    <rPh sb="0" eb="4">
      <t>タイショウキシュ</t>
    </rPh>
    <phoneticPr fontId="1"/>
  </si>
  <si>
    <t>E2F</t>
  </si>
  <si>
    <t>E3F</t>
  </si>
  <si>
    <t>A13AW</t>
  </si>
  <si>
    <t>A27C</t>
  </si>
  <si>
    <t>C9-4</t>
  </si>
  <si>
    <t>不明</t>
    <phoneticPr fontId="1"/>
  </si>
  <si>
    <t>治具</t>
    <phoneticPr fontId="1"/>
  </si>
  <si>
    <t>L6E/L8C/L9C</t>
    <phoneticPr fontId="1"/>
  </si>
  <si>
    <t>グリップ左</t>
    <phoneticPr fontId="1"/>
  </si>
  <si>
    <t>グリップ右</t>
    <phoneticPr fontId="1"/>
  </si>
  <si>
    <t>バックモニタ用</t>
    <phoneticPr fontId="1"/>
  </si>
  <si>
    <t>共通</t>
    <phoneticPr fontId="1"/>
  </si>
  <si>
    <t>量産</t>
    <rPh sb="0" eb="2">
      <t>リョウサン</t>
    </rPh>
    <phoneticPr fontId="1"/>
  </si>
  <si>
    <t>東海理化</t>
    <phoneticPr fontId="1"/>
  </si>
  <si>
    <t>A14D-3</t>
  </si>
  <si>
    <t>J4B</t>
  </si>
  <si>
    <t>A3F</t>
  </si>
  <si>
    <t>C10-5</t>
  </si>
  <si>
    <t>C9-5</t>
  </si>
  <si>
    <t>理由</t>
    <rPh sb="0" eb="2">
      <t>リユウ</t>
    </rPh>
    <phoneticPr fontId="1"/>
  </si>
  <si>
    <t>GPS変更、車両情報を取得できるようにプログラム変更</t>
    <phoneticPr fontId="1"/>
  </si>
  <si>
    <t>63173</t>
    <phoneticPr fontId="1"/>
  </si>
  <si>
    <t>バージョン</t>
    <phoneticPr fontId="1"/>
  </si>
  <si>
    <t>採番</t>
    <phoneticPr fontId="1"/>
  </si>
  <si>
    <t>CAB量産出図</t>
    <phoneticPr fontId="1"/>
  </si>
  <si>
    <t>#1~3号機用</t>
    <phoneticPr fontId="1"/>
  </si>
  <si>
    <t>量産仕様</t>
    <phoneticPr fontId="1"/>
  </si>
  <si>
    <t>仕様：バッテリパック変更による</t>
    <phoneticPr fontId="1"/>
  </si>
  <si>
    <t>仕様変更：コンバルスプール変更によりパラメータ変更</t>
    <phoneticPr fontId="1"/>
  </si>
  <si>
    <t>新規
不具合：スライドSW異常の閾値変更</t>
    <phoneticPr fontId="1"/>
  </si>
  <si>
    <t>不具合修正：スライドスイッチ中立条件</t>
    <phoneticPr fontId="1"/>
  </si>
  <si>
    <t>不具合修正：機種不明エラー誤発報</t>
    <phoneticPr fontId="1"/>
  </si>
  <si>
    <t>誤記：コントローラ品番</t>
    <phoneticPr fontId="1"/>
  </si>
  <si>
    <t>量産出図</t>
    <phoneticPr fontId="1"/>
  </si>
  <si>
    <t>仕様変更：J10B追加</t>
    <phoneticPr fontId="1"/>
  </si>
  <si>
    <t>仕様変更：油圧ポンプ変更</t>
    <phoneticPr fontId="1"/>
  </si>
  <si>
    <t>仕様変更：サービス流量表示値の変更</t>
    <phoneticPr fontId="1"/>
  </si>
  <si>
    <t>仕様変更：クレーン仕様追加</t>
    <phoneticPr fontId="1"/>
  </si>
  <si>
    <t>不具合修正：過去エラー表示</t>
    <phoneticPr fontId="1"/>
  </si>
  <si>
    <t>仕様変更：DABラジオ番組名表示、ミュートボタン追加</t>
    <phoneticPr fontId="1"/>
  </si>
  <si>
    <t>仕様変更：J10Bクレーン仕様追加</t>
    <phoneticPr fontId="1"/>
  </si>
  <si>
    <t>不具合：J10Bエンジン停止スイッチ警告誤発報</t>
    <phoneticPr fontId="1"/>
  </si>
  <si>
    <t>不具合:DABラジオアンテナ電源が有効にならない</t>
    <phoneticPr fontId="1"/>
  </si>
  <si>
    <t>不具合:キーON時ラジオがAMに切り替わる</t>
    <phoneticPr fontId="1"/>
  </si>
  <si>
    <t>仕様：操作性改善（J7Bのみ品番変更）</t>
    <phoneticPr fontId="1"/>
  </si>
  <si>
    <t>仕様：オートエンジンストップ機能改善</t>
    <phoneticPr fontId="1"/>
  </si>
  <si>
    <t>仕様：V2.xxと互換性あり</t>
    <phoneticPr fontId="1"/>
  </si>
  <si>
    <t>新規：US仕様EPA対応</t>
    <phoneticPr fontId="1"/>
  </si>
  <si>
    <t>新規：A12B用として</t>
    <phoneticPr fontId="1"/>
  </si>
  <si>
    <t>新規：フッペン向け新規</t>
    <phoneticPr fontId="1"/>
  </si>
  <si>
    <t>ディスプレイのモデルチェンジ(フッペン向け)</t>
    <phoneticPr fontId="1"/>
  </si>
  <si>
    <t>新規：EN474対応、緊急ステアリングSOL追加（採番のみ）</t>
    <phoneticPr fontId="1"/>
  </si>
  <si>
    <t>新規：EN474対応、緊急ステアリングSOL追加（ソフトゥエア設定）</t>
    <phoneticPr fontId="1"/>
  </si>
  <si>
    <t>サービス流量自動調整機能</t>
    <phoneticPr fontId="1"/>
  </si>
  <si>
    <t>仕様：EN474:2020対応</t>
    <phoneticPr fontId="1"/>
  </si>
  <si>
    <t>仕様：オフセットブームのストップ位置、スロー位置パラメター修正
仕様：アワメータをサービスツール上で変更できる機能追加
仕様：燃料プレ警告追加
仕様：サービス流量パラメータ修正</t>
    <phoneticPr fontId="1"/>
  </si>
  <si>
    <t>不具合：第３サービス出力不具合修正</t>
    <phoneticPr fontId="1"/>
  </si>
  <si>
    <t>仕様：M、Sモードでストップ、スロー角度の初期値変更
仕様：ブーム角度センサ異常時の挙動変更</t>
    <phoneticPr fontId="1"/>
  </si>
  <si>
    <t>仕様：ディスプレイ上でオプション選択できる機能を追加</t>
    <phoneticPr fontId="1"/>
  </si>
  <si>
    <t>仕様：DPFリカバリ再生機能追加</t>
    <phoneticPr fontId="1"/>
  </si>
  <si>
    <t>仕様：流量設定に関係するパラメータ初期変更
仕様：ブームストップ角度のパラメータ初期値変更</t>
    <phoneticPr fontId="1"/>
  </si>
  <si>
    <t>不具合：スライドスイッチ中立異常対策</t>
    <phoneticPr fontId="1"/>
  </si>
  <si>
    <t>(huppen対応品)第2サービス回路の変更</t>
    <phoneticPr fontId="1"/>
  </si>
  <si>
    <t>ディスプレイ変更</t>
    <phoneticPr fontId="1"/>
  </si>
  <si>
    <t>(1903)ファンドライブ変更/(1904)新規</t>
    <phoneticPr fontId="1"/>
  </si>
  <si>
    <t>エコモードに変更</t>
    <phoneticPr fontId="1"/>
  </si>
  <si>
    <t>仕様：オートグリス仕様変更</t>
    <phoneticPr fontId="1"/>
  </si>
  <si>
    <t>ECOモードからPOWERモードに変更</t>
    <phoneticPr fontId="1"/>
  </si>
  <si>
    <t>バックカメラ搭載</t>
    <phoneticPr fontId="1"/>
  </si>
  <si>
    <t>BALSクラスタ(BALS製)</t>
    <phoneticPr fontId="1"/>
  </si>
  <si>
    <t>(5147)(A25G)/5148(A27A)新規・5149(A27B)/5146(A25F)ファンドライブ変更</t>
    <phoneticPr fontId="1"/>
  </si>
  <si>
    <t>圧力調整バルブ変更</t>
    <phoneticPr fontId="1"/>
  </si>
  <si>
    <t>ファン変更</t>
    <phoneticPr fontId="1"/>
  </si>
  <si>
    <t>不具合修正：油圧パラメータリセット対策</t>
    <phoneticPr fontId="1"/>
  </si>
  <si>
    <t>仕様：AUX圧力調整SOLパラメータ変更、他量産P指摘事項対応</t>
    <phoneticPr fontId="1"/>
  </si>
  <si>
    <t>仕様：TAM対応、タイマ制御対応（制御中にACC復帰可とする）</t>
    <phoneticPr fontId="1"/>
  </si>
  <si>
    <t>(L5E)Stage5対応/(L5E2)新規</t>
    <phoneticPr fontId="1"/>
  </si>
  <si>
    <t>不具合修正：センサ電圧異常の閾値変更</t>
    <phoneticPr fontId="1"/>
  </si>
  <si>
    <t>不具合修正：AUX1センサ高圧異常誤発報</t>
    <phoneticPr fontId="1"/>
  </si>
  <si>
    <t>グレーダー仕様</t>
    <phoneticPr fontId="1"/>
  </si>
  <si>
    <t>メイン自動変速仕様</t>
    <phoneticPr fontId="1"/>
  </si>
  <si>
    <t>サブ自動変速仕様標準化</t>
    <phoneticPr fontId="1"/>
  </si>
  <si>
    <t>振動対策として(自動変速機能追加)</t>
    <phoneticPr fontId="1"/>
  </si>
  <si>
    <t>(L8EV)(L9ER)新規・(L9EV)走行曲進対策</t>
    <phoneticPr fontId="1"/>
  </si>
  <si>
    <t>(L8EV2/L9EV2/L9ER2)メイン新規・(L8EV/L9EV/L9ER)メインStage5</t>
    <phoneticPr fontId="1"/>
  </si>
  <si>
    <t>仕様：HWDアップデート(1.00→1.01)</t>
    <phoneticPr fontId="1"/>
  </si>
  <si>
    <t>新規：A14IWで新規採用</t>
    <phoneticPr fontId="1"/>
  </si>
  <si>
    <t>仕様：ケーブル素材変更</t>
    <phoneticPr fontId="1"/>
  </si>
  <si>
    <t>仕様：内部基盤変更</t>
    <phoneticPr fontId="1"/>
  </si>
  <si>
    <t>仕様：内部部品変更、互換性あり</t>
    <phoneticPr fontId="1"/>
  </si>
  <si>
    <t>仕様：DABアンテナ電源初期値変更OFF→ON</t>
    <phoneticPr fontId="1"/>
  </si>
  <si>
    <t>仕様：Bluetoothモジュールアップデート、互換性あり</t>
    <phoneticPr fontId="1"/>
  </si>
  <si>
    <t>新規：</t>
    <phoneticPr fontId="1"/>
  </si>
  <si>
    <t>不具合：バグ修正</t>
    <phoneticPr fontId="1"/>
  </si>
  <si>
    <t>仕様：機能の初期値を変更
不具合：一定時間で画面が消える不具合を修正</t>
    <phoneticPr fontId="1"/>
  </si>
  <si>
    <t>不具合：クリープモード時ATTアイコンが選択できない
不具合：昼夜モードが切り替わらない
不具合：裏画面Input情報の表示桁数
不具合：エンジンエラーコード表示</t>
    <phoneticPr fontId="1"/>
  </si>
  <si>
    <t>不具合：液晶剥がれ対策（プライマ処理追加）</t>
    <phoneticPr fontId="1"/>
  </si>
  <si>
    <t>不具合：防水対策</t>
    <phoneticPr fontId="1"/>
  </si>
  <si>
    <t>不具合：ディスプレイCAN通信異常の誤発報</t>
    <phoneticPr fontId="1"/>
  </si>
  <si>
    <t>不具合：防水対策
不具合：カメラ画像が表示されない</t>
    <phoneticPr fontId="1"/>
  </si>
  <si>
    <t>仕様：SOH未更新エラー抑制、他</t>
    <phoneticPr fontId="1"/>
  </si>
  <si>
    <t>仕様：バッテリ残量表示、他</t>
    <phoneticPr fontId="1"/>
  </si>
  <si>
    <t>仕様：ヒーター追加、他</t>
    <phoneticPr fontId="1"/>
  </si>
  <si>
    <t>仕様：ラベルにQRコード追加</t>
    <phoneticPr fontId="1"/>
  </si>
  <si>
    <t>仕様：クレーン仕様追加</t>
    <phoneticPr fontId="1"/>
  </si>
  <si>
    <t>不具合：過去エラー表示</t>
    <phoneticPr fontId="1"/>
  </si>
  <si>
    <t>仕様：DAB画面番組名表示</t>
    <phoneticPr fontId="1"/>
  </si>
  <si>
    <t>不具合：FRAM破損、HWDファイルアップデート(v311)</t>
    <phoneticPr fontId="1"/>
  </si>
  <si>
    <t>仕様：DAB画面番組一覧表示
不具合：PM体積量、灰体積量の表示</t>
    <phoneticPr fontId="1"/>
  </si>
  <si>
    <t>仕様：J7B減馬力制御変更に伴い裏画面入出力画面にピン情報追加</t>
    <phoneticPr fontId="1"/>
  </si>
  <si>
    <t>不具合：エラーコード表示漏れ</t>
    <phoneticPr fontId="1"/>
  </si>
  <si>
    <t>新規：EN474対応バックカメラ仕様追加</t>
    <phoneticPr fontId="1"/>
  </si>
  <si>
    <t>不具合：アイコンの視認性向上</t>
    <phoneticPr fontId="1"/>
  </si>
  <si>
    <t>新規出図</t>
    <phoneticPr fontId="1"/>
  </si>
  <si>
    <t>不具合：エラーコード602誤発報</t>
    <phoneticPr fontId="1"/>
  </si>
  <si>
    <t>不具合：防水対策（暫定）</t>
    <phoneticPr fontId="1"/>
  </si>
  <si>
    <t>仕様：ラジオ情報表示改善（番組名、ミュートボタン、スキャンなど）</t>
    <phoneticPr fontId="1"/>
  </si>
  <si>
    <t>仕様：ラジオ番組一覧表示</t>
    <phoneticPr fontId="1"/>
  </si>
  <si>
    <t>不具合：A14IWの流量設定の初期値が仕様と違う</t>
    <phoneticPr fontId="1"/>
  </si>
  <si>
    <t>仕様：反射防止のためLCDパネル変更</t>
    <phoneticPr fontId="1"/>
  </si>
  <si>
    <t>不具合：ラジオアンテナ電源がONにならない
仕様：自動圧抜きON/OFF切替追加</t>
    <phoneticPr fontId="1"/>
  </si>
  <si>
    <t>不具合：バックカメラ画像の揺れ改善
仕様：拡張出力機能追加、ジョイスティックステアリング機能追加、オートディギング機能追加、エコプラス機能追加</t>
    <phoneticPr fontId="1"/>
  </si>
  <si>
    <t>新規：EN474-5対応（品番設定のみ）</t>
    <phoneticPr fontId="1"/>
  </si>
  <si>
    <t>仕様：EN474-5対応、カメラ画面の制御変更</t>
    <phoneticPr fontId="1"/>
  </si>
  <si>
    <t>不具合：機種判別に失敗しパラメータがリセットされる
仕様：緊急ステアリング警告アイコン追加</t>
    <phoneticPr fontId="1"/>
  </si>
  <si>
    <t>仕様：緊急ステアリングソレノイド断線エラー追加</t>
    <phoneticPr fontId="1"/>
  </si>
  <si>
    <t>仕様：A25H追加(スイングペダルエラー追加)
仕様：アクセスマネジメント情報更新CAN[UA6]追加</t>
    <phoneticPr fontId="1"/>
  </si>
  <si>
    <t>新規：製造元変更</t>
    <phoneticPr fontId="1"/>
  </si>
  <si>
    <t>不具合：起動時の機種判別の不具合、エンジンモデルが表示されない</t>
    <phoneticPr fontId="1"/>
  </si>
  <si>
    <t>仕様：反射防止</t>
    <phoneticPr fontId="1"/>
  </si>
  <si>
    <t>不具合：サービス圧抜け対策、他バグ修正</t>
    <phoneticPr fontId="1"/>
  </si>
  <si>
    <t>新規：EN474対応（採番のみ）</t>
    <phoneticPr fontId="1"/>
  </si>
  <si>
    <t>新規：EN474対応
不具合：カメラ画面フリーズ対策
不具合：電話番号表示不具合</t>
    <phoneticPr fontId="1"/>
  </si>
  <si>
    <t>新規：製造元変更
仕様：DABラジオに番組表を表示
注）コントローラとの組み合わせにより互換性あり</t>
    <phoneticPr fontId="1"/>
  </si>
  <si>
    <t>不具合：電話番号表示不具合</t>
    <phoneticPr fontId="1"/>
  </si>
  <si>
    <t>新規：EN474対応</t>
    <phoneticPr fontId="1"/>
  </si>
  <si>
    <t>不具合：エラーコード602（CAN通信異常）誤発報</t>
    <phoneticPr fontId="1"/>
  </si>
  <si>
    <t>新規：量産出図</t>
    <phoneticPr fontId="1"/>
  </si>
  <si>
    <t>不具合：クリープゲージが表示されない</t>
    <phoneticPr fontId="1"/>
  </si>
  <si>
    <t xml:space="preserve">A27A	</t>
    <phoneticPr fontId="1"/>
  </si>
  <si>
    <t>A4E</t>
  </si>
  <si>
    <t>A4F</t>
  </si>
  <si>
    <t>A4F</t>
    <phoneticPr fontId="1"/>
  </si>
  <si>
    <t>L6E2</t>
    <phoneticPr fontId="1"/>
  </si>
  <si>
    <t>A12B</t>
    <phoneticPr fontId="1"/>
  </si>
  <si>
    <t>key</t>
    <phoneticPr fontId="1"/>
  </si>
  <si>
    <t>A12A</t>
    <phoneticPr fontId="1"/>
  </si>
  <si>
    <t>V2.04</t>
    <phoneticPr fontId="1"/>
  </si>
  <si>
    <t>V5.01</t>
    <phoneticPr fontId="1"/>
  </si>
  <si>
    <t>V2.31</t>
    <phoneticPr fontId="1"/>
  </si>
  <si>
    <t>V1.43</t>
    <phoneticPr fontId="1"/>
  </si>
  <si>
    <t>V1.00</t>
    <phoneticPr fontId="1"/>
  </si>
  <si>
    <t>V1.02</t>
    <phoneticPr fontId="1"/>
  </si>
  <si>
    <t>V1.01</t>
    <phoneticPr fontId="1"/>
  </si>
  <si>
    <t>V1.03</t>
    <phoneticPr fontId="1"/>
  </si>
  <si>
    <t>63176</t>
    <phoneticPr fontId="1"/>
  </si>
  <si>
    <t>V1.09</t>
    <phoneticPr fontId="1"/>
  </si>
  <si>
    <t>V1.07</t>
    <phoneticPr fontId="1"/>
  </si>
  <si>
    <t>V1.06</t>
    <phoneticPr fontId="1"/>
  </si>
  <si>
    <t>新規：with 30km/h spec</t>
    <rPh sb="0" eb="2">
      <t>シンキ</t>
    </rPh>
    <phoneticPr fontId="1"/>
  </si>
  <si>
    <t>試作：量産出図</t>
    <rPh sb="0" eb="2">
      <t>シサク</t>
    </rPh>
    <rPh sb="2" eb="3">
      <t>サンゼン</t>
    </rPh>
    <rPh sb="3" eb="5">
      <t>リョウサン</t>
    </rPh>
    <rPh sb="5" eb="7">
      <t>シュツズ</t>
    </rPh>
    <phoneticPr fontId="1"/>
  </si>
  <si>
    <t>試作：量産パイロットで見つかった不具合を修正</t>
    <rPh sb="0" eb="2">
      <t>シサク</t>
    </rPh>
    <rPh sb="3" eb="5">
      <t>リョウサン</t>
    </rPh>
    <rPh sb="11" eb="12">
      <t>ミ</t>
    </rPh>
    <rPh sb="16" eb="19">
      <t>フグアイ</t>
    </rPh>
    <rPh sb="20" eb="22">
      <t>シュウセイ</t>
    </rPh>
    <phoneticPr fontId="1"/>
  </si>
  <si>
    <t>試作：指摘、要望対応</t>
    <rPh sb="0" eb="2">
      <t>シサク</t>
    </rPh>
    <rPh sb="2" eb="3">
      <t>サンゼン</t>
    </rPh>
    <rPh sb="3" eb="5">
      <t>シテキ</t>
    </rPh>
    <rPh sb="6" eb="8">
      <t>ヨウボウ</t>
    </rPh>
    <rPh sb="8" eb="10">
      <t>タイオウ</t>
    </rPh>
    <phoneticPr fontId="1"/>
  </si>
  <si>
    <t>仕様：20km/h仕様を別品番とする</t>
    <rPh sb="0" eb="2">
      <t>シヨウ</t>
    </rPh>
    <rPh sb="2" eb="3">
      <t>サンゼン</t>
    </rPh>
    <rPh sb="9" eb="11">
      <t>シヨウ</t>
    </rPh>
    <rPh sb="12" eb="15">
      <t>ベツヒンバン</t>
    </rPh>
    <phoneticPr fontId="1"/>
  </si>
  <si>
    <t>不具合:アクセルペダル異常判定不具合</t>
    <rPh sb="0" eb="3">
      <t>フグアイ</t>
    </rPh>
    <rPh sb="11" eb="13">
      <t>イジョウ</t>
    </rPh>
    <rPh sb="13" eb="15">
      <t>ハンテイ</t>
    </rPh>
    <rPh sb="15" eb="18">
      <t>フグアイ</t>
    </rPh>
    <phoneticPr fontId="1"/>
  </si>
  <si>
    <t>V1.05</t>
    <phoneticPr fontId="1"/>
  </si>
  <si>
    <t>不具合:DABアンテナ電源不具合修正
仕様:自動圧抜きON/OFF機能追加</t>
    <rPh sb="0" eb="3">
      <t>フグアイ</t>
    </rPh>
    <rPh sb="11" eb="13">
      <t>デンゲン</t>
    </rPh>
    <rPh sb="13" eb="16">
      <t>フグアイ</t>
    </rPh>
    <rPh sb="16" eb="18">
      <t>シュウセイ</t>
    </rPh>
    <rPh sb="19" eb="21">
      <t>シヨウ</t>
    </rPh>
    <rPh sb="22" eb="26">
      <t>ジドウアツヌ</t>
    </rPh>
    <rPh sb="33" eb="35">
      <t>キノウ</t>
    </rPh>
    <rPh sb="35" eb="37">
      <t>ツイカ</t>
    </rPh>
    <phoneticPr fontId="1"/>
  </si>
  <si>
    <t>仕様:拡張出力機能追加</t>
    <rPh sb="0" eb="2">
      <t>シヨウ</t>
    </rPh>
    <rPh sb="3" eb="5">
      <t>カクチョウ</t>
    </rPh>
    <rPh sb="5" eb="7">
      <t>シュツリョク</t>
    </rPh>
    <rPh sb="7" eb="9">
      <t>キノウ</t>
    </rPh>
    <rPh sb="9" eb="11">
      <t>ツイカ</t>
    </rPh>
    <phoneticPr fontId="1"/>
  </si>
  <si>
    <t>仕様:ブームサスペンション仕様追加
不具合:ブレーキペダルを離してもブレーキランプが点灯する不具合修正
不具合:キーON時にラジオのモードがAMになる不具合を修正</t>
    <rPh sb="0" eb="2">
      <t>シヨウ</t>
    </rPh>
    <rPh sb="13" eb="15">
      <t>シヨウ</t>
    </rPh>
    <rPh sb="15" eb="17">
      <t>ツイカ</t>
    </rPh>
    <rPh sb="18" eb="21">
      <t>フグアイ</t>
    </rPh>
    <rPh sb="30" eb="31">
      <t>ハナ</t>
    </rPh>
    <rPh sb="42" eb="44">
      <t>テントウ</t>
    </rPh>
    <rPh sb="46" eb="49">
      <t>フグアイ</t>
    </rPh>
    <rPh sb="49" eb="51">
      <t>シュウセイ</t>
    </rPh>
    <rPh sb="52" eb="55">
      <t>フグアイ</t>
    </rPh>
    <rPh sb="60" eb="61">
      <t>ジ</t>
    </rPh>
    <rPh sb="75" eb="78">
      <t>フグアイ</t>
    </rPh>
    <rPh sb="79" eb="81">
      <t>シュウセイ</t>
    </rPh>
    <phoneticPr fontId="1"/>
  </si>
  <si>
    <t>不具合:サブバルブ高圧エラー誤発報修正
仕様:オートエンジンストップ復帰時の状態変更
仕様:オートディギングブレーキ仕様追加
不具合:クラスタCAN通信異常不具合修正
不具合:拡張出力ディテント時同時出力できない不具合を修正
仕様:TFMリモートコマンドV15対応
仕様:オートグリスパラメータ変更</t>
    <rPh sb="0" eb="3">
      <t>フグアイ</t>
    </rPh>
    <rPh sb="9" eb="11">
      <t>コウアツ</t>
    </rPh>
    <rPh sb="14" eb="17">
      <t>ゴハッポウ</t>
    </rPh>
    <rPh sb="17" eb="19">
      <t>シュウセイ</t>
    </rPh>
    <rPh sb="20" eb="22">
      <t>シヨウ</t>
    </rPh>
    <rPh sb="34" eb="37">
      <t>フッキジ</t>
    </rPh>
    <rPh sb="38" eb="40">
      <t>ジョウタイ</t>
    </rPh>
    <rPh sb="40" eb="42">
      <t>ヘンコウ</t>
    </rPh>
    <rPh sb="43" eb="45">
      <t>シヨウ</t>
    </rPh>
    <rPh sb="58" eb="60">
      <t>シヨウ</t>
    </rPh>
    <rPh sb="60" eb="62">
      <t>ツイカ</t>
    </rPh>
    <rPh sb="63" eb="66">
      <t>フグアイ</t>
    </rPh>
    <rPh sb="74" eb="76">
      <t>ツウシン</t>
    </rPh>
    <rPh sb="76" eb="78">
      <t>イジョウ</t>
    </rPh>
    <rPh sb="78" eb="81">
      <t>フグアイ</t>
    </rPh>
    <rPh sb="81" eb="83">
      <t>シュウセイ</t>
    </rPh>
    <rPh sb="84" eb="87">
      <t>フグアイ</t>
    </rPh>
    <rPh sb="88" eb="90">
      <t>カクチョウ</t>
    </rPh>
    <rPh sb="90" eb="92">
      <t>シュツリョク</t>
    </rPh>
    <rPh sb="97" eb="98">
      <t>ジ</t>
    </rPh>
    <rPh sb="98" eb="100">
      <t>ドウジ</t>
    </rPh>
    <rPh sb="100" eb="102">
      <t>シュツリョク</t>
    </rPh>
    <rPh sb="106" eb="109">
      <t>フグアイ</t>
    </rPh>
    <rPh sb="110" eb="112">
      <t>シュウセイ</t>
    </rPh>
    <phoneticPr fontId="1"/>
  </si>
  <si>
    <t>新規：with 30km/h spec</t>
    <phoneticPr fontId="1"/>
  </si>
  <si>
    <t>試作：量産出図</t>
    <phoneticPr fontId="1"/>
  </si>
  <si>
    <t>試作：量産パイロットで見つかった不具合を修正</t>
    <phoneticPr fontId="1"/>
  </si>
  <si>
    <t>試作：指摘、要望対応</t>
    <phoneticPr fontId="1"/>
  </si>
  <si>
    <t>仕様：20km/h仕様を別品番とする</t>
    <phoneticPr fontId="1"/>
  </si>
  <si>
    <t>不具合:アクセルペダル異常判定不具合</t>
    <phoneticPr fontId="1"/>
  </si>
  <si>
    <t>不具合:DABアンテナ電源不具合修正
仕様:自動圧抜きON/OFF機能追加</t>
    <phoneticPr fontId="1"/>
  </si>
  <si>
    <t>仕様:拡張出力機能追加</t>
    <phoneticPr fontId="1"/>
  </si>
  <si>
    <t>仕様:ブームサスペンション仕様追加
不具合:ブレーキペダルを離してもブレーキランプが点灯する不具合修正
不具合:キーON時にラジオのモードがAMになる不具合を修正</t>
    <phoneticPr fontId="1"/>
  </si>
  <si>
    <t>17301-40997</t>
    <phoneticPr fontId="1"/>
  </si>
  <si>
    <t>クラスタ</t>
    <phoneticPr fontId="1"/>
  </si>
  <si>
    <t>朝日電装</t>
    <rPh sb="0" eb="4">
      <t>アサヒデンソウ</t>
    </rPh>
    <phoneticPr fontId="1"/>
  </si>
  <si>
    <t>17301-40998</t>
    <phoneticPr fontId="1"/>
  </si>
  <si>
    <t>CANなし</t>
    <phoneticPr fontId="1"/>
  </si>
  <si>
    <t>CANあり</t>
    <phoneticPr fontId="1"/>
  </si>
  <si>
    <t>54760</t>
    <phoneticPr fontId="1"/>
  </si>
  <si>
    <t>56268</t>
    <phoneticPr fontId="1"/>
  </si>
  <si>
    <t>62005</t>
    <phoneticPr fontId="1"/>
  </si>
  <si>
    <t>63768</t>
    <phoneticPr fontId="1"/>
  </si>
  <si>
    <t>17301-40991</t>
    <phoneticPr fontId="1"/>
  </si>
  <si>
    <t>17301-40996</t>
    <phoneticPr fontId="1"/>
  </si>
  <si>
    <t>仕様:LCDその他電子部品の生産中止に伴う変更、ソフト互換性なし</t>
    <rPh sb="0" eb="2">
      <t>シヨウ</t>
    </rPh>
    <rPh sb="8" eb="9">
      <t>タ</t>
    </rPh>
    <rPh sb="9" eb="13">
      <t>デンシブヒン</t>
    </rPh>
    <rPh sb="14" eb="16">
      <t>セイサン</t>
    </rPh>
    <rPh sb="16" eb="18">
      <t>チュウシ</t>
    </rPh>
    <rPh sb="19" eb="20">
      <t>トモナ</t>
    </rPh>
    <rPh sb="21" eb="23">
      <t>ヘンコウ</t>
    </rPh>
    <rPh sb="27" eb="30">
      <t>ゴカンセイ</t>
    </rPh>
    <phoneticPr fontId="1"/>
  </si>
  <si>
    <t>42666</t>
    <phoneticPr fontId="1"/>
  </si>
  <si>
    <t>46071</t>
    <phoneticPr fontId="1"/>
  </si>
  <si>
    <t>46641</t>
    <phoneticPr fontId="1"/>
  </si>
  <si>
    <t>47987</t>
    <phoneticPr fontId="1"/>
  </si>
  <si>
    <t>49154</t>
    <phoneticPr fontId="1"/>
  </si>
  <si>
    <t>62121</t>
    <phoneticPr fontId="1"/>
  </si>
  <si>
    <t>51614</t>
    <phoneticPr fontId="1"/>
  </si>
  <si>
    <t>53774</t>
    <phoneticPr fontId="1"/>
  </si>
  <si>
    <t>仕様:Stage5対応(NCD警告追加)</t>
    <rPh sb="0" eb="2">
      <t>シヨウ</t>
    </rPh>
    <rPh sb="9" eb="11">
      <t>タイオウ</t>
    </rPh>
    <rPh sb="15" eb="17">
      <t>ケイコク</t>
    </rPh>
    <rPh sb="17" eb="19">
      <t>ツイカ</t>
    </rPh>
    <phoneticPr fontId="1"/>
  </si>
  <si>
    <t>仕様:エンジン停止スイッチ警告追加</t>
    <rPh sb="0" eb="2">
      <t>シヨウ</t>
    </rPh>
    <rPh sb="7" eb="9">
      <t>テイシ</t>
    </rPh>
    <rPh sb="13" eb="15">
      <t>ケイコク</t>
    </rPh>
    <rPh sb="15" eb="17">
      <t>ツイカ</t>
    </rPh>
    <phoneticPr fontId="1"/>
  </si>
  <si>
    <t>仕様:クレーン仕様追加</t>
    <rPh sb="0" eb="2">
      <t>シヨウ</t>
    </rPh>
    <rPh sb="7" eb="9">
      <t>シヨウ</t>
    </rPh>
    <rPh sb="9" eb="11">
      <t>ツイカ</t>
    </rPh>
    <phoneticPr fontId="1"/>
  </si>
  <si>
    <t>不具合:エンジン始動性改善</t>
    <rPh sb="0" eb="3">
      <t>フグアイ</t>
    </rPh>
    <rPh sb="8" eb="11">
      <t>シドウセイ</t>
    </rPh>
    <rPh sb="11" eb="13">
      <t>カイゼン</t>
    </rPh>
    <phoneticPr fontId="1"/>
  </si>
  <si>
    <t>仕様:イモビ機能追加</t>
    <rPh sb="0" eb="2">
      <t>シヨウ</t>
    </rPh>
    <rPh sb="6" eb="8">
      <t>キノウ</t>
    </rPh>
    <rPh sb="8" eb="10">
      <t>ツイカ</t>
    </rPh>
    <phoneticPr fontId="1"/>
  </si>
  <si>
    <t>17301-40995</t>
    <phoneticPr fontId="1"/>
  </si>
  <si>
    <t>41574</t>
    <phoneticPr fontId="1"/>
  </si>
  <si>
    <t>41859</t>
    <phoneticPr fontId="1"/>
  </si>
  <si>
    <t>43589</t>
    <phoneticPr fontId="1"/>
  </si>
  <si>
    <t>47813</t>
    <phoneticPr fontId="1"/>
  </si>
  <si>
    <t>不具合:防水対策として裏ふた追加</t>
    <rPh sb="0" eb="3">
      <t>フグアイ</t>
    </rPh>
    <rPh sb="4" eb="8">
      <t>ボウスイタイサク</t>
    </rPh>
    <rPh sb="11" eb="12">
      <t>ウラ</t>
    </rPh>
    <rPh sb="14" eb="16">
      <t>ツイカ</t>
    </rPh>
    <phoneticPr fontId="1"/>
  </si>
  <si>
    <t>仕様:オプション設定機能追加</t>
    <rPh sb="0" eb="2">
      <t>シヨウ</t>
    </rPh>
    <rPh sb="8" eb="10">
      <t>セッテイ</t>
    </rPh>
    <rPh sb="10" eb="12">
      <t>キノウ</t>
    </rPh>
    <rPh sb="12" eb="14">
      <t>ツイカ</t>
    </rPh>
    <phoneticPr fontId="1"/>
  </si>
  <si>
    <t>仕様:セーフティースタート機能追加</t>
    <rPh sb="0" eb="2">
      <t>シヨウ</t>
    </rPh>
    <rPh sb="13" eb="15">
      <t>キノウ</t>
    </rPh>
    <rPh sb="15" eb="17">
      <t>ツイカ</t>
    </rPh>
    <phoneticPr fontId="1"/>
  </si>
  <si>
    <t>仕様:エコモード追加</t>
    <rPh sb="0" eb="2">
      <t>シヨウ</t>
    </rPh>
    <rPh sb="8" eb="10">
      <t>ツイカ</t>
    </rPh>
    <phoneticPr fontId="1"/>
  </si>
  <si>
    <t>仕様:LCD他電子部品の生産中止に伴う変更</t>
    <rPh sb="0" eb="2">
      <t>シヨウ</t>
    </rPh>
    <rPh sb="6" eb="7">
      <t>ホカ</t>
    </rPh>
    <rPh sb="7" eb="11">
      <t>デンシブヒン</t>
    </rPh>
    <rPh sb="12" eb="14">
      <t>セイサン</t>
    </rPh>
    <rPh sb="14" eb="16">
      <t>チュウシ</t>
    </rPh>
    <rPh sb="17" eb="18">
      <t>トモナ</t>
    </rPh>
    <rPh sb="19" eb="21">
      <t>ヘンコウ</t>
    </rPh>
    <phoneticPr fontId="1"/>
  </si>
  <si>
    <t>不具合:EMC試験でブラックアウトする不具合修正</t>
    <rPh sb="0" eb="3">
      <t>フグアイ</t>
    </rPh>
    <rPh sb="7" eb="9">
      <t>シケン</t>
    </rPh>
    <rPh sb="19" eb="22">
      <t>フグアイ</t>
    </rPh>
    <rPh sb="22" eb="24">
      <t>シュウセイ</t>
    </rPh>
    <phoneticPr fontId="1"/>
  </si>
  <si>
    <t>仕様:韓国電波認証登録</t>
    <rPh sb="0" eb="2">
      <t>シヨウ</t>
    </rPh>
    <rPh sb="3" eb="5">
      <t>カンコク</t>
    </rPh>
    <rPh sb="5" eb="9">
      <t>デンパニンショウ</t>
    </rPh>
    <rPh sb="9" eb="11">
      <t>トウロク</t>
    </rPh>
    <phoneticPr fontId="1"/>
  </si>
  <si>
    <t>仕様:オーストラリア電波認証</t>
    <rPh sb="0" eb="2">
      <t>シヨウ</t>
    </rPh>
    <rPh sb="10" eb="12">
      <t>デンパ</t>
    </rPh>
    <rPh sb="12" eb="14">
      <t>ニンショウ</t>
    </rPh>
    <phoneticPr fontId="1"/>
  </si>
  <si>
    <t>仕様:エンジン始動制御変更(イモビ機能)</t>
    <rPh sb="0" eb="2">
      <t>シヨウ</t>
    </rPh>
    <rPh sb="7" eb="9">
      <t>シドウ</t>
    </rPh>
    <rPh sb="9" eb="11">
      <t>セイギョ</t>
    </rPh>
    <rPh sb="11" eb="13">
      <t>ヘンコウ</t>
    </rPh>
    <rPh sb="17" eb="19">
      <t>キノウ</t>
    </rPh>
    <phoneticPr fontId="1"/>
  </si>
  <si>
    <t>V2.xx/V3.xx</t>
    <phoneticPr fontId="1"/>
  </si>
  <si>
    <t>03301-00075</t>
    <phoneticPr fontId="1"/>
  </si>
  <si>
    <t>53605</t>
    <phoneticPr fontId="1"/>
  </si>
  <si>
    <t>54207</t>
    <phoneticPr fontId="1"/>
  </si>
  <si>
    <t>54603</t>
    <phoneticPr fontId="1"/>
  </si>
  <si>
    <t>55360</t>
    <phoneticPr fontId="1"/>
  </si>
  <si>
    <t>62508</t>
    <phoneticPr fontId="1"/>
  </si>
  <si>
    <t>64198</t>
    <phoneticPr fontId="1"/>
  </si>
  <si>
    <t>63602</t>
    <phoneticPr fontId="1"/>
  </si>
  <si>
    <t>V1.17</t>
    <phoneticPr fontId="1"/>
  </si>
  <si>
    <t>63124</t>
    <phoneticPr fontId="1"/>
  </si>
  <si>
    <t>V1.16</t>
    <phoneticPr fontId="1"/>
  </si>
  <si>
    <t>V1.10</t>
    <phoneticPr fontId="1"/>
  </si>
  <si>
    <t>V1.11</t>
    <phoneticPr fontId="1"/>
  </si>
  <si>
    <t>V1.07</t>
    <phoneticPr fontId="1"/>
  </si>
  <si>
    <t>V1.00</t>
    <phoneticPr fontId="1"/>
  </si>
  <si>
    <t>新規:量産出図</t>
    <rPh sb="0" eb="2">
      <t>シンキ</t>
    </rPh>
    <rPh sb="3" eb="5">
      <t>リョウサン</t>
    </rPh>
    <rPh sb="5" eb="7">
      <t>シュツズ</t>
    </rPh>
    <phoneticPr fontId="1"/>
  </si>
  <si>
    <t>新規:試作出図</t>
    <rPh sb="0" eb="2">
      <t>シンキ</t>
    </rPh>
    <rPh sb="3" eb="5">
      <t>シサク</t>
    </rPh>
    <rPh sb="5" eb="7">
      <t>シュツズ</t>
    </rPh>
    <phoneticPr fontId="1"/>
  </si>
  <si>
    <t>仕様:オートグリスのエンプティ警告の仕様変更</t>
    <rPh sb="0" eb="2">
      <t>シヨウ</t>
    </rPh>
    <rPh sb="15" eb="17">
      <t>ケイコク</t>
    </rPh>
    <rPh sb="18" eb="20">
      <t>シヨウ</t>
    </rPh>
    <rPh sb="20" eb="22">
      <t>ヘンコウ</t>
    </rPh>
    <phoneticPr fontId="1"/>
  </si>
  <si>
    <t>仕様:270度カメラ対応</t>
    <phoneticPr fontId="1"/>
  </si>
  <si>
    <t>仕様:AUX3ハードロック仕様変更</t>
    <rPh sb="13" eb="15">
      <t>シヨウ</t>
    </rPh>
    <rPh sb="15" eb="17">
      <t>ヘンコウ</t>
    </rPh>
    <phoneticPr fontId="1"/>
  </si>
  <si>
    <t>不具合:スライドスイッチ中立異常エラー不具合対策</t>
    <rPh sb="0" eb="3">
      <t>フグアイ</t>
    </rPh>
    <rPh sb="12" eb="14">
      <t>チュウリツ</t>
    </rPh>
    <rPh sb="14" eb="16">
      <t>イジョウ</t>
    </rPh>
    <rPh sb="19" eb="22">
      <t>フグアイ</t>
    </rPh>
    <rPh sb="22" eb="24">
      <t>タイサク</t>
    </rPh>
    <phoneticPr fontId="1"/>
  </si>
  <si>
    <t>仕様:オートエンジンストップ仕様変更(復帰時の挙動)
仕様:ビーコンスイッチ仕様変更(前回値保持)
仕様:オートグリスパラメータ変更</t>
    <rPh sb="0" eb="2">
      <t>シヨウ</t>
    </rPh>
    <rPh sb="14" eb="16">
      <t>シヨウ</t>
    </rPh>
    <rPh sb="16" eb="18">
      <t>ヘンコウ</t>
    </rPh>
    <rPh sb="19" eb="22">
      <t>フッキジ</t>
    </rPh>
    <rPh sb="23" eb="25">
      <t>キョドウ</t>
    </rPh>
    <rPh sb="27" eb="29">
      <t>シヨウ</t>
    </rPh>
    <rPh sb="38" eb="40">
      <t>シヨウ</t>
    </rPh>
    <rPh sb="40" eb="42">
      <t>ヘンコウ</t>
    </rPh>
    <rPh sb="43" eb="45">
      <t>ゼンカイ</t>
    </rPh>
    <rPh sb="45" eb="46">
      <t>チ</t>
    </rPh>
    <rPh sb="46" eb="48">
      <t>ホジ</t>
    </rPh>
    <rPh sb="50" eb="52">
      <t>シヨウ</t>
    </rPh>
    <rPh sb="64" eb="66">
      <t>ヘンコウ</t>
    </rPh>
    <phoneticPr fontId="1"/>
  </si>
  <si>
    <t>仕様:スイングアジャスト切替の仕様変更(前回値保持)</t>
    <rPh sb="0" eb="2">
      <t>シヨウ</t>
    </rPh>
    <rPh sb="12" eb="14">
      <t>キリカエ</t>
    </rPh>
    <rPh sb="15" eb="17">
      <t>シヨウ</t>
    </rPh>
    <rPh sb="17" eb="19">
      <t>ヘンコウ</t>
    </rPh>
    <rPh sb="20" eb="23">
      <t>ゼンカイチ</t>
    </rPh>
    <rPh sb="23" eb="25">
      <t>ホジ</t>
    </rPh>
    <phoneticPr fontId="1"/>
  </si>
  <si>
    <t>V2.04</t>
    <phoneticPr fontId="1"/>
  </si>
  <si>
    <t>V2.06</t>
    <phoneticPr fontId="1"/>
  </si>
  <si>
    <t>V2.11</t>
    <phoneticPr fontId="1"/>
  </si>
  <si>
    <t>V2.10</t>
    <phoneticPr fontId="1"/>
  </si>
  <si>
    <t>V2.09</t>
    <phoneticPr fontId="1"/>
  </si>
  <si>
    <t>仕様:AUX2/4同時操仕様追加</t>
    <rPh sb="0" eb="2">
      <t>シヨウ</t>
    </rPh>
    <rPh sb="9" eb="11">
      <t>ドウジ</t>
    </rPh>
    <rPh sb="11" eb="12">
      <t>アヤツ</t>
    </rPh>
    <rPh sb="12" eb="14">
      <t>シヨウ</t>
    </rPh>
    <rPh sb="14" eb="16">
      <t>ツイカ</t>
    </rPh>
    <phoneticPr fontId="1"/>
  </si>
  <si>
    <t>仕様:TFM対応</t>
    <rPh sb="0" eb="2">
      <t>シヨウ</t>
    </rPh>
    <rPh sb="6" eb="8">
      <t>タイオウ</t>
    </rPh>
    <phoneticPr fontId="1"/>
  </si>
  <si>
    <t>仕様:エンジン回転数一定モード(ALES)を追加</t>
    <rPh sb="0" eb="2">
      <t>シヨウ</t>
    </rPh>
    <rPh sb="7" eb="10">
      <t>カイテンスウ</t>
    </rPh>
    <rPh sb="10" eb="12">
      <t>イッテイ</t>
    </rPh>
    <rPh sb="22" eb="24">
      <t>ツイカ</t>
    </rPh>
    <phoneticPr fontId="1"/>
  </si>
  <si>
    <t>仕様:KOSO製クラスタ対応</t>
    <rPh sb="0" eb="2">
      <t>シヨウ</t>
    </rPh>
    <rPh sb="7" eb="8">
      <t>セイ</t>
    </rPh>
    <rPh sb="12" eb="14">
      <t>タイオウ</t>
    </rPh>
    <phoneticPr fontId="1"/>
  </si>
  <si>
    <t>仕様:バックカメラなし仕様追加</t>
    <rPh sb="0" eb="2">
      <t>シヨウ</t>
    </rPh>
    <rPh sb="11" eb="13">
      <t>シヨウ</t>
    </rPh>
    <rPh sb="13" eb="15">
      <t>ツイカ</t>
    </rPh>
    <phoneticPr fontId="1"/>
  </si>
  <si>
    <t>仕様：オートグリス警告</t>
    <rPh sb="0" eb="2">
      <t>シヨウ</t>
    </rPh>
    <rPh sb="9" eb="11">
      <t>ケイコク</t>
    </rPh>
    <phoneticPr fontId="1"/>
  </si>
  <si>
    <t>仕様:グリップボタンにミュート機能割り当て
不具合:DABアンテナ電源がONにならない不具合対策</t>
    <rPh sb="0" eb="2">
      <t>シヨウ</t>
    </rPh>
    <rPh sb="15" eb="17">
      <t>キノウ</t>
    </rPh>
    <rPh sb="17" eb="18">
      <t>ワ</t>
    </rPh>
    <rPh sb="19" eb="20">
      <t>ア</t>
    </rPh>
    <rPh sb="22" eb="25">
      <t>フグアイ</t>
    </rPh>
    <rPh sb="33" eb="35">
      <t>デンゲン</t>
    </rPh>
    <rPh sb="43" eb="46">
      <t>フグアイ</t>
    </rPh>
    <rPh sb="46" eb="48">
      <t>タイサク</t>
    </rPh>
    <phoneticPr fontId="1"/>
  </si>
  <si>
    <t>仕様:AUX2/4サービス同時操作グリップ設定</t>
    <rPh sb="0" eb="2">
      <t>シヨウ</t>
    </rPh>
    <phoneticPr fontId="1"/>
  </si>
  <si>
    <t>仕様:エンジンオートストップ機能(復帰)
仕様:始動時ビーコン動作(前回値保持)
仕様:オートグリスパラメータ変更</t>
    <rPh sb="0" eb="2">
      <t>シヨウ</t>
    </rPh>
    <rPh sb="14" eb="16">
      <t>キノウ</t>
    </rPh>
    <rPh sb="17" eb="19">
      <t>フッキ</t>
    </rPh>
    <rPh sb="21" eb="23">
      <t>シヨウ</t>
    </rPh>
    <rPh sb="24" eb="27">
      <t>シドウジ</t>
    </rPh>
    <rPh sb="31" eb="33">
      <t>ドウサ</t>
    </rPh>
    <rPh sb="34" eb="37">
      <t>ゼンカイチ</t>
    </rPh>
    <rPh sb="37" eb="39">
      <t>ホジ</t>
    </rPh>
    <rPh sb="41" eb="43">
      <t>シヨウ</t>
    </rPh>
    <rPh sb="55" eb="57">
      <t>ヘンコウ</t>
    </rPh>
    <phoneticPr fontId="1"/>
  </si>
  <si>
    <t>仕様:始動時のスイング/アジャストモード設定</t>
    <rPh sb="0" eb="2">
      <t>シヨウ</t>
    </rPh>
    <rPh sb="3" eb="6">
      <t>シドウジ</t>
    </rPh>
    <rPh sb="20" eb="22">
      <t>セッテイ</t>
    </rPh>
    <phoneticPr fontId="1"/>
  </si>
  <si>
    <t>仕様：オートグリス警告</t>
    <phoneticPr fontId="1"/>
  </si>
  <si>
    <t>仕様:AUX2/4サービス同時操作グリップ設定</t>
    <phoneticPr fontId="1"/>
  </si>
  <si>
    <t>仕様:エンジンオートストップ機能改善(始動時復帰)
仕様:始動時ビーコン動作(前回値保持)
仕様:オートグリスパラメータ変更</t>
    <rPh sb="0" eb="2">
      <t>シヨウ</t>
    </rPh>
    <rPh sb="14" eb="16">
      <t>キノウ</t>
    </rPh>
    <rPh sb="16" eb="18">
      <t>カイゼン</t>
    </rPh>
    <rPh sb="19" eb="22">
      <t>シドウジ</t>
    </rPh>
    <rPh sb="22" eb="24">
      <t>フッキ</t>
    </rPh>
    <rPh sb="26" eb="28">
      <t>シヨウ</t>
    </rPh>
    <rPh sb="29" eb="32">
      <t>シドウジ</t>
    </rPh>
    <rPh sb="36" eb="38">
      <t>ドウサ</t>
    </rPh>
    <rPh sb="39" eb="44">
      <t>ゼンカイチホジ</t>
    </rPh>
    <rPh sb="46" eb="48">
      <t>シヨウ</t>
    </rPh>
    <rPh sb="60" eb="62">
      <t>ヘンコウ</t>
    </rPh>
    <phoneticPr fontId="1"/>
  </si>
  <si>
    <t>新規:EN474対応</t>
    <rPh sb="0" eb="2">
      <t>シンキ</t>
    </rPh>
    <rPh sb="8" eb="10">
      <t>タイオウ</t>
    </rPh>
    <phoneticPr fontId="1"/>
  </si>
  <si>
    <t>不具合:ディスプレイCAN通信異常誤発報対策</t>
    <rPh sb="0" eb="3">
      <t>フグアイ</t>
    </rPh>
    <rPh sb="13" eb="15">
      <t>ツウシン</t>
    </rPh>
    <rPh sb="15" eb="17">
      <t>イジョウ</t>
    </rPh>
    <rPh sb="17" eb="20">
      <t>ゴハッポウ</t>
    </rPh>
    <rPh sb="20" eb="22">
      <t>タイサク</t>
    </rPh>
    <phoneticPr fontId="1"/>
  </si>
  <si>
    <t>55857</t>
    <phoneticPr fontId="1"/>
  </si>
  <si>
    <t>17301-43810</t>
  </si>
  <si>
    <t>17301-43810</t>
    <phoneticPr fontId="1"/>
  </si>
  <si>
    <t>A13A</t>
    <phoneticPr fontId="1"/>
  </si>
  <si>
    <t>B005266</t>
    <phoneticPr fontId="1"/>
  </si>
  <si>
    <t>47906</t>
    <phoneticPr fontId="1"/>
  </si>
  <si>
    <t>50197</t>
    <phoneticPr fontId="1"/>
  </si>
  <si>
    <t>51119</t>
    <phoneticPr fontId="1"/>
  </si>
  <si>
    <t>52642</t>
    <phoneticPr fontId="1"/>
  </si>
  <si>
    <t>53838</t>
    <phoneticPr fontId="1"/>
  </si>
  <si>
    <t>V1.01</t>
    <phoneticPr fontId="1"/>
  </si>
  <si>
    <t>V1.02</t>
    <phoneticPr fontId="1"/>
  </si>
  <si>
    <t>V1.03</t>
    <phoneticPr fontId="1"/>
  </si>
  <si>
    <t>新規:量産</t>
    <rPh sb="0" eb="2">
      <t>シンキ</t>
    </rPh>
    <rPh sb="3" eb="5">
      <t>リョウサン</t>
    </rPh>
    <phoneticPr fontId="1"/>
  </si>
  <si>
    <t>仕様:AUX1or2操作で自動圧抜き中断
仕様:オートグリスエンプティ警告をNCからNoに変更</t>
    <rPh sb="0" eb="2">
      <t>シヨウ</t>
    </rPh>
    <rPh sb="10" eb="12">
      <t>ソウサ</t>
    </rPh>
    <rPh sb="13" eb="15">
      <t>ジドウ</t>
    </rPh>
    <rPh sb="15" eb="17">
      <t>アツヌ</t>
    </rPh>
    <rPh sb="18" eb="20">
      <t>チュウダン</t>
    </rPh>
    <rPh sb="21" eb="23">
      <t>シヨウ</t>
    </rPh>
    <rPh sb="35" eb="37">
      <t>ケイコク</t>
    </rPh>
    <rPh sb="45" eb="47">
      <t>ヘンコウ</t>
    </rPh>
    <phoneticPr fontId="1"/>
  </si>
  <si>
    <t>仕様:バックカメラ無し仕様追加</t>
    <rPh sb="0" eb="2">
      <t>シヨウ</t>
    </rPh>
    <rPh sb="9" eb="10">
      <t>ナシ</t>
    </rPh>
    <rPh sb="11" eb="13">
      <t>シヨウ</t>
    </rPh>
    <rPh sb="13" eb="15">
      <t>ツイカ</t>
    </rPh>
    <phoneticPr fontId="1"/>
  </si>
  <si>
    <t>仕様:2/4同時操作仕様追加</t>
    <rPh sb="0" eb="2">
      <t>シヨウ</t>
    </rPh>
    <rPh sb="6" eb="10">
      <t>ドウジソウサ</t>
    </rPh>
    <rPh sb="10" eb="12">
      <t>シヨウ</t>
    </rPh>
    <rPh sb="12" eb="14">
      <t>ツイカ</t>
    </rPh>
    <phoneticPr fontId="1"/>
  </si>
  <si>
    <t>新規:試作出図</t>
    <phoneticPr fontId="1"/>
  </si>
  <si>
    <t>新規:量産出図</t>
    <phoneticPr fontId="1"/>
  </si>
  <si>
    <t>仕様:オートグリスのエンプティ警告の仕様変更</t>
    <phoneticPr fontId="1"/>
  </si>
  <si>
    <t>仕様:AUX3ハードロック仕様変更</t>
    <phoneticPr fontId="1"/>
  </si>
  <si>
    <t>不具合:スライドスイッチ中立異常エラー不具合対策</t>
    <phoneticPr fontId="1"/>
  </si>
  <si>
    <t>仕様:TFM対応</t>
    <phoneticPr fontId="1"/>
  </si>
  <si>
    <t>仕様:エンジン回転数一定モード(ALES)を追加</t>
    <phoneticPr fontId="1"/>
  </si>
  <si>
    <t>仕様:バックカメラなし仕様追加</t>
    <phoneticPr fontId="1"/>
  </si>
  <si>
    <t>仕様:KOSO製クラスタ対応</t>
    <phoneticPr fontId="1"/>
  </si>
  <si>
    <t>仕様:グリップボタンにミュート機能割り当て
不具合:DABアンテナ電源がONにならない不具合対策</t>
    <phoneticPr fontId="1"/>
  </si>
  <si>
    <t>A14IW</t>
    <phoneticPr fontId="1"/>
  </si>
  <si>
    <t>05601-00321</t>
  </si>
  <si>
    <t>05601-00321</t>
    <phoneticPr fontId="1"/>
  </si>
  <si>
    <t>新規:ライセンス版</t>
    <rPh sb="0" eb="2">
      <t>シンキ</t>
    </rPh>
    <rPh sb="8" eb="9">
      <t>バン</t>
    </rPh>
    <phoneticPr fontId="1"/>
  </si>
  <si>
    <t>05601-00323</t>
  </si>
  <si>
    <t>05601-00323</t>
    <phoneticPr fontId="1"/>
  </si>
  <si>
    <t>05701-00142</t>
  </si>
  <si>
    <t>05701-00142</t>
    <phoneticPr fontId="1"/>
  </si>
  <si>
    <t>63847</t>
    <phoneticPr fontId="1"/>
  </si>
  <si>
    <t>V1.00L</t>
    <phoneticPr fontId="1"/>
  </si>
  <si>
    <t>新規:</t>
    <rPh sb="0" eb="2">
      <t>シンキ</t>
    </rPh>
    <phoneticPr fontId="1"/>
  </si>
  <si>
    <t>-</t>
    <phoneticPr fontId="1"/>
  </si>
  <si>
    <t>新規:EN474対応</t>
    <phoneticPr fontId="1"/>
  </si>
  <si>
    <t>不具合:ディスプレイCAN通信異常誤発報対策</t>
    <phoneticPr fontId="1"/>
  </si>
  <si>
    <t>仕様:バックカメラ無し仕様追加</t>
    <phoneticPr fontId="1"/>
  </si>
  <si>
    <t>新規:量産</t>
    <phoneticPr fontId="1"/>
  </si>
  <si>
    <t>仕様:AUX1or2操作で自動圧抜き中断
仕様:オートグリスエンプティ警告をNCからNoに変更</t>
    <phoneticPr fontId="1"/>
  </si>
  <si>
    <t>仕様:2/4同時操作仕様追加</t>
    <phoneticPr fontId="1"/>
  </si>
  <si>
    <t>17301-43442</t>
  </si>
  <si>
    <t>17301-43442</t>
    <phoneticPr fontId="1"/>
  </si>
  <si>
    <t>17301-43443</t>
  </si>
  <si>
    <t>17301-43443</t>
    <phoneticPr fontId="1"/>
  </si>
  <si>
    <t>M7MG</t>
    <phoneticPr fontId="1"/>
  </si>
  <si>
    <t>250kbps</t>
    <phoneticPr fontId="1"/>
  </si>
  <si>
    <t>500kbps</t>
    <phoneticPr fontId="1"/>
  </si>
  <si>
    <t>56329</t>
    <phoneticPr fontId="1"/>
  </si>
  <si>
    <t>61764</t>
    <phoneticPr fontId="1"/>
  </si>
  <si>
    <t>63896</t>
    <phoneticPr fontId="1"/>
  </si>
  <si>
    <t>新規:デバイスの内部部品変更</t>
    <rPh sb="0" eb="2">
      <t>シンキ</t>
    </rPh>
    <rPh sb="8" eb="10">
      <t>ナイブ</t>
    </rPh>
    <rPh sb="10" eb="12">
      <t>ブヒン</t>
    </rPh>
    <rPh sb="12" eb="14">
      <t>ヘンコウ</t>
    </rPh>
    <phoneticPr fontId="1"/>
  </si>
  <si>
    <t>112458-m7-takeuchi-aio-r14</t>
    <phoneticPr fontId="1"/>
  </si>
  <si>
    <t>112459-m7-takeuchi-aio-500-r21</t>
    <phoneticPr fontId="1"/>
  </si>
  <si>
    <t>仕様:ファームウェアアップデート
・エラーコード追加(J7B,J10B)
・データポイント追加(d37適用:A13AW,A14IW,C9-4,E3F)</t>
    <rPh sb="0" eb="2">
      <t>シヨウ</t>
    </rPh>
    <rPh sb="24" eb="26">
      <t>ツイカ</t>
    </rPh>
    <rPh sb="45" eb="47">
      <t>ツイカ</t>
    </rPh>
    <rPh sb="51" eb="53">
      <t>テキヨウ</t>
    </rPh>
    <phoneticPr fontId="1"/>
  </si>
  <si>
    <t xml:space="preserve">112458-m7-takeuchi-aio-r18 </t>
  </si>
  <si>
    <t xml:space="preserve">112458-m7-takeuchi-aio-r18 </t>
    <phoneticPr fontId="1"/>
  </si>
  <si>
    <t>112459-m7-takeuchi-aio-500-r24</t>
  </si>
  <si>
    <t>112459-m7-takeuchi-aio-500-r24</t>
    <phoneticPr fontId="1"/>
  </si>
  <si>
    <t>17301-43431</t>
    <phoneticPr fontId="1"/>
  </si>
  <si>
    <t>17301-43432</t>
    <phoneticPr fontId="1"/>
  </si>
  <si>
    <t>17301-43436</t>
    <phoneticPr fontId="1"/>
  </si>
  <si>
    <t>17301-43435</t>
    <phoneticPr fontId="1"/>
  </si>
  <si>
    <t>仕様:リモートコマンドr15対応</t>
    <rPh sb="0" eb="2">
      <t>シヨウ</t>
    </rPh>
    <rPh sb="14" eb="16">
      <t>タイオウ</t>
    </rPh>
    <phoneticPr fontId="1"/>
  </si>
  <si>
    <t>A14GW/HW</t>
    <phoneticPr fontId="1"/>
  </si>
  <si>
    <t>49844</t>
    <phoneticPr fontId="1"/>
  </si>
  <si>
    <t>63991</t>
    <phoneticPr fontId="1"/>
  </si>
  <si>
    <t>05642-00683</t>
    <phoneticPr fontId="1"/>
  </si>
  <si>
    <t>05642-00924</t>
    <phoneticPr fontId="1"/>
  </si>
  <si>
    <t>05642-00998</t>
    <phoneticPr fontId="1"/>
  </si>
  <si>
    <t>05642-00999</t>
    <phoneticPr fontId="1"/>
  </si>
  <si>
    <t>05642-01054</t>
    <phoneticPr fontId="1"/>
  </si>
  <si>
    <t>05642-01061</t>
    <phoneticPr fontId="1"/>
  </si>
  <si>
    <t>V1.11</t>
    <phoneticPr fontId="1"/>
  </si>
  <si>
    <t>V2.04</t>
    <phoneticPr fontId="1"/>
  </si>
  <si>
    <t>V3.01</t>
    <phoneticPr fontId="1"/>
  </si>
  <si>
    <t>仕様:OSファイル更新(V2.00→V2.40)
不具合:下り坂走行時のエンジン過回転防止
不具合:キーON時にDABラジオモードになる不具合改善</t>
    <rPh sb="0" eb="2">
      <t>シヨウ</t>
    </rPh>
    <rPh sb="9" eb="11">
      <t>コウシン</t>
    </rPh>
    <rPh sb="25" eb="28">
      <t>フグアイ</t>
    </rPh>
    <rPh sb="29" eb="30">
      <t>クダ</t>
    </rPh>
    <rPh sb="31" eb="32">
      <t>サカ</t>
    </rPh>
    <rPh sb="32" eb="35">
      <t>ソウコウジ</t>
    </rPh>
    <rPh sb="40" eb="43">
      <t>カカイテン</t>
    </rPh>
    <rPh sb="43" eb="45">
      <t>ボウシ</t>
    </rPh>
    <rPh sb="46" eb="49">
      <t>フグアイ</t>
    </rPh>
    <rPh sb="54" eb="55">
      <t>ジ</t>
    </rPh>
    <rPh sb="68" eb="71">
      <t>フグアイ</t>
    </rPh>
    <rPh sb="71" eb="73">
      <t>カイゼン</t>
    </rPh>
    <phoneticPr fontId="1"/>
  </si>
  <si>
    <t>63176</t>
    <phoneticPr fontId="1"/>
  </si>
  <si>
    <t>63514</t>
    <phoneticPr fontId="1"/>
  </si>
  <si>
    <t>05601-00283</t>
    <phoneticPr fontId="1"/>
  </si>
  <si>
    <t>05542-00651</t>
    <phoneticPr fontId="1"/>
  </si>
  <si>
    <t>05642-00684</t>
    <phoneticPr fontId="1"/>
  </si>
  <si>
    <t>Pri_V1.02</t>
    <phoneticPr fontId="1"/>
  </si>
  <si>
    <t>V3.00</t>
    <phoneticPr fontId="1"/>
  </si>
  <si>
    <t>コントローラ</t>
  </si>
  <si>
    <t>メインコントローラ</t>
  </si>
  <si>
    <t>05642-00283</t>
    <phoneticPr fontId="1"/>
  </si>
  <si>
    <t>05542-00425</t>
    <phoneticPr fontId="1"/>
  </si>
  <si>
    <t>64201</t>
    <phoneticPr fontId="1"/>
  </si>
  <si>
    <t>V5.04</t>
    <phoneticPr fontId="1"/>
  </si>
  <si>
    <t>05501-00022</t>
    <phoneticPr fontId="1"/>
  </si>
  <si>
    <t>05501-00087</t>
    <phoneticPr fontId="1"/>
  </si>
  <si>
    <t>41940</t>
    <phoneticPr fontId="1"/>
  </si>
  <si>
    <t>42327</t>
    <phoneticPr fontId="1"/>
  </si>
  <si>
    <t>42850</t>
    <phoneticPr fontId="1"/>
  </si>
  <si>
    <t>43448</t>
    <phoneticPr fontId="1"/>
  </si>
  <si>
    <t>44135</t>
    <phoneticPr fontId="1"/>
  </si>
  <si>
    <t>46629</t>
    <phoneticPr fontId="1"/>
  </si>
  <si>
    <t>46958</t>
    <phoneticPr fontId="1"/>
  </si>
  <si>
    <t>51679</t>
    <phoneticPr fontId="1"/>
  </si>
  <si>
    <t>53811</t>
    <phoneticPr fontId="1"/>
  </si>
  <si>
    <t>62508</t>
    <phoneticPr fontId="1"/>
  </si>
  <si>
    <t>54719</t>
    <phoneticPr fontId="1"/>
  </si>
  <si>
    <t>55935</t>
    <phoneticPr fontId="1"/>
  </si>
  <si>
    <t>60410</t>
    <phoneticPr fontId="1"/>
  </si>
  <si>
    <t>62019</t>
    <phoneticPr fontId="1"/>
  </si>
  <si>
    <t>V1.01L</t>
    <phoneticPr fontId="1"/>
  </si>
  <si>
    <t>V1.03L</t>
    <phoneticPr fontId="1"/>
  </si>
  <si>
    <t>V1.02L</t>
    <phoneticPr fontId="1"/>
  </si>
  <si>
    <t>V1.04L</t>
    <phoneticPr fontId="1"/>
  </si>
  <si>
    <t>V1.05L</t>
    <phoneticPr fontId="1"/>
  </si>
  <si>
    <t>V1.03F</t>
    <phoneticPr fontId="1"/>
  </si>
  <si>
    <t>V1.01</t>
    <phoneticPr fontId="1"/>
  </si>
  <si>
    <t>V1.02</t>
    <phoneticPr fontId="1"/>
  </si>
  <si>
    <t>V1.12F</t>
    <phoneticPr fontId="1"/>
  </si>
  <si>
    <t>V1.11F</t>
    <phoneticPr fontId="1"/>
  </si>
  <si>
    <t>V1.09F</t>
    <phoneticPr fontId="1"/>
  </si>
  <si>
    <t>V1.06F</t>
    <phoneticPr fontId="1"/>
  </si>
  <si>
    <t>V1.05F</t>
    <phoneticPr fontId="1"/>
  </si>
  <si>
    <t>V1.00</t>
    <phoneticPr fontId="1"/>
  </si>
  <si>
    <t>不具合:AUX2/4オプションのON/OFF切替が出来ない</t>
    <rPh sb="0" eb="3">
      <t>フグアイ</t>
    </rPh>
    <rPh sb="22" eb="24">
      <t>キリカエ</t>
    </rPh>
    <rPh sb="25" eb="27">
      <t>デキ</t>
    </rPh>
    <phoneticPr fontId="1"/>
  </si>
  <si>
    <t>05542-00549</t>
    <phoneticPr fontId="1"/>
  </si>
  <si>
    <t>64239</t>
    <phoneticPr fontId="1"/>
  </si>
  <si>
    <t>05542-00559</t>
    <phoneticPr fontId="1"/>
  </si>
  <si>
    <t>05542-00639</t>
    <phoneticPr fontId="1"/>
  </si>
  <si>
    <t>05542-00651</t>
    <phoneticPr fontId="1"/>
  </si>
  <si>
    <t>05542-00189</t>
    <phoneticPr fontId="1"/>
  </si>
  <si>
    <t>05542-00198</t>
    <phoneticPr fontId="1"/>
  </si>
  <si>
    <t>V2.06</t>
    <phoneticPr fontId="1"/>
  </si>
  <si>
    <t>V1.06</t>
    <phoneticPr fontId="1"/>
  </si>
  <si>
    <t>仕様:拡張出力機能追加
仕様:HWDファイル更新(V2.00→V2.40)
不具合:キーON時ラジオモードがDABになる不具合修正</t>
    <rPh sb="0" eb="2">
      <t>シヨウ</t>
    </rPh>
    <rPh sb="3" eb="5">
      <t>カクチョウ</t>
    </rPh>
    <rPh sb="5" eb="7">
      <t>シュツリョク</t>
    </rPh>
    <rPh sb="7" eb="9">
      <t>キノウ</t>
    </rPh>
    <rPh sb="9" eb="11">
      <t>ツイカ</t>
    </rPh>
    <rPh sb="12" eb="14">
      <t>シヨウ</t>
    </rPh>
    <rPh sb="22" eb="24">
      <t>コウシン</t>
    </rPh>
    <rPh sb="38" eb="41">
      <t>フグアイ</t>
    </rPh>
    <rPh sb="46" eb="47">
      <t>ジ</t>
    </rPh>
    <rPh sb="60" eb="63">
      <t>フグアイ</t>
    </rPh>
    <rPh sb="63" eb="65">
      <t>シュウセイ</t>
    </rPh>
    <phoneticPr fontId="1"/>
  </si>
  <si>
    <t>05501-00045</t>
    <phoneticPr fontId="1"/>
  </si>
  <si>
    <t>05501-00060</t>
    <phoneticPr fontId="1"/>
  </si>
  <si>
    <t>17301-43842</t>
    <phoneticPr fontId="1"/>
  </si>
  <si>
    <t>17301-43840</t>
    <phoneticPr fontId="1"/>
  </si>
  <si>
    <t>P217</t>
    <phoneticPr fontId="1"/>
  </si>
  <si>
    <t>P143</t>
    <phoneticPr fontId="1"/>
  </si>
  <si>
    <t>仕様:A13AW拡張出力機能追加
仕様:シートベルトアイコン追加</t>
    <rPh sb="0" eb="2">
      <t>シヨウ</t>
    </rPh>
    <rPh sb="8" eb="10">
      <t>カクチョウ</t>
    </rPh>
    <rPh sb="10" eb="12">
      <t>シュツリョク</t>
    </rPh>
    <rPh sb="12" eb="14">
      <t>キノウ</t>
    </rPh>
    <rPh sb="14" eb="16">
      <t>ツイカ</t>
    </rPh>
    <rPh sb="17" eb="19">
      <t>シヨウ</t>
    </rPh>
    <rPh sb="30" eb="32">
      <t>ツイカ</t>
    </rPh>
    <phoneticPr fontId="1"/>
  </si>
  <si>
    <t>仕様:拡張出力機能追加</t>
    <rPh sb="0" eb="2">
      <t>シヨウ</t>
    </rPh>
    <rPh sb="3" eb="5">
      <t>カクチョウ</t>
    </rPh>
    <rPh sb="5" eb="7">
      <t>シュツリョク</t>
    </rPh>
    <rPh sb="7" eb="9">
      <t>キノウ</t>
    </rPh>
    <rPh sb="9" eb="11">
      <t>ツイカ</t>
    </rPh>
    <phoneticPr fontId="1"/>
  </si>
  <si>
    <t>サービスツール</t>
  </si>
  <si>
    <t>05742-00792</t>
    <phoneticPr fontId="1"/>
  </si>
  <si>
    <t>05742-00792</t>
    <phoneticPr fontId="1"/>
  </si>
  <si>
    <t>フッペン要望、EN474対応後のローアイドル下げプログラム(R016162)</t>
    <rPh sb="4" eb="6">
      <t>ヨウボウ</t>
    </rPh>
    <rPh sb="12" eb="14">
      <t>タイオウ</t>
    </rPh>
    <rPh sb="14" eb="15">
      <t>ゴ</t>
    </rPh>
    <rPh sb="22" eb="23">
      <t>サ</t>
    </rPh>
    <phoneticPr fontId="1"/>
  </si>
  <si>
    <t>64300</t>
    <phoneticPr fontId="1"/>
  </si>
  <si>
    <t>05701-00058</t>
    <phoneticPr fontId="1"/>
  </si>
  <si>
    <t>05701-00142</t>
    <phoneticPr fontId="1"/>
  </si>
  <si>
    <t>V1.01L</t>
    <phoneticPr fontId="1"/>
  </si>
  <si>
    <t>V1.14F</t>
    <phoneticPr fontId="1"/>
  </si>
  <si>
    <t>V10.00</t>
    <phoneticPr fontId="1"/>
  </si>
  <si>
    <t>新規:フッペン仕様(EN474対応版、ローアイドル1000rpm)</t>
    <rPh sb="0" eb="2">
      <t>シンキ</t>
    </rPh>
    <rPh sb="7" eb="9">
      <t>シヨウ</t>
    </rPh>
    <rPh sb="15" eb="17">
      <t>タイオウ</t>
    </rPh>
    <rPh sb="17" eb="18">
      <t>バン</t>
    </rPh>
    <phoneticPr fontId="1"/>
  </si>
  <si>
    <t>仕様:試作プロブラムバージョン表示対応</t>
    <rPh sb="0" eb="2">
      <t>シヨウ</t>
    </rPh>
    <rPh sb="3" eb="5">
      <t>シサク</t>
    </rPh>
    <rPh sb="15" eb="17">
      <t>ヒョウジ</t>
    </rPh>
    <rPh sb="17" eb="19">
      <t>タイオウ</t>
    </rPh>
    <phoneticPr fontId="1"/>
  </si>
  <si>
    <t>A5F.A7G.A12B</t>
    <phoneticPr fontId="1"/>
  </si>
  <si>
    <t>A5F.A7G.A12B.A6E.A9F</t>
    <phoneticPr fontId="1"/>
  </si>
  <si>
    <t>64341</t>
    <phoneticPr fontId="1"/>
  </si>
  <si>
    <t>05642-00484</t>
    <phoneticPr fontId="1"/>
  </si>
  <si>
    <t>05642-00576</t>
    <phoneticPr fontId="1"/>
  </si>
  <si>
    <t>05642-00570</t>
    <phoneticPr fontId="1"/>
  </si>
  <si>
    <t>05642-00457</t>
    <phoneticPr fontId="1"/>
  </si>
  <si>
    <t>05642-00373</t>
    <phoneticPr fontId="1"/>
  </si>
  <si>
    <t>05642-00108</t>
    <phoneticPr fontId="1"/>
  </si>
  <si>
    <t>V3.11</t>
    <phoneticPr fontId="1"/>
  </si>
  <si>
    <t>V2.92</t>
    <phoneticPr fontId="1"/>
  </si>
  <si>
    <t>V2.83</t>
    <phoneticPr fontId="1"/>
  </si>
  <si>
    <t>V1.82</t>
    <phoneticPr fontId="1"/>
  </si>
  <si>
    <t>V2.13</t>
    <phoneticPr fontId="1"/>
  </si>
  <si>
    <t>不具合:AUX1_Way,AUX2,AUX4の設定流量がクラスタに表示されない不具合修正</t>
    <rPh sb="0" eb="3">
      <t>フグアイ</t>
    </rPh>
    <rPh sb="23" eb="25">
      <t>セッテイ</t>
    </rPh>
    <rPh sb="25" eb="27">
      <t>リュウリョウ</t>
    </rPh>
    <rPh sb="33" eb="35">
      <t>ヒョウジ</t>
    </rPh>
    <rPh sb="39" eb="42">
      <t>フグアイ</t>
    </rPh>
    <rPh sb="42" eb="44">
      <t>シュウセイ</t>
    </rPh>
    <phoneticPr fontId="1"/>
  </si>
  <si>
    <t>05601-00139</t>
    <phoneticPr fontId="1"/>
  </si>
  <si>
    <t>05601-00282</t>
    <phoneticPr fontId="1"/>
  </si>
  <si>
    <t>V1.06F</t>
    <phoneticPr fontId="1"/>
  </si>
  <si>
    <t>V1.05L</t>
    <phoneticPr fontId="1"/>
  </si>
  <si>
    <t>仕様:試作のコントローラプログラムバーションを表示できるように変更</t>
    <rPh sb="0" eb="2">
      <t>シヨウ</t>
    </rPh>
    <rPh sb="3" eb="5">
      <t>シサク</t>
    </rPh>
    <rPh sb="23" eb="25">
      <t>ヒョウジ</t>
    </rPh>
    <rPh sb="31" eb="33">
      <t>ヘンコウ</t>
    </rPh>
    <phoneticPr fontId="1"/>
  </si>
  <si>
    <t>A25F/G、A27A/B</t>
    <phoneticPr fontId="1"/>
  </si>
  <si>
    <t>コントローラ</t>
    <phoneticPr fontId="1"/>
  </si>
  <si>
    <t>メインコントローラ</t>
    <phoneticPr fontId="1"/>
  </si>
  <si>
    <t>A25FG/A27AB</t>
    <phoneticPr fontId="1"/>
  </si>
  <si>
    <t>サービスツール</t>
    <phoneticPr fontId="1"/>
  </si>
  <si>
    <t>A4E.A4F</t>
    <phoneticPr fontId="1"/>
  </si>
  <si>
    <t>J4B.A4F.A4E</t>
    <phoneticPr fontId="1"/>
  </si>
  <si>
    <t>A5F.A7F</t>
    <phoneticPr fontId="1"/>
  </si>
  <si>
    <t>A6E.A7F.A5F.A7G.A12B</t>
    <phoneticPr fontId="1"/>
  </si>
  <si>
    <t>A7F.A5F.A7G</t>
    <phoneticPr fontId="1"/>
  </si>
  <si>
    <t>A7F.A5F.A7G.A12B</t>
    <phoneticPr fontId="1"/>
  </si>
  <si>
    <t>A7F.A5F.A7G	.A12B</t>
    <phoneticPr fontId="1"/>
  </si>
  <si>
    <t>A6E.A9F</t>
    <phoneticPr fontId="1"/>
  </si>
  <si>
    <t>A9F.A6E</t>
    <phoneticPr fontId="1"/>
  </si>
  <si>
    <t>J7B.J10B</t>
    <phoneticPr fontId="1"/>
  </si>
  <si>
    <t>J10B.J7B</t>
    <phoneticPr fontId="1"/>
  </si>
  <si>
    <t>A12A.A12B</t>
    <phoneticPr fontId="1"/>
  </si>
  <si>
    <t>A12A.A12B.A7G</t>
    <phoneticPr fontId="1"/>
  </si>
  <si>
    <t>A7G.A12B</t>
    <phoneticPr fontId="1"/>
  </si>
  <si>
    <t>A12B.A7G</t>
    <phoneticPr fontId="1"/>
  </si>
  <si>
    <t>A12B.A12A</t>
    <phoneticPr fontId="1"/>
  </si>
  <si>
    <t>A14H.A14I</t>
    <phoneticPr fontId="1"/>
  </si>
  <si>
    <t>A14I.A14H</t>
    <phoneticPr fontId="1"/>
  </si>
  <si>
    <t>A14GW.A14HW</t>
    <phoneticPr fontId="1"/>
  </si>
  <si>
    <t>A14HW.A14GW</t>
    <phoneticPr fontId="1"/>
  </si>
  <si>
    <t>A14D-2.A14D-3</t>
    <phoneticPr fontId="1"/>
  </si>
  <si>
    <t>A9D.A25D.A11D-2.A11D.A14D-1</t>
    <phoneticPr fontId="1"/>
  </si>
  <si>
    <t xml:space="preserve">A14HW.A14GW	</t>
    <phoneticPr fontId="1"/>
  </si>
  <si>
    <t>A13AW.A14IW</t>
    <phoneticPr fontId="1"/>
  </si>
  <si>
    <t>A14IW.A13AW</t>
    <phoneticPr fontId="1"/>
  </si>
  <si>
    <t>A11D.A14D-1.A25D.A9D</t>
    <phoneticPr fontId="1"/>
  </si>
  <si>
    <t>A25E.A25EW</t>
    <phoneticPr fontId="1"/>
  </si>
  <si>
    <t>A25F.A27B.A25G</t>
    <phoneticPr fontId="1"/>
  </si>
  <si>
    <t>A25F.A25G.A27B</t>
    <phoneticPr fontId="1"/>
  </si>
  <si>
    <t>A25F.A27B.A25G.A27A</t>
    <phoneticPr fontId="1"/>
  </si>
  <si>
    <t>A25F.A25G.A27A.A27B</t>
    <phoneticPr fontId="1"/>
  </si>
  <si>
    <t>A25F.A25G.A27A	.A27B</t>
    <phoneticPr fontId="1"/>
  </si>
  <si>
    <t>A25F.A25G	.A27A.A27B</t>
    <phoneticPr fontId="1"/>
  </si>
  <si>
    <t>A25G.A27B.A25F.A27A</t>
    <phoneticPr fontId="1"/>
  </si>
  <si>
    <t>L5E.L5E2</t>
    <phoneticPr fontId="1"/>
  </si>
  <si>
    <t>L6E.L6E2</t>
    <phoneticPr fontId="1"/>
  </si>
  <si>
    <t>L8EV2.L8EV</t>
    <phoneticPr fontId="1"/>
  </si>
  <si>
    <t>L8EV.L8EV2</t>
    <phoneticPr fontId="1"/>
  </si>
  <si>
    <t>L8EV.L9ER.L9EV</t>
    <phoneticPr fontId="1"/>
  </si>
  <si>
    <t>L9EV.L8EV.L9ER</t>
    <phoneticPr fontId="1"/>
  </si>
  <si>
    <t>L8EV.L9EV.L9ER</t>
    <phoneticPr fontId="1"/>
  </si>
  <si>
    <t>L8EV.L8EV2.L9ER.L9EV.L9ER2.L9EV2</t>
    <phoneticPr fontId="1"/>
  </si>
  <si>
    <t>L9ER.L9EV</t>
    <phoneticPr fontId="1"/>
  </si>
  <si>
    <t>L8EV2.L8EV.L9ER.L9EV.L9ER2.L9EV2</t>
    <phoneticPr fontId="1"/>
  </si>
  <si>
    <t>L8EV2.L8EV.L9ER.L9ER2.L9EV.L9EV2</t>
    <phoneticPr fontId="1"/>
  </si>
  <si>
    <t>L9ER.L9ER2.L9EV.L9EV2</t>
    <phoneticPr fontId="1"/>
  </si>
  <si>
    <t>L8C.L9C</t>
    <phoneticPr fontId="1"/>
  </si>
  <si>
    <t>L6E.L8C</t>
    <phoneticPr fontId="1"/>
  </si>
  <si>
    <t>L6E.L8C.L9C</t>
    <phoneticPr fontId="1"/>
  </si>
  <si>
    <t>C10-3.C9-3</t>
    <phoneticPr fontId="1"/>
  </si>
  <si>
    <t>C9-3.C10-3</t>
    <phoneticPr fontId="1"/>
  </si>
  <si>
    <t>C9-4.C10-4</t>
    <phoneticPr fontId="1"/>
  </si>
  <si>
    <t xml:space="preserve">C9-4.C10-4	</t>
    <phoneticPr fontId="1"/>
  </si>
  <si>
    <t>C10-4.C9-4</t>
    <phoneticPr fontId="1"/>
  </si>
  <si>
    <t>C10-5.C9-4</t>
    <phoneticPr fontId="1"/>
  </si>
  <si>
    <t>A13A.A13AW.A14IW</t>
    <phoneticPr fontId="1"/>
  </si>
  <si>
    <t>A13A.A13AW.A14IW.J10B.J7B</t>
    <phoneticPr fontId="1"/>
  </si>
  <si>
    <t>A25H.A27C</t>
    <phoneticPr fontId="1"/>
  </si>
  <si>
    <t>A25H.A27C.E7F.J10B.J7B.L85G.A13A.A13AW.A14IW</t>
    <phoneticPr fontId="1"/>
  </si>
  <si>
    <t>A12A.A12B.A14I.A5F.A7F.A7G.F14F.L9EV</t>
    <phoneticPr fontId="1"/>
  </si>
  <si>
    <t>A5F.A7G.A7F.A12A.A12B.F14F.A14FW.C9-3.L9EV.A14I</t>
    <phoneticPr fontId="1"/>
  </si>
  <si>
    <t>A14H.A14FW.C9-3.A14I.A25E</t>
    <phoneticPr fontId="1"/>
  </si>
  <si>
    <t>A14H.A12A.A14FW.C9-3.A25E.</t>
    <phoneticPr fontId="1"/>
  </si>
  <si>
    <t>A5F.A6E.A7G.A7F.A12A.A12B.F14F.A14FW.L9ER.L9EV.L8EV.A14I</t>
    <phoneticPr fontId="1"/>
  </si>
  <si>
    <t>L5E.A5F.A6E.A7G.A7F.A12A.A12B.F14F.A14FW.L9ER.L9EV.L8EV.A14I</t>
    <phoneticPr fontId="1"/>
  </si>
  <si>
    <t>L5E.A5F.A6E.A7G.A7F.A12A.A12B.F14F.A9F.A14FW.L9ER.L9EV.L8EV.A14I</t>
    <phoneticPr fontId="1"/>
  </si>
  <si>
    <t>A14H.A12B.A12A.A14FW.L9ER.L9EV.L5E.L8EV.L8EV2.A14I</t>
    <phoneticPr fontId="1"/>
  </si>
  <si>
    <t>A14H.A14I.L5E.A12B.A12A.A14FW.L6F.L9ER.L9EV.L8EV2.L8EV.L9EV2</t>
    <phoneticPr fontId="1"/>
  </si>
  <si>
    <t>A14I.L5E.A5F.A6E.A7G.A7F.A9F.F10E.A12A.A12B.F14F.A14FW.L9ER.L9EV.L8EV</t>
    <phoneticPr fontId="1"/>
  </si>
  <si>
    <t>A14I.L5E.A5F.A6E.A7G.A9F.F10E.A12A.A12B.F14F.A14FW.L9ER.L9EV.L8EV</t>
    <phoneticPr fontId="1"/>
  </si>
  <si>
    <t>A14I.A14H.A14J.L5E.L5E2.A12B.A12A.A14FW.L6F.L9ER.L9EV.L8EV.L8EV2.L9EV2.L9ER2</t>
    <phoneticPr fontId="1"/>
  </si>
  <si>
    <t>A14I.A14H.A14J.L5E.L5E2.A12B.A12A.A14FW.L6F.L9ER.L9EV.L8EV2.L8EV.L9EV2.L9ER2</t>
    <phoneticPr fontId="1"/>
  </si>
  <si>
    <t>A14I.A14H.A14J.L5E.L5E2.A12B.A12A.A14FW.L6F.L9ER.L9EV.L8EV2.L8EV.L9ER2</t>
    <phoneticPr fontId="1"/>
  </si>
  <si>
    <t>A14I.A14H.A14J.A12B.A12A.A14FW</t>
    <phoneticPr fontId="1"/>
  </si>
  <si>
    <t>L5E.L5E2.L6F.L9ER.L9EV.L8EV2.L8EV.L9EV2.L9ER2</t>
    <phoneticPr fontId="1"/>
  </si>
  <si>
    <t>L5E.L5E2.L6F.L8EV.L8EV2.L9ER.L9ER2.L9EV.L9EV2</t>
    <phoneticPr fontId="1"/>
  </si>
  <si>
    <t>C10-5.C9-5</t>
    <phoneticPr fontId="1"/>
  </si>
  <si>
    <t>A14HW.A25F.A25G.A27A.A27B</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</si>
</sst>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24" formatCode="\$#,##0_);[Red]\(\$#,##0\)"/>
    <numFmt numFmtId="176" formatCode="0.00_ "/>
    <numFmt numFmtId="177" formatCode="0_ "/>
    <numFmt numFmtId="178" formatCode="0_);[Red]\(0\)"/>
  </numFmts>
  <fonts count="36">
    <font>
      <sz val="11"/>
      <name val="ＭＳ Ｐゴシック"/>
      <family val="3"/>
      <charset val="128"/>
    </font>
    <font>
      <sz val="6"/>
      <name val="ＭＳ Ｐゴシック"/>
      <family val="3"/>
      <charset val="128"/>
    </font>
    <font>
      <sz val="14"/>
      <name val="ＭＳ Ｐゴシック"/>
      <family val="3"/>
      <charset val="128"/>
    </font>
    <font>
      <sz val="14"/>
      <name val="Arial"/>
      <family val="2"/>
    </font>
    <font>
      <b/>
      <sz val="9"/>
      <color indexed="81"/>
      <name val="ＭＳ Ｐゴシック"/>
      <family val="3"/>
      <charset val="128"/>
    </font>
    <font>
      <sz val="9"/>
      <color indexed="81"/>
      <name val="ＭＳ Ｐゴシック"/>
      <family val="3"/>
      <charset val="128"/>
    </font>
    <font>
      <strike/>
      <sz val="14"/>
      <name val="ＭＳ Ｐゴシック"/>
      <family val="3"/>
      <charset val="128"/>
    </font>
    <font>
      <sz val="14"/>
      <name val="Arial Unicode MS"/>
      <family val="3"/>
      <charset val="128"/>
    </font>
    <font>
      <strike/>
      <sz val="14"/>
      <name val="Arial Unicode MS"/>
      <family val="3"/>
      <charset val="128"/>
    </font>
    <font>
      <sz val="14"/>
      <name val="ＭＳ Ｐゴシック"/>
      <family val="2"/>
      <charset val="128"/>
    </font>
    <font>
      <sz val="14"/>
      <name val="Arial"/>
      <family val="3"/>
      <charset val="128"/>
    </font>
    <font>
      <sz val="14"/>
      <color rgb="FFFF0000"/>
      <name val="Arial Unicode MS"/>
      <family val="3"/>
      <charset val="128"/>
    </font>
    <font>
      <sz val="14"/>
      <color rgb="FFFF0000"/>
      <name val="Arial"/>
      <family val="2"/>
    </font>
    <font>
      <sz val="14"/>
      <name val="游ゴシック"/>
      <family val="3"/>
      <charset val="128"/>
    </font>
    <font>
      <b/>
      <sz val="14"/>
      <name val="Arial Unicode MS"/>
      <family val="3"/>
      <charset val="128"/>
    </font>
    <font>
      <sz val="13"/>
      <name val="Arial Unicode MS"/>
      <family val="3"/>
      <charset val="128"/>
    </font>
    <font>
      <sz val="12"/>
      <name val="Arial Unicode MS"/>
      <family val="3"/>
      <charset val="128"/>
    </font>
    <font>
      <sz val="14"/>
      <color rgb="FFFF0000"/>
      <name val="游ゴシック"/>
      <family val="3"/>
      <charset val="128"/>
    </font>
    <font>
      <sz val="14"/>
      <name val="Arial Unicode MS"/>
      <charset val="128"/>
    </font>
    <font>
      <sz val="14"/>
      <name val="Arial Unicode MS"/>
      <family val="2"/>
      <charset val="128"/>
    </font>
    <font>
      <sz val="14"/>
      <color theme="1"/>
      <name val="Arial"/>
      <family val="2"/>
    </font>
    <font>
      <sz val="14"/>
      <color theme="1"/>
      <name val="ＭＳ Ｐゴシック"/>
      <family val="3"/>
      <charset val="128"/>
    </font>
    <font>
      <sz val="14"/>
      <color rgb="FFFF0000"/>
      <name val="ＭＳ Ｐゴシック"/>
      <family val="2"/>
      <charset val="128"/>
    </font>
    <font>
      <sz val="14"/>
      <color rgb="FFFF0000"/>
      <name val="ＭＳ Ｐゴシック"/>
      <family val="3"/>
      <charset val="128"/>
    </font>
    <font>
      <sz val="14"/>
      <color rgb="FFFF0000"/>
      <name val="Arial"/>
      <family val="3"/>
      <charset val="128"/>
    </font>
    <font>
      <sz val="14"/>
      <color rgb="FFFF0000"/>
      <name val="Calibri"/>
      <family val="3"/>
    </font>
    <font>
      <sz val="14"/>
      <color rgb="FFFF0000"/>
      <name val="MS UI Gothic"/>
      <family val="3"/>
      <charset val="128"/>
    </font>
    <font>
      <sz val="6"/>
      <name val="ＭＳ Ｐゴシック"/>
      <family val="3"/>
      <charset val="128"/>
      <scheme val="minor"/>
    </font>
    <font>
      <sz val="11"/>
      <color rgb="FF92D050"/>
      <name val="ＭＳ ゴシック"/>
      <family val="3"/>
      <charset val="128"/>
    </font>
    <font>
      <sz val="11"/>
      <name val="ＭＳ ゴシック"/>
      <family val="3"/>
      <charset val="128"/>
    </font>
    <font>
      <sz val="9"/>
      <color rgb="FF333333"/>
      <name val="ＭＳ ゴシック"/>
      <family val="3"/>
      <charset val="128"/>
    </font>
    <font>
      <sz val="11"/>
      <color rgb="FF333333"/>
      <name val="ＭＳ ゴシック"/>
      <family val="3"/>
      <charset val="128"/>
    </font>
    <font>
      <sz val="11"/>
      <color theme="2" tint="-0.249977111117893"/>
      <name val="ＭＳ ゴシック"/>
      <family val="3"/>
      <charset val="128"/>
    </font>
    <font>
      <strike/>
      <sz val="11"/>
      <name val="ＭＳ ゴシック"/>
      <family val="3"/>
      <charset val="128"/>
    </font>
    <font>
      <sz val="9"/>
      <name val="ＭＳ ゴシック"/>
      <family val="3"/>
      <charset val="128"/>
    </font>
    <font>
      <sz val="14"/>
      <name val="ＭＳ ゴシック"/>
      <family val="3"/>
      <charset val="128"/>
    </font>
  </fonts>
  <fills count="11">
    <fill>
      <patternFill patternType="none"/>
    </fill>
    <fill>
      <patternFill patternType="gray125"/>
    </fill>
    <fill>
      <patternFill patternType="solid">
        <fgColor indexed="47"/>
        <bgColor indexed="64"/>
      </patternFill>
    </fill>
    <fill>
      <patternFill patternType="solid">
        <fgColor rgb="FFFFFF00"/>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1" tint="0.499984740745262"/>
        <bgColor indexed="64"/>
      </patternFill>
    </fill>
    <fill>
      <patternFill patternType="solid">
        <fgColor rgb="FFFF0000"/>
        <bgColor indexed="64"/>
      </patternFill>
    </fill>
    <fill>
      <patternFill patternType="solid">
        <fgColor theme="5"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rgb="FFF4F4F4"/>
      </right>
      <top/>
      <bottom style="medium">
        <color rgb="FFF4F4F4"/>
      </bottom>
      <diagonal/>
    </border>
  </borders>
  <cellStyleXfs count="1">
    <xf numFmtId="0" fontId="0" fillId="0" borderId="0">
      <alignment vertical="center"/>
    </xf>
  </cellStyleXfs>
  <cellXfs count="262">
    <xf numFmtId="0" fontId="0" fillId="0" borderId="0" xfId="0">
      <alignment vertical="center"/>
    </xf>
    <xf numFmtId="0" fontId="2" fillId="0" borderId="0" xfId="0" applyFont="1" applyAlignment="1">
      <alignment vertical="center" shrinkToFit="1"/>
    </xf>
    <xf numFmtId="0" fontId="2" fillId="0" borderId="1" xfId="0" applyFont="1" applyBorder="1" applyAlignment="1">
      <alignment vertical="center" shrinkToFit="1"/>
    </xf>
    <xf numFmtId="0" fontId="3" fillId="0" borderId="1" xfId="0" applyFont="1" applyBorder="1" applyAlignment="1">
      <alignment vertical="center" shrinkToFit="1"/>
    </xf>
    <xf numFmtId="0" fontId="3" fillId="0" borderId="0" xfId="0" applyFont="1" applyAlignment="1">
      <alignment vertical="center" shrinkToFit="1"/>
    </xf>
    <xf numFmtId="0" fontId="2" fillId="0" borderId="0" xfId="0" applyFont="1">
      <alignment vertical="center"/>
    </xf>
    <xf numFmtId="0" fontId="2" fillId="0" borderId="1" xfId="0" applyFont="1" applyBorder="1" applyAlignment="1">
      <alignment horizontal="right" vertical="center" shrinkToFit="1"/>
    </xf>
    <xf numFmtId="0" fontId="3" fillId="4" borderId="1" xfId="0" applyFont="1" applyFill="1" applyBorder="1" applyAlignment="1">
      <alignment vertical="center" shrinkToFit="1"/>
    </xf>
    <xf numFmtId="0" fontId="2" fillId="5" borderId="1" xfId="0" applyFont="1" applyFill="1" applyBorder="1" applyAlignment="1">
      <alignment vertical="center" shrinkToFit="1"/>
    </xf>
    <xf numFmtId="14" fontId="3" fillId="0" borderId="0" xfId="0" applyNumberFormat="1" applyFont="1" applyAlignment="1">
      <alignment vertical="center" shrinkToFit="1"/>
    </xf>
    <xf numFmtId="0" fontId="2" fillId="3" borderId="1" xfId="0" applyFont="1" applyFill="1" applyBorder="1" applyAlignment="1">
      <alignment vertical="center" shrinkToFit="1"/>
    </xf>
    <xf numFmtId="0" fontId="3" fillId="0" borderId="0" xfId="0" applyFont="1" applyAlignment="1">
      <alignment horizontal="right" vertical="center" shrinkToFit="1"/>
    </xf>
    <xf numFmtId="0" fontId="3" fillId="0" borderId="1" xfId="0" applyFont="1" applyBorder="1" applyAlignment="1">
      <alignment horizontal="right" vertical="center" shrinkToFit="1"/>
    </xf>
    <xf numFmtId="0" fontId="3" fillId="0" borderId="1" xfId="0" applyFont="1" applyBorder="1" applyAlignment="1">
      <alignment horizontal="center" vertical="center" shrinkToFit="1"/>
    </xf>
    <xf numFmtId="0" fontId="7" fillId="0" borderId="0" xfId="0" applyFont="1" applyAlignment="1">
      <alignment vertical="center" shrinkToFit="1"/>
    </xf>
    <xf numFmtId="0" fontId="7" fillId="0" borderId="0" xfId="0" applyFont="1">
      <alignment vertical="center"/>
    </xf>
    <xf numFmtId="14" fontId="2" fillId="0" borderId="0" xfId="0" applyNumberFormat="1" applyFont="1" applyAlignment="1">
      <alignment vertical="center" shrinkToFit="1"/>
    </xf>
    <xf numFmtId="0" fontId="3" fillId="0" borderId="0" xfId="0" applyFont="1" applyAlignment="1">
      <alignment vertical="center" wrapText="1" shrinkToFit="1"/>
    </xf>
    <xf numFmtId="0" fontId="3" fillId="7" borderId="0" xfId="0" applyFont="1" applyFill="1" applyAlignment="1">
      <alignment vertical="center" shrinkToFit="1"/>
    </xf>
    <xf numFmtId="0" fontId="7" fillId="7" borderId="0" xfId="0" applyFont="1" applyFill="1" applyAlignment="1">
      <alignment vertical="center" shrinkToFit="1"/>
    </xf>
    <xf numFmtId="0" fontId="7" fillId="0" borderId="1" xfId="0" applyFont="1" applyBorder="1" applyAlignment="1">
      <alignment horizontal="right" vertical="center" shrinkToFit="1"/>
    </xf>
    <xf numFmtId="0" fontId="7" fillId="0" borderId="3" xfId="0" applyFont="1" applyBorder="1" applyAlignment="1">
      <alignment vertical="center" shrinkToFit="1"/>
    </xf>
    <xf numFmtId="0" fontId="7" fillId="0" borderId="1" xfId="0" applyFont="1" applyBorder="1" applyAlignment="1">
      <alignment vertical="center" shrinkToFit="1"/>
    </xf>
    <xf numFmtId="176" fontId="7" fillId="0" borderId="1" xfId="0" applyNumberFormat="1" applyFont="1" applyBorder="1" applyAlignment="1">
      <alignment horizontal="right" vertical="center" shrinkToFit="1"/>
    </xf>
    <xf numFmtId="176" fontId="7" fillId="0" borderId="1" xfId="0" applyNumberFormat="1" applyFont="1" applyBorder="1">
      <alignment vertical="center"/>
    </xf>
    <xf numFmtId="0" fontId="7" fillId="0" borderId="1" xfId="0" applyFont="1" applyBorder="1">
      <alignment vertical="center"/>
    </xf>
    <xf numFmtId="0" fontId="7" fillId="0" borderId="1" xfId="0" applyFont="1" applyBorder="1" applyAlignment="1">
      <alignment vertical="center" wrapText="1" shrinkToFit="1"/>
    </xf>
    <xf numFmtId="0" fontId="7" fillId="0" borderId="1" xfId="0" quotePrefix="1" applyFont="1" applyBorder="1">
      <alignment vertical="center"/>
    </xf>
    <xf numFmtId="0" fontId="7" fillId="7" borderId="1" xfId="0" applyFont="1" applyFill="1" applyBorder="1" applyAlignment="1">
      <alignment horizontal="right" vertical="center" shrinkToFit="1"/>
    </xf>
    <xf numFmtId="0" fontId="7" fillId="7" borderId="1" xfId="0" applyFont="1" applyFill="1" applyBorder="1" applyAlignment="1">
      <alignment vertical="center" shrinkToFit="1"/>
    </xf>
    <xf numFmtId="0" fontId="7" fillId="7" borderId="1" xfId="0" quotePrefix="1" applyFont="1" applyFill="1" applyBorder="1">
      <alignment vertical="center"/>
    </xf>
    <xf numFmtId="176" fontId="7" fillId="7" borderId="1" xfId="0" applyNumberFormat="1" applyFont="1" applyFill="1" applyBorder="1" applyAlignment="1">
      <alignment horizontal="right" vertical="center" shrinkToFit="1"/>
    </xf>
    <xf numFmtId="176" fontId="7" fillId="7" borderId="1" xfId="0" applyNumberFormat="1" applyFont="1" applyFill="1" applyBorder="1">
      <alignment vertical="center"/>
    </xf>
    <xf numFmtId="0" fontId="7" fillId="0" borderId="1" xfId="0" applyFont="1" applyBorder="1" applyAlignment="1">
      <alignment horizontal="left" vertical="center" shrinkToFit="1"/>
    </xf>
    <xf numFmtId="0" fontId="7" fillId="7" borderId="1" xfId="0" applyFont="1" applyFill="1" applyBorder="1" applyAlignment="1">
      <alignment horizontal="left" vertical="center" shrinkToFit="1"/>
    </xf>
    <xf numFmtId="0" fontId="7" fillId="6" borderId="1" xfId="0" applyFont="1" applyFill="1" applyBorder="1" applyAlignment="1">
      <alignment horizontal="right" vertical="center" shrinkToFit="1"/>
    </xf>
    <xf numFmtId="0" fontId="7" fillId="6" borderId="1" xfId="0" applyFont="1" applyFill="1" applyBorder="1" applyAlignment="1">
      <alignment vertical="center" shrinkToFit="1"/>
    </xf>
    <xf numFmtId="176" fontId="7" fillId="6" borderId="1" xfId="0" applyNumberFormat="1" applyFont="1" applyFill="1" applyBorder="1" applyAlignment="1">
      <alignment horizontal="right" vertical="center" shrinkToFit="1"/>
    </xf>
    <xf numFmtId="0" fontId="7" fillId="7" borderId="1" xfId="0" applyFont="1" applyFill="1" applyBorder="1">
      <alignment vertical="center"/>
    </xf>
    <xf numFmtId="0" fontId="7" fillId="7" borderId="1" xfId="0" applyFont="1" applyFill="1" applyBorder="1" applyAlignment="1">
      <alignment vertical="center" wrapText="1" shrinkToFit="1"/>
    </xf>
    <xf numFmtId="24" fontId="3" fillId="0" borderId="0" xfId="0" applyNumberFormat="1" applyFont="1" applyAlignment="1">
      <alignment vertical="center" shrinkToFit="1"/>
    </xf>
    <xf numFmtId="0" fontId="7" fillId="0" borderId="0" xfId="0" applyFont="1" applyAlignment="1">
      <alignment horizontal="right" vertical="center" shrinkToFit="1"/>
    </xf>
    <xf numFmtId="176" fontId="7" fillId="0" borderId="1" xfId="0" applyNumberFormat="1" applyFont="1" applyBorder="1" applyAlignment="1">
      <alignment horizontal="right" vertical="center"/>
    </xf>
    <xf numFmtId="176" fontId="7" fillId="7" borderId="1" xfId="0" applyNumberFormat="1" applyFont="1" applyFill="1" applyBorder="1" applyAlignment="1">
      <alignment horizontal="right" vertical="center"/>
    </xf>
    <xf numFmtId="0" fontId="3" fillId="0" borderId="0" xfId="0" applyFont="1" applyAlignment="1">
      <alignment horizontal="left" vertical="center" shrinkToFit="1"/>
    </xf>
    <xf numFmtId="176" fontId="7" fillId="0" borderId="3" xfId="0" applyNumberFormat="1" applyFont="1" applyBorder="1" applyAlignment="1">
      <alignment horizontal="right" vertical="center"/>
    </xf>
    <xf numFmtId="0" fontId="7" fillId="7" borderId="3" xfId="0" applyFont="1" applyFill="1" applyBorder="1" applyAlignment="1">
      <alignment vertical="center" shrinkToFit="1"/>
    </xf>
    <xf numFmtId="0" fontId="7" fillId="0" borderId="3" xfId="0" applyFont="1" applyBorder="1" applyAlignment="1">
      <alignment horizontal="right" vertical="center" shrinkToFit="1"/>
    </xf>
    <xf numFmtId="0" fontId="7" fillId="0" borderId="3" xfId="0" applyFont="1" applyBorder="1" applyAlignment="1">
      <alignment vertical="center" wrapText="1" shrinkToFit="1"/>
    </xf>
    <xf numFmtId="176" fontId="7" fillId="0" borderId="3" xfId="0" applyNumberFormat="1" applyFont="1" applyBorder="1" applyAlignment="1">
      <alignment horizontal="right" vertical="center" shrinkToFit="1"/>
    </xf>
    <xf numFmtId="176" fontId="7" fillId="0" borderId="3" xfId="0" applyNumberFormat="1" applyFont="1" applyBorder="1">
      <alignment vertical="center"/>
    </xf>
    <xf numFmtId="0" fontId="2" fillId="0" borderId="3" xfId="0" applyFont="1" applyBorder="1" applyAlignment="1">
      <alignment vertical="center" shrinkToFit="1"/>
    </xf>
    <xf numFmtId="0" fontId="7" fillId="7" borderId="3" xfId="0" applyFont="1" applyFill="1" applyBorder="1" applyAlignment="1">
      <alignment horizontal="right" vertical="center" shrinkToFit="1"/>
    </xf>
    <xf numFmtId="0" fontId="10" fillId="0" borderId="0" xfId="0" applyFont="1" applyAlignment="1">
      <alignment vertical="center" shrinkToFit="1"/>
    </xf>
    <xf numFmtId="176" fontId="7" fillId="0" borderId="2" xfId="0" applyNumberFormat="1" applyFont="1" applyBorder="1" applyAlignment="1">
      <alignment horizontal="right" vertical="center"/>
    </xf>
    <xf numFmtId="176" fontId="7" fillId="7" borderId="2" xfId="0" applyNumberFormat="1" applyFont="1" applyFill="1" applyBorder="1" applyAlignment="1">
      <alignment horizontal="right" vertical="center"/>
    </xf>
    <xf numFmtId="0" fontId="7" fillId="8" borderId="1" xfId="0" applyFont="1" applyFill="1" applyBorder="1" applyAlignment="1">
      <alignment horizontal="right" vertical="center" shrinkToFit="1"/>
    </xf>
    <xf numFmtId="0" fontId="8" fillId="8" borderId="1" xfId="0" applyFont="1" applyFill="1" applyBorder="1" applyAlignment="1">
      <alignment vertical="center" shrinkToFit="1"/>
    </xf>
    <xf numFmtId="176" fontId="8" fillId="8" borderId="1" xfId="0" applyNumberFormat="1" applyFont="1" applyFill="1" applyBorder="1" applyAlignment="1">
      <alignment horizontal="right" vertical="center" shrinkToFit="1"/>
    </xf>
    <xf numFmtId="176" fontId="8" fillId="8" borderId="1" xfId="0" applyNumberFormat="1" applyFont="1" applyFill="1" applyBorder="1">
      <alignment vertical="center"/>
    </xf>
    <xf numFmtId="176" fontId="8" fillId="8" borderId="1" xfId="0" applyNumberFormat="1" applyFont="1" applyFill="1" applyBorder="1" applyAlignment="1">
      <alignment horizontal="right" vertical="center"/>
    </xf>
    <xf numFmtId="0" fontId="7" fillId="8" borderId="0" xfId="0" applyFont="1" applyFill="1">
      <alignment vertical="center"/>
    </xf>
    <xf numFmtId="0" fontId="7" fillId="8" borderId="0" xfId="0" applyFont="1" applyFill="1" applyAlignment="1">
      <alignment vertical="center" shrinkToFit="1"/>
    </xf>
    <xf numFmtId="0" fontId="3" fillId="8" borderId="0" xfId="0" applyFont="1" applyFill="1" applyAlignment="1">
      <alignment vertical="center" shrinkToFit="1"/>
    </xf>
    <xf numFmtId="0" fontId="7" fillId="8" borderId="1" xfId="0" applyFont="1" applyFill="1" applyBorder="1" applyAlignment="1">
      <alignment vertical="center" shrinkToFit="1"/>
    </xf>
    <xf numFmtId="176" fontId="7" fillId="8" borderId="1" xfId="0" applyNumberFormat="1" applyFont="1" applyFill="1" applyBorder="1" applyAlignment="1">
      <alignment horizontal="right" vertical="center" shrinkToFit="1"/>
    </xf>
    <xf numFmtId="176" fontId="7" fillId="8" borderId="1" xfId="0" applyNumberFormat="1" applyFont="1" applyFill="1" applyBorder="1">
      <alignment vertical="center"/>
    </xf>
    <xf numFmtId="176" fontId="7" fillId="8" borderId="1" xfId="0" applyNumberFormat="1" applyFont="1" applyFill="1" applyBorder="1" applyAlignment="1">
      <alignment horizontal="right" vertical="center"/>
    </xf>
    <xf numFmtId="0" fontId="7" fillId="8" borderId="1" xfId="0" applyFont="1" applyFill="1" applyBorder="1" applyAlignment="1">
      <alignment vertical="center" wrapText="1" shrinkToFit="1"/>
    </xf>
    <xf numFmtId="0" fontId="7" fillId="8" borderId="1" xfId="0" applyFont="1" applyFill="1" applyBorder="1">
      <alignment vertical="center"/>
    </xf>
    <xf numFmtId="0" fontId="7" fillId="0" borderId="9" xfId="0" applyFont="1" applyBorder="1" applyAlignment="1">
      <alignment horizontal="right" vertical="center" shrinkToFit="1"/>
    </xf>
    <xf numFmtId="0" fontId="11" fillId="0" borderId="1" xfId="0" applyFont="1" applyBorder="1" applyAlignment="1">
      <alignment vertical="center" wrapText="1" shrinkToFit="1"/>
    </xf>
    <xf numFmtId="0" fontId="11" fillId="0" borderId="1" xfId="0" applyFont="1" applyBorder="1" applyAlignment="1">
      <alignment horizontal="center" vertical="center" wrapText="1" shrinkToFit="1"/>
    </xf>
    <xf numFmtId="0" fontId="7" fillId="0" borderId="2" xfId="0" applyFont="1" applyBorder="1" applyAlignment="1">
      <alignment vertical="center" shrinkToFit="1"/>
    </xf>
    <xf numFmtId="0" fontId="7" fillId="0" borderId="2" xfId="0" applyFont="1" applyBorder="1" applyAlignment="1">
      <alignment vertical="center" wrapText="1" shrinkToFit="1"/>
    </xf>
    <xf numFmtId="176" fontId="7" fillId="0" borderId="2" xfId="0" applyNumberFormat="1" applyFont="1" applyBorder="1" applyAlignment="1">
      <alignment horizontal="center" vertical="center"/>
    </xf>
    <xf numFmtId="0" fontId="7" fillId="9" borderId="1" xfId="0" applyFont="1" applyFill="1" applyBorder="1" applyAlignment="1">
      <alignment horizontal="left" vertical="center" shrinkToFit="1"/>
    </xf>
    <xf numFmtId="0" fontId="7" fillId="9" borderId="1" xfId="0" applyFont="1" applyFill="1" applyBorder="1" applyAlignment="1">
      <alignment vertical="center" shrinkToFit="1"/>
    </xf>
    <xf numFmtId="0" fontId="7" fillId="9" borderId="1" xfId="0" applyFont="1" applyFill="1" applyBorder="1" applyAlignment="1">
      <alignment horizontal="center" vertical="center" shrinkToFit="1"/>
    </xf>
    <xf numFmtId="0" fontId="7" fillId="9" borderId="1" xfId="0" applyFont="1" applyFill="1" applyBorder="1">
      <alignment vertical="center"/>
    </xf>
    <xf numFmtId="176" fontId="7" fillId="9" borderId="1" xfId="0" applyNumberFormat="1" applyFont="1" applyFill="1" applyBorder="1" applyAlignment="1">
      <alignment horizontal="right" vertical="center" shrinkToFit="1"/>
    </xf>
    <xf numFmtId="176" fontId="7" fillId="0" borderId="2" xfId="0" applyNumberFormat="1" applyFont="1" applyBorder="1" applyAlignment="1">
      <alignment horizontal="center" vertical="center" shrinkToFit="1"/>
    </xf>
    <xf numFmtId="0" fontId="14" fillId="0" borderId="0" xfId="0" applyFont="1">
      <alignment vertical="center"/>
    </xf>
    <xf numFmtId="0" fontId="7" fillId="0" borderId="1" xfId="0" applyFont="1" applyBorder="1" applyAlignment="1">
      <alignment horizontal="center" vertical="center" shrinkToFit="1"/>
    </xf>
    <xf numFmtId="0" fontId="7" fillId="0" borderId="1" xfId="0" applyFont="1" applyBorder="1" applyAlignment="1">
      <alignment horizontal="center" vertical="center" wrapText="1" shrinkToFit="1"/>
    </xf>
    <xf numFmtId="176" fontId="7" fillId="0" borderId="1" xfId="0" applyNumberFormat="1" applyFont="1" applyBorder="1" applyAlignment="1">
      <alignment horizontal="center" vertical="center" shrinkToFit="1"/>
    </xf>
    <xf numFmtId="0" fontId="8" fillId="8" borderId="1" xfId="0" applyFont="1" applyFill="1" applyBorder="1" applyAlignment="1">
      <alignment horizontal="center" vertical="center" shrinkToFit="1"/>
    </xf>
    <xf numFmtId="176" fontId="15" fillId="0" borderId="3" xfId="0" applyNumberFormat="1" applyFont="1" applyBorder="1" applyAlignment="1">
      <alignment vertical="center" shrinkToFit="1"/>
    </xf>
    <xf numFmtId="176" fontId="15" fillId="0" borderId="3" xfId="0" applyNumberFormat="1" applyFont="1" applyBorder="1" applyAlignment="1">
      <alignment vertical="center" wrapText="1" shrinkToFit="1"/>
    </xf>
    <xf numFmtId="176" fontId="7" fillId="0" borderId="1" xfId="0" applyNumberFormat="1" applyFont="1" applyBorder="1" applyAlignment="1">
      <alignment horizontal="center" vertical="center" wrapText="1"/>
    </xf>
    <xf numFmtId="176" fontId="7" fillId="0" borderId="1" xfId="0" applyNumberFormat="1" applyFont="1" applyBorder="1" applyAlignment="1">
      <alignment vertical="center" wrapText="1"/>
    </xf>
    <xf numFmtId="176" fontId="7" fillId="0" borderId="1" xfId="0" applyNumberFormat="1" applyFont="1" applyBorder="1" applyAlignment="1">
      <alignment vertical="center" wrapText="1" shrinkToFit="1"/>
    </xf>
    <xf numFmtId="176" fontId="7" fillId="0" borderId="1" xfId="0" applyNumberFormat="1" applyFont="1" applyBorder="1" applyAlignment="1">
      <alignment vertical="center" shrinkToFit="1"/>
    </xf>
    <xf numFmtId="176" fontId="7" fillId="7" borderId="1" xfId="0" applyNumberFormat="1" applyFont="1" applyFill="1" applyBorder="1" applyAlignment="1">
      <alignment vertical="center" shrinkToFit="1"/>
    </xf>
    <xf numFmtId="176" fontId="7" fillId="0" borderId="1" xfId="0" applyNumberFormat="1" applyFont="1" applyBorder="1" applyAlignment="1">
      <alignment horizontal="right" vertical="center" wrapText="1" shrinkToFit="1"/>
    </xf>
    <xf numFmtId="176" fontId="7" fillId="7" borderId="1" xfId="0" applyNumberFormat="1" applyFont="1" applyFill="1" applyBorder="1" applyAlignment="1">
      <alignment horizontal="center" vertical="center" shrinkToFit="1"/>
    </xf>
    <xf numFmtId="176" fontId="7" fillId="0" borderId="0" xfId="0" applyNumberFormat="1" applyFont="1" applyAlignment="1">
      <alignment horizontal="right" vertical="center" shrinkToFit="1"/>
    </xf>
    <xf numFmtId="176" fontId="16" fillId="7" borderId="0" xfId="0" applyNumberFormat="1" applyFont="1" applyFill="1" applyAlignment="1">
      <alignment horizontal="right" vertical="center"/>
    </xf>
    <xf numFmtId="176" fontId="7" fillId="0" borderId="0" xfId="0" applyNumberFormat="1" applyFont="1" applyAlignment="1">
      <alignment horizontal="right" vertical="center"/>
    </xf>
    <xf numFmtId="176" fontId="7" fillId="7" borderId="1" xfId="0" applyNumberFormat="1" applyFont="1" applyFill="1" applyBorder="1" applyAlignment="1">
      <alignment horizontal="right" vertical="center" wrapText="1" shrinkToFit="1"/>
    </xf>
    <xf numFmtId="176" fontId="7" fillId="0" borderId="1" xfId="0" applyNumberFormat="1" applyFont="1" applyBorder="1" applyAlignment="1">
      <alignment horizontal="center" vertical="center" wrapText="1" shrinkToFit="1"/>
    </xf>
    <xf numFmtId="176" fontId="7" fillId="0" borderId="3" xfId="0" applyNumberFormat="1" applyFont="1" applyBorder="1" applyAlignment="1">
      <alignment horizontal="right" vertical="center" wrapText="1" shrinkToFit="1"/>
    </xf>
    <xf numFmtId="176" fontId="7" fillId="0" borderId="3" xfId="0" applyNumberFormat="1" applyFont="1" applyBorder="1" applyAlignment="1">
      <alignment horizontal="center" vertical="center" shrinkToFit="1"/>
    </xf>
    <xf numFmtId="0" fontId="7" fillId="7" borderId="1" xfId="0" applyFont="1" applyFill="1" applyBorder="1" applyAlignment="1">
      <alignment horizontal="center" vertical="center" shrinkToFit="1"/>
    </xf>
    <xf numFmtId="0" fontId="3" fillId="0" borderId="1" xfId="0" quotePrefix="1" applyFont="1" applyBorder="1" applyAlignment="1">
      <alignment vertical="center" shrinkToFit="1"/>
    </xf>
    <xf numFmtId="0" fontId="9" fillId="0" borderId="1" xfId="0" applyFont="1" applyBorder="1" applyAlignment="1">
      <alignment horizontal="center" vertical="center" shrinkToFit="1"/>
    </xf>
    <xf numFmtId="0" fontId="12" fillId="0" borderId="0" xfId="0" applyFont="1" applyAlignment="1">
      <alignment vertical="center" shrinkToFit="1"/>
    </xf>
    <xf numFmtId="176" fontId="7" fillId="0" borderId="4" xfId="0" applyNumberFormat="1" applyFont="1" applyBorder="1" applyAlignment="1">
      <alignment horizontal="right" vertical="center"/>
    </xf>
    <xf numFmtId="0" fontId="7" fillId="6" borderId="3" xfId="0" applyFont="1" applyFill="1" applyBorder="1" applyAlignment="1">
      <alignment horizontal="right" vertical="center" shrinkToFit="1"/>
    </xf>
    <xf numFmtId="0" fontId="7" fillId="0" borderId="2" xfId="0" applyFont="1" applyBorder="1" applyAlignment="1">
      <alignment horizontal="left" vertical="center" shrinkToFit="1"/>
    </xf>
    <xf numFmtId="0" fontId="7" fillId="0" borderId="2" xfId="0" applyFont="1" applyBorder="1" applyAlignment="1">
      <alignment horizontal="center" vertical="center" shrinkToFit="1"/>
    </xf>
    <xf numFmtId="176" fontId="2" fillId="0" borderId="1" xfId="0" applyNumberFormat="1" applyFont="1" applyBorder="1" applyAlignment="1">
      <alignment vertical="center" wrapText="1"/>
    </xf>
    <xf numFmtId="0" fontId="7" fillId="10" borderId="1" xfId="0" applyFont="1" applyFill="1" applyBorder="1" applyAlignment="1">
      <alignment horizontal="right" vertical="center" shrinkToFit="1"/>
    </xf>
    <xf numFmtId="0" fontId="9" fillId="0" borderId="0" xfId="0" applyFont="1" applyAlignment="1">
      <alignment vertical="center" shrinkToFit="1"/>
    </xf>
    <xf numFmtId="176" fontId="18" fillId="0" borderId="1" xfId="0" applyNumberFormat="1" applyFont="1" applyBorder="1" applyAlignment="1">
      <alignment horizontal="right" vertical="center" shrinkToFit="1"/>
    </xf>
    <xf numFmtId="176" fontId="2" fillId="0" borderId="1" xfId="0" applyNumberFormat="1" applyFont="1" applyBorder="1" applyAlignment="1">
      <alignment horizontal="center" vertical="center" shrinkToFit="1"/>
    </xf>
    <xf numFmtId="0" fontId="19" fillId="7" borderId="1" xfId="0" applyFont="1" applyFill="1" applyBorder="1" applyAlignment="1">
      <alignment horizontal="right" vertical="center" shrinkToFit="1"/>
    </xf>
    <xf numFmtId="0" fontId="20" fillId="0" borderId="1" xfId="0" applyFont="1" applyBorder="1" applyAlignment="1">
      <alignment vertical="center" shrinkToFit="1"/>
    </xf>
    <xf numFmtId="0" fontId="21" fillId="0" borderId="1" xfId="0" applyFont="1" applyBorder="1" applyAlignment="1">
      <alignment horizontal="center" vertical="center" shrinkToFit="1"/>
    </xf>
    <xf numFmtId="176" fontId="18" fillId="0" borderId="1" xfId="0" applyNumberFormat="1" applyFont="1" applyBorder="1" applyAlignment="1">
      <alignment horizontal="center" vertical="center" shrinkToFit="1"/>
    </xf>
    <xf numFmtId="0" fontId="7" fillId="7" borderId="3" xfId="0" applyFont="1" applyFill="1" applyBorder="1" applyAlignment="1">
      <alignment horizontal="center" vertical="center" shrinkToFit="1"/>
    </xf>
    <xf numFmtId="176" fontId="19" fillId="0" borderId="1" xfId="0" applyNumberFormat="1" applyFont="1" applyBorder="1" applyAlignment="1">
      <alignment horizontal="right" vertical="center" shrinkToFit="1"/>
    </xf>
    <xf numFmtId="176" fontId="10" fillId="0" borderId="1" xfId="0" applyNumberFormat="1" applyFont="1" applyBorder="1" applyAlignment="1">
      <alignment horizontal="center" vertical="center" shrinkToFit="1"/>
    </xf>
    <xf numFmtId="0" fontId="22" fillId="0" borderId="0" xfId="0" applyFont="1" applyAlignment="1">
      <alignment vertical="center" shrinkToFit="1"/>
    </xf>
    <xf numFmtId="0" fontId="23" fillId="7" borderId="3" xfId="0" applyFont="1" applyFill="1" applyBorder="1" applyAlignment="1">
      <alignment horizontal="right" vertical="center" shrinkToFit="1"/>
    </xf>
    <xf numFmtId="0" fontId="11" fillId="7" borderId="3" xfId="0" applyFont="1" applyFill="1" applyBorder="1" applyAlignment="1">
      <alignment horizontal="right" vertical="center" shrinkToFit="1"/>
    </xf>
    <xf numFmtId="0" fontId="24" fillId="7" borderId="1" xfId="0" applyFont="1" applyFill="1" applyBorder="1" applyAlignment="1">
      <alignment horizontal="left" vertical="center" shrinkToFit="1"/>
    </xf>
    <xf numFmtId="0" fontId="25" fillId="7" borderId="10" xfId="0" applyFont="1" applyFill="1" applyBorder="1" applyAlignment="1">
      <alignment horizontal="left" vertical="center" shrinkToFit="1"/>
    </xf>
    <xf numFmtId="0" fontId="11" fillId="0" borderId="1" xfId="0" applyFont="1" applyBorder="1" applyAlignment="1">
      <alignment horizontal="left" vertical="center" shrinkToFit="1"/>
    </xf>
    <xf numFmtId="0" fontId="11" fillId="7" borderId="1" xfId="0" applyFont="1" applyFill="1" applyBorder="1" applyAlignment="1">
      <alignment horizontal="left" vertical="center" shrinkToFit="1"/>
    </xf>
    <xf numFmtId="0" fontId="12" fillId="7" borderId="1" xfId="0" applyFont="1" applyFill="1" applyBorder="1" applyAlignment="1">
      <alignment horizontal="left" vertical="center" shrinkToFit="1"/>
    </xf>
    <xf numFmtId="0" fontId="2" fillId="0" borderId="1" xfId="0" applyFont="1" applyBorder="1" applyAlignment="1">
      <alignment horizontal="center" vertical="center" shrinkToFit="1"/>
    </xf>
    <xf numFmtId="0" fontId="11" fillId="0" borderId="11" xfId="0" applyFont="1" applyBorder="1" applyAlignment="1">
      <alignment vertical="center" wrapText="1" shrinkToFit="1"/>
    </xf>
    <xf numFmtId="0" fontId="11" fillId="0" borderId="9" xfId="0" applyFont="1" applyBorder="1" applyAlignment="1">
      <alignment horizontal="center" vertical="center" wrapText="1" shrinkToFit="1"/>
    </xf>
    <xf numFmtId="0" fontId="12" fillId="0" borderId="1" xfId="0" quotePrefix="1" applyFont="1" applyBorder="1" applyAlignment="1">
      <alignment vertical="center" shrinkToFit="1"/>
    </xf>
    <xf numFmtId="0" fontId="12" fillId="0" borderId="1" xfId="0" applyFont="1" applyBorder="1" applyAlignment="1">
      <alignment vertical="center" shrinkToFit="1"/>
    </xf>
    <xf numFmtId="0" fontId="23" fillId="0" borderId="1" xfId="0" applyFont="1" applyBorder="1" applyAlignment="1">
      <alignment horizontal="center" vertical="center" shrinkToFit="1"/>
    </xf>
    <xf numFmtId="0" fontId="11" fillId="0" borderId="1" xfId="0" applyFont="1" applyBorder="1" applyAlignment="1">
      <alignment horizontal="right" vertical="center" shrinkToFit="1"/>
    </xf>
    <xf numFmtId="0" fontId="12" fillId="0" borderId="1" xfId="0" applyFont="1" applyBorder="1" applyAlignment="1">
      <alignment horizontal="right" vertical="center" shrinkToFit="1"/>
    </xf>
    <xf numFmtId="0" fontId="11" fillId="0" borderId="0" xfId="0" applyFont="1" applyAlignment="1">
      <alignment vertical="center" shrinkToFit="1"/>
    </xf>
    <xf numFmtId="0" fontId="28" fillId="0" borderId="0" xfId="0" applyFont="1" applyAlignment="1">
      <alignment vertical="center" shrinkToFit="1"/>
    </xf>
    <xf numFmtId="0" fontId="29" fillId="0" borderId="0" xfId="0" applyFont="1" applyAlignment="1">
      <alignment horizontal="center" vertical="center" shrinkToFit="1"/>
    </xf>
    <xf numFmtId="0" fontId="29" fillId="0" borderId="0" xfId="0" applyFont="1" applyAlignment="1">
      <alignment horizontal="center" vertical="center" wrapText="1" shrinkToFit="1"/>
    </xf>
    <xf numFmtId="0" fontId="29" fillId="0" borderId="0" xfId="0" applyFont="1" applyAlignment="1">
      <alignment horizontal="left" vertical="center" shrinkToFit="1"/>
    </xf>
    <xf numFmtId="0" fontId="29" fillId="0" borderId="0" xfId="0" applyFont="1" applyAlignment="1">
      <alignment vertical="center" shrinkToFit="1"/>
    </xf>
    <xf numFmtId="0" fontId="29" fillId="0" borderId="0" xfId="0" applyFont="1" applyAlignment="1">
      <alignment horizontal="right" vertical="center" shrinkToFit="1"/>
    </xf>
    <xf numFmtId="176" fontId="29" fillId="0" borderId="0" xfId="0" applyNumberFormat="1" applyFont="1" applyAlignment="1">
      <alignment horizontal="right" vertical="center" shrinkToFit="1"/>
    </xf>
    <xf numFmtId="176" fontId="29" fillId="0" borderId="0" xfId="0" applyNumberFormat="1" applyFont="1">
      <alignment vertical="center"/>
    </xf>
    <xf numFmtId="176" fontId="29" fillId="0" borderId="0" xfId="0" applyNumberFormat="1" applyFont="1" applyAlignment="1">
      <alignment horizontal="right" vertical="center"/>
    </xf>
    <xf numFmtId="0" fontId="29" fillId="0" borderId="0" xfId="0" applyFont="1" applyAlignment="1">
      <alignment horizontal="center" vertical="center" wrapText="1"/>
    </xf>
    <xf numFmtId="0" fontId="29" fillId="0" borderId="0" xfId="0" applyFont="1">
      <alignment vertical="center"/>
    </xf>
    <xf numFmtId="176" fontId="29" fillId="0" borderId="0" xfId="0" applyNumberFormat="1" applyFont="1" applyAlignment="1">
      <alignment horizontal="center" vertical="center" shrinkToFit="1"/>
    </xf>
    <xf numFmtId="176" fontId="29" fillId="0" borderId="0" xfId="0" applyNumberFormat="1" applyFont="1" applyAlignment="1">
      <alignment horizontal="center" vertical="center"/>
    </xf>
    <xf numFmtId="176" fontId="29" fillId="0" borderId="0" xfId="0" applyNumberFormat="1" applyFont="1" applyAlignment="1">
      <alignment vertical="center" wrapText="1" shrinkToFit="1"/>
    </xf>
    <xf numFmtId="176" fontId="29" fillId="0" borderId="0" xfId="0" applyNumberFormat="1" applyFont="1" applyAlignment="1">
      <alignment vertical="center" shrinkToFit="1"/>
    </xf>
    <xf numFmtId="0" fontId="29" fillId="0" borderId="0" xfId="0" applyFont="1" applyAlignment="1">
      <alignment vertical="center" wrapText="1" shrinkToFit="1"/>
    </xf>
    <xf numFmtId="0" fontId="29" fillId="0" borderId="0" xfId="0" applyFont="1" applyAlignment="1">
      <alignment horizontal="left" vertical="center" wrapText="1" shrinkToFit="1"/>
    </xf>
    <xf numFmtId="176" fontId="29" fillId="0" borderId="0" xfId="0" applyNumberFormat="1" applyFont="1" applyAlignment="1">
      <alignment vertical="center" wrapText="1"/>
    </xf>
    <xf numFmtId="176" fontId="29" fillId="0" borderId="0" xfId="0" applyNumberFormat="1" applyFont="1" applyAlignment="1">
      <alignment horizontal="right" vertical="center" wrapText="1" shrinkToFit="1"/>
    </xf>
    <xf numFmtId="176" fontId="29" fillId="0" borderId="0" xfId="0" applyNumberFormat="1" applyFont="1" applyAlignment="1">
      <alignment horizontal="center" vertical="center" wrapText="1" shrinkToFit="1"/>
    </xf>
    <xf numFmtId="0" fontId="29" fillId="0" borderId="0" xfId="0" quotePrefix="1" applyFont="1" applyAlignment="1">
      <alignment horizontal="left" vertical="center" shrinkToFit="1"/>
    </xf>
    <xf numFmtId="0" fontId="29" fillId="0" borderId="0" xfId="0" applyFont="1" applyAlignment="1">
      <alignment horizontal="center" vertical="center"/>
    </xf>
    <xf numFmtId="0" fontId="32" fillId="0" borderId="0" xfId="0" applyFont="1" applyAlignment="1">
      <alignment vertical="center" shrinkToFit="1"/>
    </xf>
    <xf numFmtId="0" fontId="29" fillId="0" borderId="0" xfId="0" applyFont="1" applyAlignment="1">
      <alignment horizontal="center"/>
    </xf>
    <xf numFmtId="0" fontId="29" fillId="0" borderId="0" xfId="0" applyFont="1" applyAlignment="1">
      <alignment horizontal="left" vertical="center"/>
    </xf>
    <xf numFmtId="0" fontId="29" fillId="0" borderId="0" xfId="0" applyFont="1" applyAlignment="1">
      <alignment horizontal="left" vertical="center" wrapText="1"/>
    </xf>
    <xf numFmtId="0" fontId="32" fillId="0" borderId="0" xfId="0" applyFont="1">
      <alignment vertical="center"/>
    </xf>
    <xf numFmtId="0" fontId="29" fillId="0" borderId="0" xfId="0" applyFont="1" applyAlignment="1">
      <alignment horizontal="right" vertical="center"/>
    </xf>
    <xf numFmtId="0" fontId="32" fillId="0" borderId="0" xfId="0" applyFont="1" applyAlignment="1">
      <alignment horizontal="center" vertical="center"/>
    </xf>
    <xf numFmtId="0" fontId="34" fillId="0" borderId="0" xfId="0" applyFont="1" applyAlignment="1">
      <alignment vertical="center" wrapText="1"/>
    </xf>
    <xf numFmtId="0" fontId="35" fillId="0" borderId="0" xfId="0" applyFont="1" applyAlignment="1">
      <alignment horizontal="left" vertical="center"/>
    </xf>
    <xf numFmtId="0" fontId="32" fillId="0" borderId="0" xfId="0" applyFont="1" applyAlignment="1">
      <alignment horizontal="center" vertical="center" shrinkToFit="1"/>
    </xf>
    <xf numFmtId="49" fontId="32" fillId="0" borderId="0" xfId="0" applyNumberFormat="1" applyFont="1" applyAlignment="1">
      <alignment vertical="center" shrinkToFit="1"/>
    </xf>
    <xf numFmtId="49" fontId="29" fillId="0" borderId="0" xfId="0" applyNumberFormat="1" applyFont="1" applyAlignment="1">
      <alignment horizontal="center" vertical="center"/>
    </xf>
    <xf numFmtId="178" fontId="29" fillId="0" borderId="0" xfId="0" applyNumberFormat="1" applyFont="1">
      <alignment vertical="center"/>
    </xf>
    <xf numFmtId="49" fontId="32" fillId="0" borderId="0" xfId="0" applyNumberFormat="1" applyFont="1" applyAlignment="1">
      <alignment horizontal="left" vertical="center" shrinkToFit="1"/>
    </xf>
    <xf numFmtId="0" fontId="32" fillId="0" borderId="0" xfId="0" applyFont="1" applyAlignment="1">
      <alignment horizontal="left" vertical="center" shrinkToFit="1"/>
    </xf>
    <xf numFmtId="176" fontId="32" fillId="0" borderId="0" xfId="0" applyNumberFormat="1" applyFont="1" applyAlignment="1">
      <alignment horizontal="left" vertical="center" wrapText="1"/>
    </xf>
    <xf numFmtId="176" fontId="29" fillId="0" borderId="0" xfId="0" applyNumberFormat="1" applyFont="1" applyAlignment="1">
      <alignment horizontal="left" vertical="center" shrinkToFit="1"/>
    </xf>
    <xf numFmtId="176" fontId="29" fillId="0" borderId="0" xfId="0" applyNumberFormat="1" applyFont="1" applyAlignment="1">
      <alignment horizontal="left" vertical="center" wrapText="1" shrinkToFit="1"/>
    </xf>
    <xf numFmtId="176" fontId="29" fillId="0" borderId="0" xfId="0" applyNumberFormat="1" applyFont="1" applyAlignment="1">
      <alignment horizontal="left" vertical="center" wrapText="1"/>
    </xf>
    <xf numFmtId="0" fontId="29" fillId="0" borderId="0" xfId="0" quotePrefix="1" applyFont="1" applyAlignment="1">
      <alignment vertical="center" shrinkToFit="1"/>
    </xf>
    <xf numFmtId="0" fontId="29" fillId="0" borderId="0" xfId="0" quotePrefix="1" applyFont="1">
      <alignment vertical="center"/>
    </xf>
    <xf numFmtId="0" fontId="32" fillId="0" borderId="0" xfId="0" applyFont="1" applyAlignment="1">
      <alignment vertical="center" wrapText="1"/>
    </xf>
    <xf numFmtId="0" fontId="32" fillId="0" borderId="0" xfId="0" quotePrefix="1" applyFont="1" applyAlignment="1">
      <alignment vertical="center" wrapText="1"/>
    </xf>
    <xf numFmtId="0" fontId="32" fillId="0" borderId="0" xfId="0" applyFont="1" applyAlignment="1">
      <alignment horizontal="left" vertical="center" wrapText="1"/>
    </xf>
    <xf numFmtId="49" fontId="29" fillId="0" borderId="0" xfId="0" applyNumberFormat="1" applyFont="1" applyAlignment="1">
      <alignment vertical="center" shrinkToFit="1"/>
    </xf>
    <xf numFmtId="177" fontId="29" fillId="0" borderId="0" xfId="0" applyNumberFormat="1" applyFont="1" applyAlignment="1">
      <alignment horizontal="center" vertical="center" shrinkToFit="1"/>
    </xf>
    <xf numFmtId="49" fontId="29" fillId="0" borderId="0" xfId="0" applyNumberFormat="1" applyFont="1" applyAlignment="1">
      <alignment vertical="center" wrapText="1"/>
    </xf>
    <xf numFmtId="49" fontId="30" fillId="0" borderId="0" xfId="0" applyNumberFormat="1" applyFont="1">
      <alignment vertical="center"/>
    </xf>
    <xf numFmtId="49" fontId="29" fillId="0" borderId="0" xfId="0" applyNumberFormat="1" applyFont="1" applyAlignment="1">
      <alignment vertical="center" wrapText="1" shrinkToFit="1"/>
    </xf>
    <xf numFmtId="49" fontId="29" fillId="0" borderId="0" xfId="0" applyNumberFormat="1" applyFont="1">
      <alignment vertical="center"/>
    </xf>
    <xf numFmtId="49" fontId="31" fillId="0" borderId="0" xfId="0" applyNumberFormat="1" applyFont="1" applyAlignment="1">
      <alignment vertical="center" wrapText="1"/>
    </xf>
    <xf numFmtId="177" fontId="29" fillId="0" borderId="0" xfId="0" applyNumberFormat="1" applyFont="1" applyAlignment="1">
      <alignment horizontal="center" vertical="center" wrapText="1" shrinkToFit="1"/>
    </xf>
    <xf numFmtId="49" fontId="30" fillId="0" borderId="0" xfId="0" applyNumberFormat="1" applyFont="1" applyAlignment="1">
      <alignment vertical="center" wrapText="1"/>
    </xf>
    <xf numFmtId="49" fontId="31" fillId="0" borderId="12" xfId="0" applyNumberFormat="1" applyFont="1" applyBorder="1" applyAlignment="1">
      <alignment vertical="top"/>
    </xf>
    <xf numFmtId="49" fontId="31" fillId="0" borderId="0" xfId="0" applyNumberFormat="1" applyFont="1">
      <alignment vertical="center"/>
    </xf>
    <xf numFmtId="177" fontId="29" fillId="0" borderId="0" xfId="0" applyNumberFormat="1" applyFont="1" applyAlignment="1">
      <alignment horizontal="center" vertical="center"/>
    </xf>
    <xf numFmtId="49" fontId="31" fillId="0" borderId="0" xfId="0" applyNumberFormat="1" applyFont="1" applyAlignment="1">
      <alignment vertical="top"/>
    </xf>
    <xf numFmtId="49" fontId="31" fillId="0" borderId="0" xfId="0" applyNumberFormat="1" applyFont="1" applyAlignment="1">
      <alignment vertical="top" wrapText="1"/>
    </xf>
    <xf numFmtId="49" fontId="31" fillId="0" borderId="12" xfId="0" applyNumberFormat="1" applyFont="1" applyBorder="1">
      <alignment vertical="center"/>
    </xf>
    <xf numFmtId="49" fontId="30" fillId="0" borderId="12" xfId="0" applyNumberFormat="1" applyFont="1" applyBorder="1">
      <alignment vertical="center"/>
    </xf>
    <xf numFmtId="49" fontId="29" fillId="0" borderId="12" xfId="0" applyNumberFormat="1" applyFont="1" applyBorder="1" applyAlignment="1">
      <alignment vertical="center" wrapText="1" shrinkToFit="1"/>
    </xf>
    <xf numFmtId="49" fontId="29" fillId="0" borderId="12" xfId="0" applyNumberFormat="1" applyFont="1" applyBorder="1" applyAlignment="1">
      <alignment vertical="center" shrinkToFit="1"/>
    </xf>
    <xf numFmtId="49" fontId="29" fillId="0" borderId="12" xfId="0" applyNumberFormat="1" applyFont="1" applyBorder="1" applyAlignment="1">
      <alignment vertical="center" wrapText="1"/>
    </xf>
    <xf numFmtId="49" fontId="30" fillId="0" borderId="0" xfId="0" applyNumberFormat="1" applyFont="1" applyAlignment="1">
      <alignment vertical="top"/>
    </xf>
    <xf numFmtId="49" fontId="31" fillId="0" borderId="12" xfId="0" applyNumberFormat="1" applyFont="1" applyBorder="1" applyAlignment="1">
      <alignment vertical="top" wrapText="1"/>
    </xf>
    <xf numFmtId="49" fontId="31" fillId="0" borderId="12" xfId="0" applyNumberFormat="1" applyFont="1" applyBorder="1" applyAlignment="1">
      <alignment vertical="center" wrapText="1"/>
    </xf>
    <xf numFmtId="178" fontId="30" fillId="0" borderId="0" xfId="0" applyNumberFormat="1" applyFont="1" applyAlignment="1">
      <alignment vertical="top"/>
    </xf>
    <xf numFmtId="178" fontId="29" fillId="0" borderId="12" xfId="0" applyNumberFormat="1" applyFont="1" applyBorder="1">
      <alignment vertical="center"/>
    </xf>
    <xf numFmtId="49" fontId="29" fillId="0" borderId="0" xfId="0" applyNumberFormat="1" applyFont="1" applyAlignment="1">
      <alignment horizontal="left" vertical="center" shrinkToFit="1"/>
    </xf>
    <xf numFmtId="49" fontId="31" fillId="0" borderId="0" xfId="0" applyNumberFormat="1" applyFont="1" applyAlignment="1">
      <alignment horizontal="left" vertical="center"/>
    </xf>
    <xf numFmtId="49" fontId="29" fillId="0" borderId="12" xfId="0" applyNumberFormat="1" applyFont="1" applyBorder="1" applyAlignment="1">
      <alignment horizontal="left" vertical="center" shrinkToFit="1"/>
    </xf>
    <xf numFmtId="49" fontId="31" fillId="0" borderId="12" xfId="0" applyNumberFormat="1" applyFont="1" applyBorder="1" applyAlignment="1">
      <alignment horizontal="left" vertical="center"/>
    </xf>
    <xf numFmtId="49" fontId="30" fillId="0" borderId="0" xfId="0" applyNumberFormat="1" applyFont="1" applyAlignment="1">
      <alignment horizontal="left" vertical="center"/>
    </xf>
    <xf numFmtId="49" fontId="29" fillId="0" borderId="0" xfId="0" applyNumberFormat="1" applyFont="1" applyAlignment="1">
      <alignment horizontal="left" vertical="center" wrapText="1" shrinkToFit="1"/>
    </xf>
    <xf numFmtId="49" fontId="31" fillId="0" borderId="0" xfId="0" applyNumberFormat="1" applyFont="1" applyAlignment="1">
      <alignment horizontal="left" vertical="center" wrapText="1"/>
    </xf>
    <xf numFmtId="177" fontId="32" fillId="0" borderId="0" xfId="0" applyNumberFormat="1" applyFont="1" applyAlignment="1">
      <alignment horizontal="left" vertical="center" shrinkToFit="1"/>
    </xf>
    <xf numFmtId="177" fontId="32" fillId="0" borderId="0" xfId="0" applyNumberFormat="1" applyFont="1" applyAlignment="1">
      <alignment horizontal="left" vertical="center" wrapText="1" shrinkToFit="1"/>
    </xf>
    <xf numFmtId="177" fontId="32" fillId="0" borderId="0" xfId="0" applyNumberFormat="1" applyFont="1" applyAlignment="1">
      <alignment horizontal="left" vertical="center"/>
    </xf>
    <xf numFmtId="0" fontId="2" fillId="0" borderId="10" xfId="0" applyFont="1" applyBorder="1" applyAlignment="1">
      <alignment vertical="center" shrinkToFit="1"/>
    </xf>
    <xf numFmtId="0" fontId="2" fillId="0" borderId="11" xfId="0" applyFont="1" applyBorder="1" applyAlignment="1">
      <alignment vertical="center" shrinkToFit="1"/>
    </xf>
    <xf numFmtId="0" fontId="2" fillId="0" borderId="9" xfId="0" applyFont="1" applyBorder="1" applyAlignment="1">
      <alignment vertical="center" shrinkToFit="1"/>
    </xf>
    <xf numFmtId="0" fontId="3" fillId="0" borderId="8" xfId="0" applyFont="1" applyBorder="1" applyAlignment="1">
      <alignment horizontal="left" vertical="center" shrinkToFit="1"/>
    </xf>
    <xf numFmtId="0" fontId="3" fillId="0" borderId="0" xfId="0" applyFont="1" applyAlignment="1">
      <alignment horizontal="left" vertical="center" shrinkToFit="1"/>
    </xf>
    <xf numFmtId="0" fontId="7" fillId="0" borderId="3" xfId="0" applyFont="1" applyBorder="1" applyAlignment="1">
      <alignment vertical="center" shrinkToFit="1"/>
    </xf>
    <xf numFmtId="0" fontId="7" fillId="0" borderId="4" xfId="0" applyFont="1" applyBorder="1" applyAlignment="1">
      <alignment vertical="center" shrinkToFit="1"/>
    </xf>
    <xf numFmtId="0" fontId="7" fillId="0" borderId="2" xfId="0" applyFont="1" applyBorder="1" applyAlignment="1">
      <alignment vertical="center" shrinkToFit="1"/>
    </xf>
    <xf numFmtId="176" fontId="7" fillId="0" borderId="4"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2" fillId="2" borderId="5" xfId="0" applyFont="1" applyFill="1" applyBorder="1" applyAlignment="1">
      <alignment horizontal="left" vertical="center" wrapText="1"/>
    </xf>
    <xf numFmtId="0" fontId="2" fillId="2" borderId="6" xfId="0" applyFont="1" applyFill="1" applyBorder="1" applyAlignment="1">
      <alignment horizontal="left" vertical="center" wrapText="1"/>
    </xf>
    <xf numFmtId="0" fontId="2" fillId="2" borderId="7" xfId="0" applyFont="1" applyFill="1" applyBorder="1" applyAlignment="1">
      <alignment horizontal="left" vertical="center" wrapText="1"/>
    </xf>
    <xf numFmtId="176" fontId="7" fillId="0" borderId="4" xfId="0" applyNumberFormat="1" applyFont="1" applyBorder="1" applyAlignment="1">
      <alignment horizontal="center" vertical="center"/>
    </xf>
    <xf numFmtId="176" fontId="7" fillId="0" borderId="2" xfId="0" applyNumberFormat="1" applyFont="1" applyBorder="1" applyAlignment="1">
      <alignment horizontal="center" vertical="center"/>
    </xf>
    <xf numFmtId="176" fontId="7" fillId="0" borderId="3" xfId="0" applyNumberFormat="1" applyFont="1" applyBorder="1" applyAlignment="1">
      <alignment horizontal="center" vertical="center"/>
    </xf>
    <xf numFmtId="176" fontId="7" fillId="0" borderId="1" xfId="0" applyNumberFormat="1" applyFont="1" applyBorder="1" applyAlignment="1">
      <alignment horizontal="right" vertical="center"/>
    </xf>
    <xf numFmtId="0" fontId="7" fillId="0" borderId="3" xfId="0" applyFont="1" applyBorder="1" applyAlignment="1">
      <alignment horizontal="center" vertical="center" shrinkToFit="1"/>
    </xf>
    <xf numFmtId="0" fontId="7" fillId="0" borderId="2" xfId="0" applyFont="1" applyBorder="1" applyAlignment="1">
      <alignment horizontal="center" vertical="center" shrinkToFit="1"/>
    </xf>
    <xf numFmtId="176" fontId="7" fillId="0" borderId="4" xfId="0" applyNumberFormat="1" applyFont="1" applyBorder="1" applyAlignment="1">
      <alignment horizontal="right" vertical="center"/>
    </xf>
    <xf numFmtId="176" fontId="7" fillId="0" borderId="2" xfId="0" applyNumberFormat="1" applyFont="1" applyBorder="1" applyAlignment="1">
      <alignment horizontal="right" vertical="center"/>
    </xf>
    <xf numFmtId="0" fontId="7" fillId="0" borderId="8" xfId="0" applyFont="1" applyBorder="1" applyAlignment="1">
      <alignment vertical="center" shrinkToFit="1"/>
    </xf>
    <xf numFmtId="0" fontId="7" fillId="0" borderId="0" xfId="0" applyFont="1" applyAlignment="1">
      <alignment vertical="center" shrinkToFit="1"/>
    </xf>
    <xf numFmtId="176" fontId="7" fillId="7" borderId="4" xfId="0" applyNumberFormat="1" applyFont="1" applyFill="1" applyBorder="1" applyAlignment="1">
      <alignment horizontal="right" vertical="center"/>
    </xf>
    <xf numFmtId="176" fontId="7" fillId="7" borderId="2" xfId="0" applyNumberFormat="1" applyFont="1" applyFill="1" applyBorder="1" applyAlignment="1">
      <alignment horizontal="right" vertical="center"/>
    </xf>
    <xf numFmtId="0" fontId="7" fillId="0" borderId="3" xfId="0" applyFont="1" applyBorder="1" applyAlignment="1">
      <alignment horizontal="left" vertical="center" shrinkToFit="1"/>
    </xf>
    <xf numFmtId="0" fontId="7" fillId="0" borderId="2" xfId="0" applyFont="1" applyBorder="1" applyAlignment="1">
      <alignment horizontal="left" vertical="center" shrinkToFit="1"/>
    </xf>
    <xf numFmtId="176" fontId="7" fillId="0" borderId="3" xfId="0" applyNumberFormat="1" applyFont="1" applyBorder="1" applyAlignment="1">
      <alignment horizontal="right" vertical="center"/>
    </xf>
    <xf numFmtId="0" fontId="7" fillId="0" borderId="4" xfId="0" applyFont="1" applyBorder="1" applyAlignment="1">
      <alignment horizontal="center" vertical="center" shrinkToFit="1"/>
    </xf>
    <xf numFmtId="0" fontId="7" fillId="0" borderId="4" xfId="0" applyFont="1" applyBorder="1" applyAlignment="1">
      <alignment horizontal="left" vertical="center" shrinkToFit="1"/>
    </xf>
    <xf numFmtId="176" fontId="7" fillId="7" borderId="3" xfId="0" applyNumberFormat="1" applyFont="1" applyFill="1" applyBorder="1" applyAlignment="1">
      <alignment horizontal="right" vertical="center"/>
    </xf>
    <xf numFmtId="0" fontId="7" fillId="8" borderId="3" xfId="0" applyFont="1" applyFill="1" applyBorder="1" applyAlignment="1">
      <alignment horizontal="left" vertical="center" shrinkToFit="1"/>
    </xf>
    <xf numFmtId="0" fontId="7" fillId="8" borderId="2" xfId="0" applyFont="1" applyFill="1" applyBorder="1" applyAlignment="1">
      <alignment horizontal="left" vertical="center" shrinkToFit="1"/>
    </xf>
    <xf numFmtId="0" fontId="7" fillId="7" borderId="3" xfId="0" applyFont="1" applyFill="1" applyBorder="1" applyAlignment="1">
      <alignment horizontal="left" vertical="center" shrinkToFit="1"/>
    </xf>
    <xf numFmtId="0" fontId="7" fillId="7" borderId="4" xfId="0" applyFont="1" applyFill="1" applyBorder="1" applyAlignment="1">
      <alignment horizontal="left" vertical="center" shrinkToFit="1"/>
    </xf>
    <xf numFmtId="0" fontId="7" fillId="7" borderId="2" xfId="0" applyFont="1" applyFill="1" applyBorder="1" applyAlignment="1">
      <alignment horizontal="left" vertical="center" shrinkToFit="1"/>
    </xf>
    <xf numFmtId="0" fontId="3" fillId="0" borderId="3" xfId="0" applyFont="1" applyBorder="1" applyAlignment="1">
      <alignment vertical="center" shrinkToFit="1"/>
    </xf>
    <xf numFmtId="0" fontId="3" fillId="0" borderId="4" xfId="0" applyFont="1" applyBorder="1" applyAlignment="1">
      <alignment vertical="center" shrinkToFit="1"/>
    </xf>
    <xf numFmtId="0" fontId="3" fillId="0" borderId="2" xfId="0" applyFont="1" applyBorder="1" applyAlignment="1">
      <alignment vertical="center" shrinkToFit="1"/>
    </xf>
    <xf numFmtId="0" fontId="7" fillId="0" borderId="10" xfId="0" applyFont="1" applyBorder="1" applyAlignment="1">
      <alignment horizontal="left" vertical="center" shrinkToFit="1"/>
    </xf>
    <xf numFmtId="0" fontId="7" fillId="0" borderId="11" xfId="0" applyFont="1" applyBorder="1" applyAlignment="1">
      <alignment horizontal="left" vertical="center" shrinkToFit="1"/>
    </xf>
    <xf numFmtId="0" fontId="7" fillId="0" borderId="9" xfId="0" applyFont="1" applyBorder="1" applyAlignment="1">
      <alignment horizontal="left" vertical="center" shrinkToFit="1"/>
    </xf>
  </cellXfs>
  <cellStyles count="1">
    <cellStyle name="標準" xfId="0" builtinId="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878568</xdr:colOff>
      <xdr:row>190</xdr:row>
      <xdr:rowOff>65768</xdr:rowOff>
    </xdr:from>
    <xdr:to>
      <xdr:col>7</xdr:col>
      <xdr:colOff>798590</xdr:colOff>
      <xdr:row>193</xdr:row>
      <xdr:rowOff>218167</xdr:rowOff>
    </xdr:to>
    <xdr:sp macro="" textlink="">
      <xdr:nvSpPr>
        <xdr:cNvPr id="2" name="AutoShape 7">
          <a:extLst>
            <a:ext uri="{FF2B5EF4-FFF2-40B4-BE49-F238E27FC236}">
              <a16:creationId xmlns:a16="http://schemas.microsoft.com/office/drawing/2014/main" id="{A3AD863D-726A-4C2C-81AD-2DCDB1DB60A9}"/>
            </a:ext>
          </a:extLst>
        </xdr:cNvPr>
        <xdr:cNvSpPr>
          <a:spLocks noChangeArrowheads="1"/>
        </xdr:cNvSpPr>
      </xdr:nvSpPr>
      <xdr:spPr bwMode="auto">
        <a:xfrm>
          <a:off x="2507343" y="63197468"/>
          <a:ext cx="5025422" cy="1066799"/>
        </a:xfrm>
        <a:prstGeom prst="wedgeRoundRectCallout">
          <a:avLst>
            <a:gd name="adj1" fmla="val -11444"/>
            <a:gd name="adj2" fmla="val -110713"/>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コントローラ品番（ASSY)には、機種品番(例057**-***00(A25E))</a:t>
          </a:r>
        </a:p>
        <a:p>
          <a:pPr algn="l" rtl="0">
            <a:lnSpc>
              <a:spcPts val="1600"/>
            </a:lnSpc>
            <a:defRPr sz="1000"/>
          </a:pPr>
          <a:r>
            <a:rPr lang="ja-JP" altLang="en-US" sz="1400" b="0" i="0" u="none" strike="noStrike" baseline="0">
              <a:solidFill>
                <a:srgbClr val="000000"/>
              </a:solidFill>
              <a:latin typeface="ＭＳ Ｐゴシック"/>
              <a:ea typeface="ＭＳ Ｐゴシック"/>
            </a:rPr>
            <a:t>のように設定すること</a:t>
          </a:r>
        </a:p>
      </xdr:txBody>
    </xdr:sp>
    <xdr:clientData/>
  </xdr:twoCellAnchor>
  <xdr:twoCellAnchor>
    <xdr:from>
      <xdr:col>7</xdr:col>
      <xdr:colOff>1704431</xdr:colOff>
      <xdr:row>190</xdr:row>
      <xdr:rowOff>3538</xdr:rowOff>
    </xdr:from>
    <xdr:to>
      <xdr:col>9</xdr:col>
      <xdr:colOff>891059</xdr:colOff>
      <xdr:row>193</xdr:row>
      <xdr:rowOff>14998</xdr:rowOff>
    </xdr:to>
    <xdr:sp macro="" textlink="">
      <xdr:nvSpPr>
        <xdr:cNvPr id="3" name="AutoShape 8">
          <a:extLst>
            <a:ext uri="{FF2B5EF4-FFF2-40B4-BE49-F238E27FC236}">
              <a16:creationId xmlns:a16="http://schemas.microsoft.com/office/drawing/2014/main" id="{5B5CA3D6-01DA-4AC4-AF63-70B6E92544D4}"/>
            </a:ext>
          </a:extLst>
        </xdr:cNvPr>
        <xdr:cNvSpPr>
          <a:spLocks noChangeArrowheads="1"/>
        </xdr:cNvSpPr>
      </xdr:nvSpPr>
      <xdr:spPr bwMode="auto">
        <a:xfrm>
          <a:off x="8438606" y="63135238"/>
          <a:ext cx="3253803" cy="925860"/>
        </a:xfrm>
        <a:prstGeom prst="wedgeRoundRectCallout">
          <a:avLst>
            <a:gd name="adj1" fmla="val -12347"/>
            <a:gd name="adj2" fmla="val -112245"/>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プログラム、パラメータファイルの品番は、コントローラASSYの子部品に設定する</a:t>
          </a:r>
        </a:p>
      </xdr:txBody>
    </xdr:sp>
    <xdr:clientData/>
  </xdr:twoCellAnchor>
  <xdr:twoCellAnchor>
    <xdr:from>
      <xdr:col>14</xdr:col>
      <xdr:colOff>680358</xdr:colOff>
      <xdr:row>50</xdr:row>
      <xdr:rowOff>13608</xdr:rowOff>
    </xdr:from>
    <xdr:to>
      <xdr:col>15</xdr:col>
      <xdr:colOff>1319894</xdr:colOff>
      <xdr:row>51</xdr:row>
      <xdr:rowOff>108857</xdr:rowOff>
    </xdr:to>
    <xdr:sp macro="" textlink="">
      <xdr:nvSpPr>
        <xdr:cNvPr id="4" name="正方形/長方形 3">
          <a:extLst>
            <a:ext uri="{FF2B5EF4-FFF2-40B4-BE49-F238E27FC236}">
              <a16:creationId xmlns:a16="http://schemas.microsoft.com/office/drawing/2014/main" id="{37606C98-C604-4E26-A215-967BF29A0DA1}"/>
            </a:ext>
          </a:extLst>
        </xdr:cNvPr>
        <xdr:cNvSpPr/>
      </xdr:nvSpPr>
      <xdr:spPr>
        <a:xfrm>
          <a:off x="20244708" y="19168383"/>
          <a:ext cx="2249261" cy="400049"/>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ysClr val="windowText" lastClr="000000"/>
              </a:solidFill>
            </a:rPr>
            <a:t>黄色塗部：三課</a:t>
          </a:r>
          <a:r>
            <a:rPr kumimoji="1" lang="en-US" altLang="ja-JP" sz="1400">
              <a:solidFill>
                <a:sysClr val="windowText" lastClr="000000"/>
              </a:solidFill>
            </a:rPr>
            <a:t>2</a:t>
          </a:r>
          <a:r>
            <a:rPr kumimoji="1" lang="ja-JP" altLang="en-US" sz="1400">
              <a:solidFill>
                <a:sysClr val="windowText" lastClr="000000"/>
              </a:solidFill>
            </a:rPr>
            <a:t>係記入</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878568</xdr:colOff>
      <xdr:row>186</xdr:row>
      <xdr:rowOff>65768</xdr:rowOff>
    </xdr:from>
    <xdr:to>
      <xdr:col>7</xdr:col>
      <xdr:colOff>798590</xdr:colOff>
      <xdr:row>189</xdr:row>
      <xdr:rowOff>218167</xdr:rowOff>
    </xdr:to>
    <xdr:sp macro="" textlink="">
      <xdr:nvSpPr>
        <xdr:cNvPr id="2" name="AutoShape 7">
          <a:extLst>
            <a:ext uri="{FF2B5EF4-FFF2-40B4-BE49-F238E27FC236}">
              <a16:creationId xmlns:a16="http://schemas.microsoft.com/office/drawing/2014/main" id="{881C7663-C1D2-40B1-ACD2-24A9875B6B73}"/>
            </a:ext>
          </a:extLst>
        </xdr:cNvPr>
        <xdr:cNvSpPr>
          <a:spLocks noChangeArrowheads="1"/>
        </xdr:cNvSpPr>
      </xdr:nvSpPr>
      <xdr:spPr bwMode="auto">
        <a:xfrm>
          <a:off x="3240768" y="31955468"/>
          <a:ext cx="5825522" cy="619124"/>
        </a:xfrm>
        <a:prstGeom prst="wedgeRoundRectCallout">
          <a:avLst>
            <a:gd name="adj1" fmla="val -11444"/>
            <a:gd name="adj2" fmla="val -110713"/>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コントローラ品番（ASSY)には、機種品番(例057**-***00(A25E))</a:t>
          </a:r>
        </a:p>
        <a:p>
          <a:pPr algn="l" rtl="0">
            <a:lnSpc>
              <a:spcPts val="1600"/>
            </a:lnSpc>
            <a:defRPr sz="1000"/>
          </a:pPr>
          <a:r>
            <a:rPr lang="ja-JP" altLang="en-US" sz="1400" b="0" i="0" u="none" strike="noStrike" baseline="0">
              <a:solidFill>
                <a:srgbClr val="000000"/>
              </a:solidFill>
              <a:latin typeface="ＭＳ Ｐゴシック"/>
              <a:ea typeface="ＭＳ Ｐゴシック"/>
            </a:rPr>
            <a:t>のように設定すること</a:t>
          </a:r>
        </a:p>
      </xdr:txBody>
    </xdr:sp>
    <xdr:clientData/>
  </xdr:twoCellAnchor>
  <xdr:twoCellAnchor>
    <xdr:from>
      <xdr:col>7</xdr:col>
      <xdr:colOff>1704431</xdr:colOff>
      <xdr:row>186</xdr:row>
      <xdr:rowOff>3538</xdr:rowOff>
    </xdr:from>
    <xdr:to>
      <xdr:col>9</xdr:col>
      <xdr:colOff>891059</xdr:colOff>
      <xdr:row>189</xdr:row>
      <xdr:rowOff>14998</xdr:rowOff>
    </xdr:to>
    <xdr:sp macro="" textlink="">
      <xdr:nvSpPr>
        <xdr:cNvPr id="3" name="AutoShape 8">
          <a:extLst>
            <a:ext uri="{FF2B5EF4-FFF2-40B4-BE49-F238E27FC236}">
              <a16:creationId xmlns:a16="http://schemas.microsoft.com/office/drawing/2014/main" id="{40E137E0-F6FC-49DD-8CF8-485EB6342BF1}"/>
            </a:ext>
          </a:extLst>
        </xdr:cNvPr>
        <xdr:cNvSpPr>
          <a:spLocks noChangeArrowheads="1"/>
        </xdr:cNvSpPr>
      </xdr:nvSpPr>
      <xdr:spPr bwMode="auto">
        <a:xfrm>
          <a:off x="9448256" y="31893238"/>
          <a:ext cx="2072703" cy="525810"/>
        </a:xfrm>
        <a:prstGeom prst="wedgeRoundRectCallout">
          <a:avLst>
            <a:gd name="adj1" fmla="val -12347"/>
            <a:gd name="adj2" fmla="val -112245"/>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プログラム、パラメータファイルの品番は、コントローラASSYの子部品に設定する</a:t>
          </a:r>
        </a:p>
      </xdr:txBody>
    </xdr:sp>
    <xdr:clientData/>
  </xdr:twoCellAnchor>
  <xdr:twoCellAnchor>
    <xdr:from>
      <xdr:col>14</xdr:col>
      <xdr:colOff>680358</xdr:colOff>
      <xdr:row>50</xdr:row>
      <xdr:rowOff>13608</xdr:rowOff>
    </xdr:from>
    <xdr:to>
      <xdr:col>15</xdr:col>
      <xdr:colOff>1319894</xdr:colOff>
      <xdr:row>51</xdr:row>
      <xdr:rowOff>108857</xdr:rowOff>
    </xdr:to>
    <xdr:sp macro="" textlink="">
      <xdr:nvSpPr>
        <xdr:cNvPr id="4" name="正方形/長方形 3">
          <a:extLst>
            <a:ext uri="{FF2B5EF4-FFF2-40B4-BE49-F238E27FC236}">
              <a16:creationId xmlns:a16="http://schemas.microsoft.com/office/drawing/2014/main" id="{8971C07B-5886-46B6-845D-4851B595C86E}"/>
            </a:ext>
          </a:extLst>
        </xdr:cNvPr>
        <xdr:cNvSpPr/>
      </xdr:nvSpPr>
      <xdr:spPr>
        <a:xfrm>
          <a:off x="17215758" y="8586108"/>
          <a:ext cx="1677761" cy="266699"/>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ysClr val="windowText" lastClr="000000"/>
              </a:solidFill>
            </a:rPr>
            <a:t>黄色塗部：三課</a:t>
          </a:r>
          <a:r>
            <a:rPr kumimoji="1" lang="en-US" altLang="ja-JP" sz="1400">
              <a:solidFill>
                <a:sysClr val="windowText" lastClr="000000"/>
              </a:solidFill>
            </a:rPr>
            <a:t>2</a:t>
          </a:r>
          <a:r>
            <a:rPr kumimoji="1" lang="ja-JP" altLang="en-US" sz="1400">
              <a:solidFill>
                <a:sysClr val="windowText" lastClr="000000"/>
              </a:solidFill>
            </a:rPr>
            <a:t>係記入</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F6BF6-A611-4891-A0B0-2705877FFC23}">
  <sheetPr codeName="Sheet2"/>
  <dimension ref="A1:J237"/>
  <sheetViews>
    <sheetView zoomScaleNormal="100" workbookViewId="0">
      <pane ySplit="1" topLeftCell="A200" activePane="bottomLeft" state="frozen"/>
      <selection pane="bottomLeft" activeCell="E250" sqref="E250"/>
    </sheetView>
  </sheetViews>
  <sheetFormatPr defaultColWidth="15.375" defaultRowHeight="13.5"/>
  <cols>
    <col min="1" max="1" width="9.625" style="167" bestFit="1" customWidth="1"/>
    <col min="2" max="2" width="15.375" style="164"/>
    <col min="3" max="3" width="20.5" style="164" bestFit="1" customWidth="1"/>
    <col min="4" max="4" width="9.125" style="164" bestFit="1" customWidth="1"/>
    <col min="5" max="5" width="24" style="165" customWidth="1"/>
    <col min="6" max="6" width="17" style="164" bestFit="1" customWidth="1"/>
    <col min="7" max="7" width="13.875" style="161" bestFit="1" customWidth="1"/>
    <col min="8" max="8" width="11.5" style="150" bestFit="1" customWidth="1"/>
    <col min="9" max="9" width="9.5" style="168" bestFit="1" customWidth="1"/>
    <col min="10" max="10" width="66.375" style="150" bestFit="1" customWidth="1"/>
    <col min="11" max="16384" width="15.375" style="150"/>
  </cols>
  <sheetData>
    <row r="1" spans="1:10" ht="27" customHeight="1">
      <c r="A1" s="161" t="s">
        <v>1785</v>
      </c>
      <c r="B1" s="164" t="s">
        <v>949</v>
      </c>
      <c r="C1" s="164" t="s">
        <v>547</v>
      </c>
      <c r="D1" s="164" t="s">
        <v>1121</v>
      </c>
      <c r="E1" s="165" t="s">
        <v>1120</v>
      </c>
      <c r="F1" s="164" t="s">
        <v>2</v>
      </c>
      <c r="G1" s="161" t="s">
        <v>251</v>
      </c>
      <c r="H1" s="150" t="s">
        <v>1039</v>
      </c>
      <c r="I1" s="166" t="s">
        <v>1559</v>
      </c>
      <c r="J1" s="150" t="s">
        <v>5</v>
      </c>
    </row>
    <row r="2" spans="1:10">
      <c r="A2" s="167" t="s">
        <v>6</v>
      </c>
      <c r="B2" s="164" t="s">
        <v>1118</v>
      </c>
      <c r="D2" s="164" t="s">
        <v>1122</v>
      </c>
      <c r="E2" s="165" t="s">
        <v>1123</v>
      </c>
      <c r="F2" s="164" t="s">
        <v>7</v>
      </c>
      <c r="G2" s="161" t="s">
        <v>8</v>
      </c>
      <c r="J2" s="150" t="s">
        <v>9</v>
      </c>
    </row>
    <row r="3" spans="1:10" ht="27">
      <c r="A3" s="167" t="s">
        <v>10</v>
      </c>
      <c r="B3" s="164" t="s">
        <v>1118</v>
      </c>
      <c r="D3" s="164" t="s">
        <v>1122</v>
      </c>
      <c r="E3" s="165" t="s">
        <v>1560</v>
      </c>
      <c r="F3" s="164" t="s">
        <v>11</v>
      </c>
      <c r="G3" s="161" t="s">
        <v>12</v>
      </c>
      <c r="I3" s="168">
        <v>33457</v>
      </c>
      <c r="J3" s="150" t="s">
        <v>13</v>
      </c>
    </row>
    <row r="4" spans="1:10" ht="27">
      <c r="A4" s="167" t="s">
        <v>10</v>
      </c>
      <c r="B4" s="164" t="s">
        <v>1118</v>
      </c>
      <c r="D4" s="164" t="s">
        <v>1122</v>
      </c>
      <c r="E4" s="165" t="s">
        <v>1561</v>
      </c>
      <c r="G4" s="161" t="s">
        <v>14</v>
      </c>
      <c r="I4" s="168" t="s">
        <v>15</v>
      </c>
      <c r="J4" s="150" t="s">
        <v>16</v>
      </c>
    </row>
    <row r="5" spans="1:10" ht="27">
      <c r="A5" s="167" t="s">
        <v>10</v>
      </c>
      <c r="B5" s="164" t="s">
        <v>1118</v>
      </c>
      <c r="D5" s="164" t="s">
        <v>1122</v>
      </c>
      <c r="E5" s="165" t="s">
        <v>1560</v>
      </c>
      <c r="G5" s="161" t="s">
        <v>17</v>
      </c>
      <c r="I5" s="168" t="s">
        <v>261</v>
      </c>
      <c r="J5" s="150" t="s">
        <v>13</v>
      </c>
    </row>
    <row r="6" spans="1:10" ht="27">
      <c r="A6" s="167" t="s">
        <v>10</v>
      </c>
      <c r="B6" s="164" t="s">
        <v>1118</v>
      </c>
      <c r="D6" s="164" t="s">
        <v>1122</v>
      </c>
      <c r="E6" s="165" t="s">
        <v>1561</v>
      </c>
      <c r="G6" s="161" t="s">
        <v>18</v>
      </c>
      <c r="I6" s="168" t="s">
        <v>261</v>
      </c>
      <c r="J6" s="150" t="s">
        <v>16</v>
      </c>
    </row>
    <row r="7" spans="1:10" ht="27">
      <c r="A7" s="167" t="s">
        <v>6</v>
      </c>
      <c r="B7" s="164" t="s">
        <v>1118</v>
      </c>
      <c r="D7" s="164" t="s">
        <v>1122</v>
      </c>
      <c r="E7" s="165" t="s">
        <v>1560</v>
      </c>
      <c r="G7" s="161" t="s">
        <v>19</v>
      </c>
      <c r="I7" s="168">
        <v>49074</v>
      </c>
      <c r="J7" s="150" t="s">
        <v>20</v>
      </c>
    </row>
    <row r="8" spans="1:10" ht="27">
      <c r="A8" s="167" t="s">
        <v>6</v>
      </c>
      <c r="B8" s="164" t="s">
        <v>1118</v>
      </c>
      <c r="D8" s="164" t="s">
        <v>1122</v>
      </c>
      <c r="E8" s="165" t="s">
        <v>1561</v>
      </c>
      <c r="G8" s="161" t="s">
        <v>21</v>
      </c>
      <c r="I8" s="168">
        <v>49074</v>
      </c>
      <c r="J8" s="150" t="s">
        <v>22</v>
      </c>
    </row>
    <row r="9" spans="1:10" ht="27">
      <c r="A9" s="167" t="s">
        <v>6</v>
      </c>
      <c r="B9" s="164" t="s">
        <v>1118</v>
      </c>
      <c r="D9" s="164" t="s">
        <v>1122</v>
      </c>
      <c r="E9" s="165" t="s">
        <v>1561</v>
      </c>
      <c r="G9" s="161" t="s">
        <v>23</v>
      </c>
      <c r="I9" s="168">
        <v>43314</v>
      </c>
      <c r="J9" s="150" t="s">
        <v>24</v>
      </c>
    </row>
    <row r="10" spans="1:10" ht="27">
      <c r="A10" s="167" t="s">
        <v>6</v>
      </c>
      <c r="B10" s="164" t="s">
        <v>1118</v>
      </c>
      <c r="D10" s="164" t="s">
        <v>1122</v>
      </c>
      <c r="E10" s="165" t="s">
        <v>1561</v>
      </c>
      <c r="G10" s="161" t="s">
        <v>25</v>
      </c>
      <c r="I10" s="168">
        <v>48731</v>
      </c>
      <c r="J10" s="150" t="s">
        <v>26</v>
      </c>
    </row>
    <row r="11" spans="1:10">
      <c r="B11" s="164" t="s">
        <v>1118</v>
      </c>
      <c r="D11" s="164" t="s">
        <v>1124</v>
      </c>
      <c r="E11" s="165" t="s">
        <v>1598</v>
      </c>
      <c r="F11" s="164" t="s">
        <v>1601</v>
      </c>
      <c r="G11" s="161" t="s">
        <v>1597</v>
      </c>
      <c r="I11" s="168">
        <v>62602</v>
      </c>
      <c r="J11" s="150" t="s">
        <v>1126</v>
      </c>
    </row>
    <row r="12" spans="1:10">
      <c r="B12" s="164" t="s">
        <v>1118</v>
      </c>
      <c r="D12" s="164" t="s">
        <v>1124</v>
      </c>
      <c r="E12" s="165" t="s">
        <v>1598</v>
      </c>
      <c r="G12" s="161" t="s">
        <v>1115</v>
      </c>
      <c r="I12" s="168" t="s">
        <v>1605</v>
      </c>
      <c r="J12" s="150" t="s">
        <v>1127</v>
      </c>
    </row>
    <row r="13" spans="1:10">
      <c r="B13" s="164" t="s">
        <v>1118</v>
      </c>
      <c r="D13" s="164" t="s">
        <v>1124</v>
      </c>
      <c r="E13" s="165" t="s">
        <v>1635</v>
      </c>
      <c r="G13" s="161" t="s">
        <v>1116</v>
      </c>
      <c r="I13" s="168">
        <v>63034</v>
      </c>
      <c r="J13" s="150" t="s">
        <v>1117</v>
      </c>
    </row>
    <row r="14" spans="1:10">
      <c r="B14" s="164" t="s">
        <v>1118</v>
      </c>
      <c r="D14" s="164" t="s">
        <v>1124</v>
      </c>
      <c r="E14" s="165" t="s">
        <v>1141</v>
      </c>
      <c r="F14" s="164" t="s">
        <v>1129</v>
      </c>
      <c r="G14" s="161" t="s">
        <v>1128</v>
      </c>
      <c r="I14" s="168" t="s">
        <v>1132</v>
      </c>
      <c r="J14" s="150" t="s">
        <v>1130</v>
      </c>
    </row>
    <row r="15" spans="1:10">
      <c r="A15" s="167" t="s">
        <v>10</v>
      </c>
      <c r="B15" s="164" t="s">
        <v>1119</v>
      </c>
      <c r="C15" s="164" t="s">
        <v>1787</v>
      </c>
      <c r="D15" s="164" t="s">
        <v>1122</v>
      </c>
      <c r="F15" s="164" t="s">
        <v>27</v>
      </c>
      <c r="G15" s="161" t="s">
        <v>28</v>
      </c>
      <c r="I15" s="168">
        <v>40538</v>
      </c>
      <c r="J15" s="150" t="s">
        <v>29</v>
      </c>
    </row>
    <row r="16" spans="1:10">
      <c r="A16" s="167" t="s">
        <v>10</v>
      </c>
      <c r="B16" s="164" t="s">
        <v>1119</v>
      </c>
      <c r="C16" s="164" t="s">
        <v>1787</v>
      </c>
      <c r="D16" s="164" t="s">
        <v>1122</v>
      </c>
      <c r="F16" s="164" t="s">
        <v>27</v>
      </c>
      <c r="G16" s="161" t="s">
        <v>30</v>
      </c>
      <c r="I16" s="168">
        <v>46235</v>
      </c>
      <c r="J16" s="150" t="s">
        <v>31</v>
      </c>
    </row>
    <row r="17" spans="1:10">
      <c r="A17" s="167" t="s">
        <v>10</v>
      </c>
      <c r="B17" s="164" t="s">
        <v>1119</v>
      </c>
      <c r="C17" s="164" t="s">
        <v>1787</v>
      </c>
      <c r="D17" s="164" t="s">
        <v>1122</v>
      </c>
      <c r="F17" s="164" t="s">
        <v>27</v>
      </c>
      <c r="G17" s="161" t="s">
        <v>32</v>
      </c>
      <c r="I17" s="168">
        <v>46656</v>
      </c>
      <c r="J17" s="150" t="s">
        <v>33</v>
      </c>
    </row>
    <row r="18" spans="1:10">
      <c r="A18" s="167" t="s">
        <v>6</v>
      </c>
      <c r="B18" s="164" t="s">
        <v>1119</v>
      </c>
      <c r="C18" s="164" t="s">
        <v>1787</v>
      </c>
      <c r="D18" s="164" t="s">
        <v>1122</v>
      </c>
      <c r="F18" s="164" t="s">
        <v>27</v>
      </c>
      <c r="G18" s="161" t="s">
        <v>34</v>
      </c>
      <c r="I18" s="168">
        <v>49584</v>
      </c>
      <c r="J18" s="150" t="s">
        <v>35</v>
      </c>
    </row>
    <row r="19" spans="1:10">
      <c r="A19" s="167" t="s">
        <v>10</v>
      </c>
      <c r="B19" s="164" t="s">
        <v>1119</v>
      </c>
      <c r="C19" s="164" t="s">
        <v>1787</v>
      </c>
      <c r="D19" s="164" t="s">
        <v>1122</v>
      </c>
      <c r="F19" s="164" t="s">
        <v>36</v>
      </c>
      <c r="G19" s="161" t="s">
        <v>37</v>
      </c>
      <c r="I19" s="168">
        <v>48185</v>
      </c>
      <c r="J19" s="150" t="s">
        <v>38</v>
      </c>
    </row>
    <row r="20" spans="1:10">
      <c r="A20" s="167" t="s">
        <v>10</v>
      </c>
      <c r="B20" s="164" t="s">
        <v>1119</v>
      </c>
      <c r="C20" s="164" t="s">
        <v>1787</v>
      </c>
      <c r="D20" s="164" t="s">
        <v>1122</v>
      </c>
      <c r="F20" s="164" t="s">
        <v>36</v>
      </c>
      <c r="G20" s="161" t="s">
        <v>39</v>
      </c>
      <c r="I20" s="168">
        <v>52642</v>
      </c>
      <c r="J20" s="150" t="s">
        <v>40</v>
      </c>
    </row>
    <row r="21" spans="1:10">
      <c r="A21" s="167" t="s">
        <v>6</v>
      </c>
      <c r="B21" s="164" t="s">
        <v>1119</v>
      </c>
      <c r="C21" s="164" t="s">
        <v>1787</v>
      </c>
      <c r="D21" s="164" t="s">
        <v>1122</v>
      </c>
      <c r="F21" s="164" t="s">
        <v>36</v>
      </c>
      <c r="G21" s="161" t="s">
        <v>41</v>
      </c>
      <c r="I21" s="168">
        <v>61312</v>
      </c>
      <c r="J21" s="150" t="s">
        <v>42</v>
      </c>
    </row>
    <row r="22" spans="1:10">
      <c r="A22" s="167" t="s">
        <v>10</v>
      </c>
      <c r="B22" s="164" t="s">
        <v>1119</v>
      </c>
      <c r="C22" s="164" t="s">
        <v>1787</v>
      </c>
      <c r="D22" s="164" t="s">
        <v>1122</v>
      </c>
      <c r="F22" s="164" t="s">
        <v>43</v>
      </c>
      <c r="G22" s="161" t="s">
        <v>44</v>
      </c>
      <c r="I22" s="168">
        <v>42160</v>
      </c>
      <c r="J22" s="150" t="s">
        <v>29</v>
      </c>
    </row>
    <row r="23" spans="1:10">
      <c r="A23" s="167" t="s">
        <v>6</v>
      </c>
      <c r="B23" s="164" t="s">
        <v>1119</v>
      </c>
      <c r="C23" s="164" t="s">
        <v>1787</v>
      </c>
      <c r="D23" s="164" t="s">
        <v>1122</v>
      </c>
      <c r="F23" s="164" t="s">
        <v>45</v>
      </c>
      <c r="G23" s="161" t="s">
        <v>46</v>
      </c>
      <c r="I23" s="168">
        <v>45524</v>
      </c>
      <c r="J23" s="150" t="s">
        <v>29</v>
      </c>
    </row>
    <row r="24" spans="1:10">
      <c r="A24" s="167" t="s">
        <v>49</v>
      </c>
      <c r="B24" s="164" t="s">
        <v>1119</v>
      </c>
      <c r="C24" s="164" t="s">
        <v>1787</v>
      </c>
      <c r="D24" s="164" t="s">
        <v>1122</v>
      </c>
      <c r="F24" s="164" t="s">
        <v>50</v>
      </c>
      <c r="G24" s="161" t="s">
        <v>51</v>
      </c>
      <c r="I24" s="168">
        <v>49026</v>
      </c>
      <c r="J24" s="150" t="s">
        <v>29</v>
      </c>
    </row>
    <row r="25" spans="1:10">
      <c r="A25" s="167" t="s">
        <v>10</v>
      </c>
      <c r="B25" s="164" t="s">
        <v>1119</v>
      </c>
      <c r="C25" s="164" t="s">
        <v>1787</v>
      </c>
      <c r="D25" s="164" t="s">
        <v>1122</v>
      </c>
      <c r="F25" s="164" t="s">
        <v>52</v>
      </c>
      <c r="G25" s="161" t="s">
        <v>53</v>
      </c>
      <c r="I25" s="168">
        <v>41019</v>
      </c>
      <c r="J25" s="150" t="s">
        <v>54</v>
      </c>
    </row>
    <row r="26" spans="1:10">
      <c r="A26" s="167" t="s">
        <v>10</v>
      </c>
      <c r="B26" s="164" t="s">
        <v>1119</v>
      </c>
      <c r="C26" s="164" t="s">
        <v>1787</v>
      </c>
      <c r="D26" s="164" t="s">
        <v>1122</v>
      </c>
      <c r="F26" s="164" t="s">
        <v>52</v>
      </c>
      <c r="G26" s="161" t="s">
        <v>55</v>
      </c>
      <c r="I26" s="168">
        <v>42834</v>
      </c>
      <c r="J26" s="150" t="s">
        <v>31</v>
      </c>
    </row>
    <row r="27" spans="1:10">
      <c r="A27" s="167" t="s">
        <v>10</v>
      </c>
      <c r="B27" s="164" t="s">
        <v>1119</v>
      </c>
      <c r="C27" s="164" t="s">
        <v>1787</v>
      </c>
      <c r="D27" s="164" t="s">
        <v>1122</v>
      </c>
      <c r="F27" s="164" t="s">
        <v>52</v>
      </c>
      <c r="G27" s="161" t="s">
        <v>58</v>
      </c>
      <c r="I27" s="168">
        <v>41330</v>
      </c>
      <c r="J27" s="150" t="s">
        <v>59</v>
      </c>
    </row>
    <row r="28" spans="1:10">
      <c r="A28" s="167" t="s">
        <v>65</v>
      </c>
      <c r="B28" s="164" t="s">
        <v>1119</v>
      </c>
      <c r="C28" s="164" t="s">
        <v>1787</v>
      </c>
      <c r="D28" s="164" t="s">
        <v>1122</v>
      </c>
      <c r="F28" s="164" t="s">
        <v>52</v>
      </c>
      <c r="G28" s="161" t="s">
        <v>66</v>
      </c>
      <c r="I28" s="168">
        <v>50770</v>
      </c>
      <c r="J28" s="150" t="s">
        <v>67</v>
      </c>
    </row>
    <row r="29" spans="1:10">
      <c r="A29" s="167" t="s">
        <v>10</v>
      </c>
      <c r="B29" s="164" t="s">
        <v>1119</v>
      </c>
      <c r="C29" s="164" t="s">
        <v>1787</v>
      </c>
      <c r="D29" s="164" t="s">
        <v>1122</v>
      </c>
      <c r="F29" s="164" t="s">
        <v>68</v>
      </c>
      <c r="G29" s="161" t="s">
        <v>69</v>
      </c>
      <c r="I29" s="168">
        <v>43315</v>
      </c>
      <c r="J29" s="150" t="s">
        <v>29</v>
      </c>
    </row>
    <row r="30" spans="1:10">
      <c r="A30" s="167" t="s">
        <v>10</v>
      </c>
      <c r="B30" s="164" t="s">
        <v>1119</v>
      </c>
      <c r="C30" s="164" t="s">
        <v>1787</v>
      </c>
      <c r="D30" s="164" t="s">
        <v>1122</v>
      </c>
      <c r="F30" s="164" t="s">
        <v>70</v>
      </c>
      <c r="G30" s="161" t="s">
        <v>71</v>
      </c>
      <c r="I30" s="168">
        <v>46309</v>
      </c>
      <c r="J30" s="150" t="s">
        <v>72</v>
      </c>
    </row>
    <row r="31" spans="1:10">
      <c r="A31" s="167" t="s">
        <v>10</v>
      </c>
      <c r="B31" s="164" t="s">
        <v>1119</v>
      </c>
      <c r="C31" s="164" t="s">
        <v>1787</v>
      </c>
      <c r="D31" s="164" t="s">
        <v>1122</v>
      </c>
      <c r="F31" s="164" t="s">
        <v>70</v>
      </c>
      <c r="G31" s="161" t="s">
        <v>73</v>
      </c>
      <c r="I31" s="168">
        <v>49525</v>
      </c>
      <c r="J31" s="150" t="s">
        <v>74</v>
      </c>
    </row>
    <row r="32" spans="1:10">
      <c r="A32" s="167" t="s">
        <v>10</v>
      </c>
      <c r="B32" s="164" t="s">
        <v>1119</v>
      </c>
      <c r="C32" s="164" t="s">
        <v>1787</v>
      </c>
      <c r="D32" s="164" t="s">
        <v>1122</v>
      </c>
      <c r="F32" s="164" t="s">
        <v>70</v>
      </c>
      <c r="G32" s="161" t="s">
        <v>75</v>
      </c>
      <c r="I32" s="168">
        <v>51075</v>
      </c>
      <c r="J32" s="150" t="s">
        <v>76</v>
      </c>
    </row>
    <row r="33" spans="1:10">
      <c r="A33" s="167" t="s">
        <v>6</v>
      </c>
      <c r="B33" s="164" t="s">
        <v>1119</v>
      </c>
      <c r="C33" s="164" t="s">
        <v>296</v>
      </c>
      <c r="D33" s="164" t="s">
        <v>1122</v>
      </c>
      <c r="F33" s="164" t="s">
        <v>70</v>
      </c>
      <c r="G33" s="161" t="s">
        <v>77</v>
      </c>
      <c r="I33" s="168">
        <v>43315</v>
      </c>
      <c r="J33" s="150" t="s">
        <v>78</v>
      </c>
    </row>
    <row r="34" spans="1:10">
      <c r="A34" s="167" t="s">
        <v>10</v>
      </c>
      <c r="B34" s="164" t="s">
        <v>1119</v>
      </c>
      <c r="C34" s="164" t="s">
        <v>1787</v>
      </c>
      <c r="D34" s="164" t="s">
        <v>1122</v>
      </c>
      <c r="F34" s="164" t="s">
        <v>79</v>
      </c>
      <c r="G34" s="161" t="s">
        <v>80</v>
      </c>
      <c r="I34" s="168">
        <v>41229</v>
      </c>
      <c r="J34" s="150" t="s">
        <v>29</v>
      </c>
    </row>
    <row r="35" spans="1:10">
      <c r="A35" s="167" t="s">
        <v>10</v>
      </c>
      <c r="B35" s="164" t="s">
        <v>1119</v>
      </c>
      <c r="C35" s="164" t="s">
        <v>1787</v>
      </c>
      <c r="D35" s="164" t="s">
        <v>1122</v>
      </c>
      <c r="F35" s="164" t="s">
        <v>79</v>
      </c>
      <c r="G35" s="161" t="s">
        <v>81</v>
      </c>
      <c r="I35" s="168">
        <v>46010</v>
      </c>
      <c r="J35" s="150" t="s">
        <v>82</v>
      </c>
    </row>
    <row r="36" spans="1:10">
      <c r="A36" s="167" t="s">
        <v>10</v>
      </c>
      <c r="B36" s="164" t="s">
        <v>1119</v>
      </c>
      <c r="C36" s="164" t="s">
        <v>1787</v>
      </c>
      <c r="D36" s="164" t="s">
        <v>1122</v>
      </c>
      <c r="F36" s="164" t="s">
        <v>79</v>
      </c>
      <c r="G36" s="161" t="s">
        <v>84</v>
      </c>
      <c r="I36" s="168">
        <v>46104</v>
      </c>
      <c r="J36" s="150" t="s">
        <v>31</v>
      </c>
    </row>
    <row r="37" spans="1:10">
      <c r="A37" s="167" t="s">
        <v>10</v>
      </c>
      <c r="B37" s="164" t="s">
        <v>1119</v>
      </c>
      <c r="C37" s="164" t="s">
        <v>1787</v>
      </c>
      <c r="D37" s="164" t="s">
        <v>1122</v>
      </c>
      <c r="F37" s="164" t="s">
        <v>79</v>
      </c>
      <c r="G37" s="161" t="s">
        <v>86</v>
      </c>
      <c r="I37" s="168">
        <v>49650</v>
      </c>
      <c r="J37" s="150" t="s">
        <v>87</v>
      </c>
    </row>
    <row r="38" spans="1:10">
      <c r="A38" s="167" t="s">
        <v>6</v>
      </c>
      <c r="B38" s="164" t="s">
        <v>1119</v>
      </c>
      <c r="C38" s="164" t="s">
        <v>1787</v>
      </c>
      <c r="D38" s="164" t="s">
        <v>1122</v>
      </c>
      <c r="F38" s="164" t="s">
        <v>79</v>
      </c>
      <c r="G38" s="161" t="s">
        <v>88</v>
      </c>
      <c r="I38" s="168">
        <v>51239</v>
      </c>
      <c r="J38" s="150" t="s">
        <v>89</v>
      </c>
    </row>
    <row r="39" spans="1:10">
      <c r="A39" s="167" t="s">
        <v>90</v>
      </c>
      <c r="B39" s="164" t="s">
        <v>1119</v>
      </c>
      <c r="C39" s="164" t="s">
        <v>1787</v>
      </c>
      <c r="D39" s="164" t="s">
        <v>1122</v>
      </c>
      <c r="F39" s="164" t="s">
        <v>79</v>
      </c>
      <c r="G39" s="161" t="s">
        <v>91</v>
      </c>
      <c r="I39" s="168">
        <v>47366</v>
      </c>
      <c r="J39" s="150" t="s">
        <v>92</v>
      </c>
    </row>
    <row r="40" spans="1:10">
      <c r="A40" s="167" t="s">
        <v>90</v>
      </c>
      <c r="B40" s="164" t="s">
        <v>1119</v>
      </c>
      <c r="C40" s="164" t="s">
        <v>1787</v>
      </c>
      <c r="D40" s="164" t="s">
        <v>1122</v>
      </c>
      <c r="F40" s="164" t="s">
        <v>79</v>
      </c>
      <c r="G40" s="161" t="s">
        <v>93</v>
      </c>
      <c r="I40" s="168">
        <v>47366</v>
      </c>
      <c r="J40" s="150" t="s">
        <v>94</v>
      </c>
    </row>
    <row r="41" spans="1:10">
      <c r="A41" s="167" t="s">
        <v>90</v>
      </c>
      <c r="B41" s="164" t="s">
        <v>1119</v>
      </c>
      <c r="C41" s="164" t="s">
        <v>1787</v>
      </c>
      <c r="D41" s="164" t="s">
        <v>1122</v>
      </c>
      <c r="F41" s="164" t="s">
        <v>79</v>
      </c>
      <c r="G41" s="161" t="s">
        <v>95</v>
      </c>
      <c r="I41" s="168">
        <v>49853</v>
      </c>
      <c r="J41" s="150" t="s">
        <v>96</v>
      </c>
    </row>
    <row r="42" spans="1:10">
      <c r="A42" s="167" t="s">
        <v>90</v>
      </c>
      <c r="B42" s="164" t="s">
        <v>1119</v>
      </c>
      <c r="C42" s="164" t="s">
        <v>1787</v>
      </c>
      <c r="D42" s="164" t="s">
        <v>1122</v>
      </c>
      <c r="F42" s="164" t="s">
        <v>79</v>
      </c>
      <c r="G42" s="161" t="s">
        <v>97</v>
      </c>
      <c r="I42" s="168">
        <v>49853</v>
      </c>
      <c r="J42" s="150" t="s">
        <v>98</v>
      </c>
    </row>
    <row r="43" spans="1:10">
      <c r="A43" s="167" t="s">
        <v>6</v>
      </c>
      <c r="B43" s="164" t="s">
        <v>1119</v>
      </c>
      <c r="C43" s="164" t="s">
        <v>1787</v>
      </c>
      <c r="D43" s="164" t="s">
        <v>1122</v>
      </c>
      <c r="F43" s="164" t="s">
        <v>493</v>
      </c>
      <c r="G43" s="161" t="s">
        <v>1024</v>
      </c>
      <c r="H43" s="150" t="s">
        <v>1040</v>
      </c>
      <c r="I43" s="168">
        <v>62636</v>
      </c>
      <c r="J43" s="150" t="s">
        <v>1025</v>
      </c>
    </row>
    <row r="44" spans="1:10">
      <c r="A44" s="167" t="s">
        <v>6</v>
      </c>
      <c r="B44" s="164" t="s">
        <v>1119</v>
      </c>
      <c r="C44" s="164" t="s">
        <v>1787</v>
      </c>
      <c r="D44" s="164" t="s">
        <v>1122</v>
      </c>
      <c r="F44" s="164" t="s">
        <v>99</v>
      </c>
      <c r="G44" s="161" t="s">
        <v>100</v>
      </c>
      <c r="I44" s="168">
        <v>49039</v>
      </c>
      <c r="J44" s="150" t="s">
        <v>101</v>
      </c>
    </row>
    <row r="45" spans="1:10">
      <c r="A45" s="167" t="s">
        <v>6</v>
      </c>
      <c r="B45" s="164" t="s">
        <v>1119</v>
      </c>
      <c r="C45" s="164" t="s">
        <v>1787</v>
      </c>
      <c r="D45" s="164" t="s">
        <v>1122</v>
      </c>
      <c r="F45" s="164" t="s">
        <v>99</v>
      </c>
      <c r="G45" s="161" t="s">
        <v>102</v>
      </c>
      <c r="I45" s="168">
        <v>51282</v>
      </c>
      <c r="J45" s="150" t="s">
        <v>103</v>
      </c>
    </row>
    <row r="46" spans="1:10">
      <c r="A46" s="167" t="s">
        <v>10</v>
      </c>
      <c r="B46" s="164" t="s">
        <v>1119</v>
      </c>
      <c r="C46" s="164" t="s">
        <v>1787</v>
      </c>
      <c r="D46" s="164" t="s">
        <v>1122</v>
      </c>
      <c r="F46" s="164" t="s">
        <v>104</v>
      </c>
      <c r="G46" s="161" t="s">
        <v>105</v>
      </c>
      <c r="I46" s="168">
        <v>42074</v>
      </c>
      <c r="J46" s="150" t="s">
        <v>106</v>
      </c>
    </row>
    <row r="47" spans="1:10">
      <c r="A47" s="167" t="s">
        <v>10</v>
      </c>
      <c r="B47" s="164" t="s">
        <v>1119</v>
      </c>
      <c r="C47" s="164" t="s">
        <v>1787</v>
      </c>
      <c r="D47" s="164" t="s">
        <v>1122</v>
      </c>
      <c r="F47" s="164" t="s">
        <v>104</v>
      </c>
      <c r="G47" s="161" t="s">
        <v>107</v>
      </c>
      <c r="I47" s="168">
        <v>42834</v>
      </c>
      <c r="J47" s="150" t="s">
        <v>106</v>
      </c>
    </row>
    <row r="48" spans="1:10">
      <c r="A48" s="167" t="s">
        <v>10</v>
      </c>
      <c r="B48" s="164" t="s">
        <v>1119</v>
      </c>
      <c r="C48" s="164" t="s">
        <v>1787</v>
      </c>
      <c r="D48" s="164" t="s">
        <v>1122</v>
      </c>
      <c r="F48" s="164" t="s">
        <v>104</v>
      </c>
      <c r="G48" s="161" t="s">
        <v>108</v>
      </c>
      <c r="I48" s="168">
        <v>42980</v>
      </c>
      <c r="J48" s="150" t="s">
        <v>109</v>
      </c>
    </row>
    <row r="49" spans="1:10">
      <c r="A49" s="167" t="s">
        <v>10</v>
      </c>
      <c r="B49" s="164" t="s">
        <v>1119</v>
      </c>
      <c r="C49" s="164" t="s">
        <v>1787</v>
      </c>
      <c r="D49" s="164" t="s">
        <v>1122</v>
      </c>
      <c r="F49" s="164" t="s">
        <v>110</v>
      </c>
      <c r="G49" s="161" t="s">
        <v>111</v>
      </c>
      <c r="I49" s="168">
        <v>40000</v>
      </c>
      <c r="J49" s="150" t="s">
        <v>106</v>
      </c>
    </row>
    <row r="50" spans="1:10">
      <c r="A50" s="167" t="s">
        <v>10</v>
      </c>
      <c r="B50" s="164" t="s">
        <v>1119</v>
      </c>
      <c r="C50" s="164" t="s">
        <v>1787</v>
      </c>
      <c r="D50" s="164" t="s">
        <v>1122</v>
      </c>
      <c r="F50" s="164" t="s">
        <v>110</v>
      </c>
      <c r="G50" s="161" t="s">
        <v>112</v>
      </c>
      <c r="I50" s="168">
        <v>42834</v>
      </c>
      <c r="J50" s="150" t="s">
        <v>106</v>
      </c>
    </row>
    <row r="51" spans="1:10">
      <c r="A51" s="167" t="s">
        <v>10</v>
      </c>
      <c r="B51" s="164" t="s">
        <v>1119</v>
      </c>
      <c r="C51" s="164" t="s">
        <v>1787</v>
      </c>
      <c r="D51" s="164" t="s">
        <v>1122</v>
      </c>
      <c r="F51" s="164" t="s">
        <v>113</v>
      </c>
      <c r="G51" s="161" t="s">
        <v>114</v>
      </c>
      <c r="I51" s="168">
        <v>41802</v>
      </c>
    </row>
    <row r="52" spans="1:10">
      <c r="A52" s="167" t="s">
        <v>10</v>
      </c>
      <c r="B52" s="164" t="s">
        <v>1119</v>
      </c>
      <c r="C52" s="164" t="s">
        <v>1787</v>
      </c>
      <c r="D52" s="164" t="s">
        <v>1122</v>
      </c>
      <c r="F52" s="164" t="s">
        <v>113</v>
      </c>
      <c r="G52" s="161" t="s">
        <v>115</v>
      </c>
      <c r="I52" s="168">
        <v>42834</v>
      </c>
      <c r="J52" s="150" t="s">
        <v>116</v>
      </c>
    </row>
    <row r="53" spans="1:10">
      <c r="A53" s="167" t="s">
        <v>10</v>
      </c>
      <c r="B53" s="164" t="s">
        <v>1119</v>
      </c>
      <c r="C53" s="164" t="s">
        <v>1787</v>
      </c>
      <c r="D53" s="164" t="s">
        <v>1122</v>
      </c>
      <c r="F53" s="164" t="s">
        <v>117</v>
      </c>
      <c r="G53" s="161" t="s">
        <v>118</v>
      </c>
      <c r="I53" s="168">
        <v>43962</v>
      </c>
      <c r="J53" s="150" t="s">
        <v>106</v>
      </c>
    </row>
    <row r="54" spans="1:10">
      <c r="A54" s="167" t="s">
        <v>10</v>
      </c>
      <c r="B54" s="164" t="s">
        <v>1119</v>
      </c>
      <c r="C54" s="164" t="s">
        <v>1787</v>
      </c>
      <c r="D54" s="164" t="s">
        <v>1122</v>
      </c>
      <c r="F54" s="164" t="s">
        <v>119</v>
      </c>
      <c r="G54" s="161" t="s">
        <v>120</v>
      </c>
      <c r="I54" s="168">
        <v>46309</v>
      </c>
      <c r="J54" s="150" t="s">
        <v>72</v>
      </c>
    </row>
    <row r="55" spans="1:10">
      <c r="A55" s="167" t="s">
        <v>10</v>
      </c>
      <c r="B55" s="164" t="s">
        <v>1119</v>
      </c>
      <c r="C55" s="164" t="s">
        <v>1787</v>
      </c>
      <c r="D55" s="164" t="s">
        <v>1122</v>
      </c>
      <c r="F55" s="164" t="s">
        <v>119</v>
      </c>
      <c r="G55" s="161" t="s">
        <v>121</v>
      </c>
      <c r="I55" s="168">
        <v>47644</v>
      </c>
      <c r="J55" s="150" t="s">
        <v>122</v>
      </c>
    </row>
    <row r="56" spans="1:10">
      <c r="A56" s="167" t="s">
        <v>10</v>
      </c>
      <c r="B56" s="164" t="s">
        <v>1119</v>
      </c>
      <c r="C56" s="164" t="s">
        <v>1787</v>
      </c>
      <c r="D56" s="164" t="s">
        <v>1122</v>
      </c>
      <c r="F56" s="164" t="s">
        <v>119</v>
      </c>
      <c r="G56" s="161" t="s">
        <v>123</v>
      </c>
      <c r="I56" s="168">
        <v>48495</v>
      </c>
      <c r="J56" s="150" t="s">
        <v>124</v>
      </c>
    </row>
    <row r="57" spans="1:10">
      <c r="A57" s="167" t="s">
        <v>10</v>
      </c>
      <c r="B57" s="164" t="s">
        <v>1119</v>
      </c>
      <c r="C57" s="164" t="s">
        <v>1787</v>
      </c>
      <c r="D57" s="164" t="s">
        <v>1122</v>
      </c>
      <c r="F57" s="164" t="s">
        <v>119</v>
      </c>
      <c r="G57" s="161" t="s">
        <v>125</v>
      </c>
      <c r="I57" s="168">
        <v>48593</v>
      </c>
      <c r="J57" s="150" t="s">
        <v>124</v>
      </c>
    </row>
    <row r="58" spans="1:10">
      <c r="A58" s="167" t="s">
        <v>10</v>
      </c>
      <c r="B58" s="164" t="s">
        <v>1119</v>
      </c>
      <c r="C58" s="164" t="s">
        <v>1787</v>
      </c>
      <c r="D58" s="164" t="s">
        <v>1122</v>
      </c>
      <c r="F58" s="164" t="s">
        <v>119</v>
      </c>
      <c r="G58" s="161" t="s">
        <v>126</v>
      </c>
      <c r="I58" s="168">
        <v>49487</v>
      </c>
      <c r="J58" s="150" t="s">
        <v>127</v>
      </c>
    </row>
    <row r="59" spans="1:10">
      <c r="A59" s="167" t="s">
        <v>10</v>
      </c>
      <c r="B59" s="164" t="s">
        <v>1119</v>
      </c>
      <c r="C59" s="164" t="s">
        <v>1787</v>
      </c>
      <c r="D59" s="164" t="s">
        <v>1122</v>
      </c>
      <c r="F59" s="164" t="s">
        <v>119</v>
      </c>
      <c r="G59" s="161" t="s">
        <v>128</v>
      </c>
      <c r="I59" s="168">
        <v>51075</v>
      </c>
      <c r="J59" s="150" t="s">
        <v>129</v>
      </c>
    </row>
    <row r="60" spans="1:10">
      <c r="A60" s="167" t="s">
        <v>130</v>
      </c>
      <c r="B60" s="164" t="s">
        <v>1119</v>
      </c>
      <c r="C60" s="164" t="s">
        <v>1787</v>
      </c>
      <c r="D60" s="164" t="s">
        <v>1122</v>
      </c>
      <c r="F60" s="164" t="s">
        <v>119</v>
      </c>
      <c r="G60" s="161" t="s">
        <v>131</v>
      </c>
      <c r="I60" s="168">
        <v>61312</v>
      </c>
      <c r="J60" s="150" t="s">
        <v>42</v>
      </c>
    </row>
    <row r="61" spans="1:10">
      <c r="A61" s="167" t="s">
        <v>6</v>
      </c>
      <c r="B61" s="164" t="s">
        <v>1119</v>
      </c>
      <c r="C61" s="164" t="s">
        <v>1787</v>
      </c>
      <c r="D61" s="164" t="s">
        <v>1122</v>
      </c>
      <c r="F61" s="164" t="s">
        <v>132</v>
      </c>
      <c r="G61" s="161" t="s">
        <v>133</v>
      </c>
      <c r="I61" s="168">
        <v>46368</v>
      </c>
      <c r="J61" s="150" t="s">
        <v>48</v>
      </c>
    </row>
    <row r="62" spans="1:10">
      <c r="A62" s="167" t="s">
        <v>6</v>
      </c>
      <c r="B62" s="164" t="s">
        <v>1119</v>
      </c>
      <c r="C62" s="164" t="s">
        <v>1787</v>
      </c>
      <c r="D62" s="164" t="s">
        <v>1122</v>
      </c>
      <c r="F62" s="164" t="s">
        <v>132</v>
      </c>
      <c r="G62" s="161" t="s">
        <v>134</v>
      </c>
      <c r="I62" s="168">
        <v>53559</v>
      </c>
      <c r="J62" s="150" t="s">
        <v>135</v>
      </c>
    </row>
    <row r="63" spans="1:10">
      <c r="A63" s="167" t="s">
        <v>6</v>
      </c>
      <c r="B63" s="164" t="s">
        <v>1119</v>
      </c>
      <c r="C63" s="164" t="s">
        <v>1787</v>
      </c>
      <c r="D63" s="164" t="s">
        <v>1122</v>
      </c>
      <c r="F63" s="164" t="s">
        <v>136</v>
      </c>
      <c r="G63" s="161" t="s">
        <v>137</v>
      </c>
      <c r="I63" s="168">
        <v>42121</v>
      </c>
      <c r="J63" s="150" t="s">
        <v>48</v>
      </c>
    </row>
    <row r="64" spans="1:10">
      <c r="A64" s="167" t="s">
        <v>90</v>
      </c>
      <c r="B64" s="164" t="s">
        <v>1119</v>
      </c>
      <c r="C64" s="164" t="s">
        <v>1787</v>
      </c>
      <c r="D64" s="164" t="s">
        <v>1122</v>
      </c>
      <c r="F64" s="164" t="s">
        <v>136</v>
      </c>
      <c r="G64" s="161" t="s">
        <v>138</v>
      </c>
      <c r="I64" s="168">
        <v>47366</v>
      </c>
      <c r="J64" s="150" t="s">
        <v>139</v>
      </c>
    </row>
    <row r="65" spans="1:10">
      <c r="A65" s="167" t="s">
        <v>6</v>
      </c>
      <c r="B65" s="164" t="s">
        <v>1119</v>
      </c>
      <c r="C65" s="164" t="s">
        <v>1787</v>
      </c>
      <c r="D65" s="164" t="s">
        <v>1122</v>
      </c>
      <c r="F65" s="164" t="s">
        <v>136</v>
      </c>
      <c r="G65" s="161" t="s">
        <v>140</v>
      </c>
      <c r="I65" s="168">
        <v>48878</v>
      </c>
      <c r="J65" s="150" t="s">
        <v>141</v>
      </c>
    </row>
    <row r="66" spans="1:10">
      <c r="A66" s="167" t="s">
        <v>6</v>
      </c>
      <c r="B66" s="164" t="s">
        <v>1119</v>
      </c>
      <c r="C66" s="164" t="s">
        <v>1787</v>
      </c>
      <c r="D66" s="164" t="s">
        <v>1122</v>
      </c>
      <c r="F66" s="164" t="s">
        <v>136</v>
      </c>
      <c r="G66" s="161" t="s">
        <v>142</v>
      </c>
      <c r="I66" s="168">
        <v>49795</v>
      </c>
      <c r="J66" s="150" t="s">
        <v>143</v>
      </c>
    </row>
    <row r="67" spans="1:10">
      <c r="A67" s="167" t="s">
        <v>6</v>
      </c>
      <c r="B67" s="164" t="s">
        <v>1119</v>
      </c>
      <c r="C67" s="164" t="s">
        <v>1787</v>
      </c>
      <c r="D67" s="164" t="s">
        <v>1122</v>
      </c>
      <c r="F67" s="164" t="s">
        <v>803</v>
      </c>
      <c r="G67" s="161" t="s">
        <v>1027</v>
      </c>
      <c r="H67" s="150" t="s">
        <v>1040</v>
      </c>
      <c r="I67" s="168">
        <v>63015</v>
      </c>
      <c r="J67" s="150" t="s">
        <v>1029</v>
      </c>
    </row>
    <row r="68" spans="1:10">
      <c r="A68" s="167" t="s">
        <v>1030</v>
      </c>
      <c r="B68" s="164" t="s">
        <v>1119</v>
      </c>
      <c r="C68" s="164" t="s">
        <v>1787</v>
      </c>
      <c r="D68" s="164" t="s">
        <v>1122</v>
      </c>
      <c r="F68" s="164" t="s">
        <v>497</v>
      </c>
      <c r="G68" s="161" t="s">
        <v>1032</v>
      </c>
      <c r="H68" s="150" t="s">
        <v>1040</v>
      </c>
      <c r="I68" s="168">
        <v>62121</v>
      </c>
      <c r="J68" s="150" t="s">
        <v>1025</v>
      </c>
    </row>
    <row r="69" spans="1:10">
      <c r="A69" s="167" t="s">
        <v>10</v>
      </c>
      <c r="B69" s="164" t="s">
        <v>1119</v>
      </c>
      <c r="C69" s="164" t="s">
        <v>1787</v>
      </c>
      <c r="D69" s="164" t="s">
        <v>1122</v>
      </c>
      <c r="F69" s="164" t="s">
        <v>144</v>
      </c>
      <c r="G69" s="161" t="s">
        <v>145</v>
      </c>
      <c r="I69" s="168">
        <v>40652</v>
      </c>
      <c r="J69" s="150" t="s">
        <v>146</v>
      </c>
    </row>
    <row r="70" spans="1:10">
      <c r="A70" s="167" t="s">
        <v>10</v>
      </c>
      <c r="B70" s="164" t="s">
        <v>1119</v>
      </c>
      <c r="C70" s="164" t="s">
        <v>1787</v>
      </c>
      <c r="D70" s="164" t="s">
        <v>1122</v>
      </c>
      <c r="F70" s="164" t="s">
        <v>147</v>
      </c>
      <c r="G70" s="161" t="s">
        <v>148</v>
      </c>
      <c r="I70" s="168">
        <v>42481</v>
      </c>
      <c r="J70" s="150" t="s">
        <v>149</v>
      </c>
    </row>
    <row r="71" spans="1:10">
      <c r="A71" s="167" t="s">
        <v>6</v>
      </c>
      <c r="B71" s="164" t="s">
        <v>1119</v>
      </c>
      <c r="C71" s="164" t="s">
        <v>1787</v>
      </c>
      <c r="D71" s="164" t="s">
        <v>1122</v>
      </c>
      <c r="F71" s="164" t="s">
        <v>147</v>
      </c>
      <c r="G71" s="161" t="s">
        <v>150</v>
      </c>
      <c r="I71" s="168">
        <v>46235</v>
      </c>
      <c r="J71" s="150" t="s">
        <v>151</v>
      </c>
    </row>
    <row r="72" spans="1:10">
      <c r="A72" s="167" t="s">
        <v>6</v>
      </c>
      <c r="B72" s="164" t="s">
        <v>1119</v>
      </c>
      <c r="C72" s="164" t="s">
        <v>1787</v>
      </c>
      <c r="D72" s="164" t="s">
        <v>1122</v>
      </c>
      <c r="F72" s="164" t="s">
        <v>147</v>
      </c>
      <c r="G72" s="161" t="s">
        <v>152</v>
      </c>
      <c r="I72" s="168">
        <v>53811</v>
      </c>
      <c r="J72" s="150" t="s">
        <v>153</v>
      </c>
    </row>
    <row r="73" spans="1:10">
      <c r="A73" s="167" t="s">
        <v>10</v>
      </c>
      <c r="B73" s="164" t="s">
        <v>1119</v>
      </c>
      <c r="C73" s="164" t="s">
        <v>1787</v>
      </c>
      <c r="D73" s="164" t="s">
        <v>1122</v>
      </c>
      <c r="F73" s="164" t="s">
        <v>154</v>
      </c>
      <c r="G73" s="161" t="s">
        <v>155</v>
      </c>
      <c r="I73" s="168">
        <v>47399</v>
      </c>
    </row>
    <row r="74" spans="1:10">
      <c r="A74" s="167" t="s">
        <v>6</v>
      </c>
      <c r="B74" s="164" t="s">
        <v>1119</v>
      </c>
      <c r="C74" s="164" t="s">
        <v>1787</v>
      </c>
      <c r="D74" s="164" t="s">
        <v>1122</v>
      </c>
      <c r="F74" s="164" t="s">
        <v>1033</v>
      </c>
      <c r="G74" s="161" t="s">
        <v>1036</v>
      </c>
      <c r="H74" s="150" t="s">
        <v>1041</v>
      </c>
      <c r="I74" s="168">
        <v>63015</v>
      </c>
      <c r="J74" s="150" t="s">
        <v>1028</v>
      </c>
    </row>
    <row r="75" spans="1:10">
      <c r="A75" s="167" t="s">
        <v>6</v>
      </c>
      <c r="B75" s="164" t="s">
        <v>1119</v>
      </c>
      <c r="C75" s="164" t="s">
        <v>1787</v>
      </c>
      <c r="D75" s="164" t="s">
        <v>1122</v>
      </c>
      <c r="F75" s="164" t="s">
        <v>1034</v>
      </c>
      <c r="G75" s="161" t="s">
        <v>1038</v>
      </c>
      <c r="H75" s="150" t="s">
        <v>1041</v>
      </c>
      <c r="I75" s="168">
        <v>62121</v>
      </c>
      <c r="J75" s="150" t="s">
        <v>1025</v>
      </c>
    </row>
    <row r="76" spans="1:10">
      <c r="A76" s="167" t="s">
        <v>10</v>
      </c>
      <c r="B76" s="164" t="s">
        <v>1119</v>
      </c>
      <c r="C76" s="164" t="s">
        <v>1787</v>
      </c>
      <c r="D76" s="164" t="s">
        <v>1122</v>
      </c>
      <c r="F76" s="164" t="s">
        <v>156</v>
      </c>
      <c r="G76" s="161" t="s">
        <v>157</v>
      </c>
      <c r="I76" s="168">
        <v>33269</v>
      </c>
    </row>
    <row r="77" spans="1:10">
      <c r="A77" s="167" t="s">
        <v>6</v>
      </c>
      <c r="B77" s="164" t="s">
        <v>1119</v>
      </c>
      <c r="C77" s="164" t="s">
        <v>1787</v>
      </c>
      <c r="D77" s="164" t="s">
        <v>1122</v>
      </c>
      <c r="F77" s="164" t="s">
        <v>156</v>
      </c>
      <c r="G77" s="161" t="s">
        <v>158</v>
      </c>
      <c r="I77" s="168">
        <v>49405</v>
      </c>
      <c r="J77" s="150" t="s">
        <v>159</v>
      </c>
    </row>
    <row r="78" spans="1:10">
      <c r="A78" s="167" t="s">
        <v>6</v>
      </c>
      <c r="B78" s="164" t="s">
        <v>1119</v>
      </c>
      <c r="C78" s="164" t="s">
        <v>1787</v>
      </c>
      <c r="D78" s="164" t="s">
        <v>1122</v>
      </c>
      <c r="F78" s="164" t="s">
        <v>160</v>
      </c>
      <c r="G78" s="161" t="s">
        <v>161</v>
      </c>
      <c r="I78" s="168">
        <v>42494</v>
      </c>
    </row>
    <row r="79" spans="1:10">
      <c r="A79" s="167" t="s">
        <v>6</v>
      </c>
      <c r="B79" s="164" t="s">
        <v>1119</v>
      </c>
      <c r="C79" s="164" t="s">
        <v>1787</v>
      </c>
      <c r="D79" s="164" t="s">
        <v>1122</v>
      </c>
      <c r="F79" s="164" t="s">
        <v>162</v>
      </c>
      <c r="G79" s="161" t="s">
        <v>163</v>
      </c>
      <c r="I79" s="168">
        <v>48569</v>
      </c>
    </row>
    <row r="80" spans="1:10">
      <c r="A80" s="167" t="s">
        <v>49</v>
      </c>
      <c r="B80" s="164" t="s">
        <v>1119</v>
      </c>
      <c r="C80" s="164" t="s">
        <v>1787</v>
      </c>
      <c r="D80" s="164" t="s">
        <v>1122</v>
      </c>
      <c r="F80" s="164" t="s">
        <v>164</v>
      </c>
      <c r="G80" s="161" t="s">
        <v>165</v>
      </c>
      <c r="I80" s="168">
        <v>62633</v>
      </c>
    </row>
    <row r="81" spans="1:10">
      <c r="A81" s="167" t="s">
        <v>6</v>
      </c>
      <c r="B81" s="164" t="s">
        <v>1119</v>
      </c>
      <c r="C81" s="164" t="s">
        <v>1787</v>
      </c>
      <c r="D81" s="164" t="s">
        <v>1122</v>
      </c>
      <c r="F81" s="164" t="s">
        <v>166</v>
      </c>
      <c r="G81" s="161" t="s">
        <v>167</v>
      </c>
      <c r="I81" s="168">
        <v>43950</v>
      </c>
    </row>
    <row r="82" spans="1:10">
      <c r="A82" s="167" t="s">
        <v>6</v>
      </c>
      <c r="B82" s="164" t="s">
        <v>1119</v>
      </c>
      <c r="C82" s="164" t="s">
        <v>1787</v>
      </c>
      <c r="D82" s="164" t="s">
        <v>1122</v>
      </c>
      <c r="F82" s="164" t="s">
        <v>168</v>
      </c>
      <c r="G82" s="161" t="s">
        <v>169</v>
      </c>
      <c r="I82" s="168">
        <v>50567</v>
      </c>
    </row>
    <row r="83" spans="1:10">
      <c r="A83" s="167" t="s">
        <v>49</v>
      </c>
      <c r="B83" s="164" t="s">
        <v>1119</v>
      </c>
      <c r="C83" s="164" t="s">
        <v>1787</v>
      </c>
      <c r="D83" s="164" t="s">
        <v>1122</v>
      </c>
      <c r="F83" s="164" t="s">
        <v>170</v>
      </c>
      <c r="G83" s="161" t="s">
        <v>171</v>
      </c>
      <c r="I83" s="168">
        <v>61666</v>
      </c>
    </row>
    <row r="84" spans="1:10">
      <c r="A84" s="167" t="s">
        <v>49</v>
      </c>
      <c r="B84" s="164" t="s">
        <v>1119</v>
      </c>
      <c r="C84" s="164" t="s">
        <v>1787</v>
      </c>
      <c r="D84" s="164" t="s">
        <v>1122</v>
      </c>
      <c r="F84" s="164" t="s">
        <v>172</v>
      </c>
      <c r="G84" s="161" t="s">
        <v>173</v>
      </c>
      <c r="I84" s="168">
        <v>55600</v>
      </c>
    </row>
    <row r="85" spans="1:10">
      <c r="A85" s="167" t="s">
        <v>49</v>
      </c>
      <c r="B85" s="164" t="s">
        <v>1119</v>
      </c>
      <c r="C85" s="164" t="s">
        <v>1787</v>
      </c>
      <c r="D85" s="164" t="s">
        <v>1122</v>
      </c>
      <c r="F85" s="164" t="s">
        <v>174</v>
      </c>
      <c r="G85" s="161" t="s">
        <v>175</v>
      </c>
      <c r="I85" s="168">
        <v>50187</v>
      </c>
      <c r="J85" s="150" t="s">
        <v>176</v>
      </c>
    </row>
    <row r="86" spans="1:10">
      <c r="A86" s="167" t="s">
        <v>49</v>
      </c>
      <c r="B86" s="164" t="s">
        <v>1119</v>
      </c>
      <c r="C86" s="164" t="s">
        <v>1787</v>
      </c>
      <c r="D86" s="164" t="s">
        <v>1122</v>
      </c>
      <c r="F86" s="164" t="s">
        <v>174</v>
      </c>
      <c r="G86" s="161" t="s">
        <v>177</v>
      </c>
      <c r="H86" s="150" t="s">
        <v>991</v>
      </c>
      <c r="I86" s="168">
        <v>50187</v>
      </c>
      <c r="J86" s="150" t="s">
        <v>178</v>
      </c>
    </row>
    <row r="87" spans="1:10">
      <c r="A87" s="167" t="s">
        <v>49</v>
      </c>
      <c r="B87" s="164" t="s">
        <v>1119</v>
      </c>
      <c r="C87" s="164" t="s">
        <v>1787</v>
      </c>
      <c r="D87" s="164" t="s">
        <v>1122</v>
      </c>
      <c r="F87" s="164" t="s">
        <v>174</v>
      </c>
      <c r="G87" s="161" t="s">
        <v>179</v>
      </c>
      <c r="I87" s="168">
        <v>49119</v>
      </c>
      <c r="J87" s="150" t="s">
        <v>180</v>
      </c>
    </row>
    <row r="88" spans="1:10">
      <c r="A88" s="167" t="s">
        <v>1030</v>
      </c>
      <c r="B88" s="164" t="s">
        <v>1119</v>
      </c>
      <c r="C88" s="164" t="s">
        <v>1787</v>
      </c>
      <c r="D88" s="164" t="s">
        <v>1122</v>
      </c>
      <c r="F88" s="164" t="s">
        <v>174</v>
      </c>
      <c r="G88" s="161" t="s">
        <v>994</v>
      </c>
      <c r="H88" s="150" t="s">
        <v>995</v>
      </c>
      <c r="I88" s="168" t="s">
        <v>1722</v>
      </c>
      <c r="J88" s="150" t="s">
        <v>1042</v>
      </c>
    </row>
    <row r="89" spans="1:10">
      <c r="A89" s="167" t="s">
        <v>990</v>
      </c>
      <c r="B89" s="164" t="s">
        <v>1119</v>
      </c>
      <c r="C89" s="164" t="s">
        <v>1787</v>
      </c>
      <c r="D89" s="164" t="s">
        <v>1122</v>
      </c>
      <c r="F89" s="164" t="s">
        <v>174</v>
      </c>
      <c r="G89" s="161" t="s">
        <v>999</v>
      </c>
      <c r="H89" s="150" t="s">
        <v>1000</v>
      </c>
      <c r="J89" s="150" t="s">
        <v>1002</v>
      </c>
    </row>
    <row r="90" spans="1:10">
      <c r="A90" s="167" t="s">
        <v>990</v>
      </c>
      <c r="B90" s="164" t="s">
        <v>1119</v>
      </c>
      <c r="C90" s="164" t="s">
        <v>1787</v>
      </c>
      <c r="D90" s="164" t="s">
        <v>1122</v>
      </c>
      <c r="F90" s="164" t="s">
        <v>174</v>
      </c>
      <c r="G90" s="161" t="s">
        <v>1003</v>
      </c>
      <c r="H90" s="150" t="s">
        <v>974</v>
      </c>
      <c r="J90" s="150" t="s">
        <v>1005</v>
      </c>
    </row>
    <row r="91" spans="1:10">
      <c r="A91" s="167" t="s">
        <v>990</v>
      </c>
      <c r="B91" s="164" t="s">
        <v>1119</v>
      </c>
      <c r="C91" s="164" t="s">
        <v>1787</v>
      </c>
      <c r="D91" s="164" t="s">
        <v>1122</v>
      </c>
      <c r="F91" s="164" t="s">
        <v>174</v>
      </c>
      <c r="G91" s="161" t="s">
        <v>1006</v>
      </c>
      <c r="H91" s="150" t="s">
        <v>1007</v>
      </c>
      <c r="J91" s="150" t="s">
        <v>1009</v>
      </c>
    </row>
    <row r="92" spans="1:10">
      <c r="A92" s="167" t="s">
        <v>990</v>
      </c>
      <c r="B92" s="164" t="s">
        <v>1119</v>
      </c>
      <c r="C92" s="164" t="s">
        <v>1787</v>
      </c>
      <c r="D92" s="164" t="s">
        <v>1122</v>
      </c>
      <c r="F92" s="164" t="s">
        <v>174</v>
      </c>
      <c r="G92" s="161" t="s">
        <v>1010</v>
      </c>
      <c r="H92" s="150" t="s">
        <v>1011</v>
      </c>
      <c r="I92" s="168">
        <v>62888</v>
      </c>
      <c r="J92" s="150" t="s">
        <v>1013</v>
      </c>
    </row>
    <row r="93" spans="1:10">
      <c r="A93" s="167" t="s">
        <v>49</v>
      </c>
      <c r="B93" s="164" t="s">
        <v>1119</v>
      </c>
      <c r="C93" s="164" t="s">
        <v>1787</v>
      </c>
      <c r="D93" s="164" t="s">
        <v>1122</v>
      </c>
      <c r="F93" s="164" t="s">
        <v>1147</v>
      </c>
      <c r="G93" s="161" t="s">
        <v>181</v>
      </c>
      <c r="I93" s="168">
        <v>60819</v>
      </c>
    </row>
    <row r="94" spans="1:10">
      <c r="A94" s="167" t="s">
        <v>49</v>
      </c>
      <c r="B94" s="164" t="s">
        <v>1119</v>
      </c>
      <c r="C94" s="164" t="s">
        <v>1787</v>
      </c>
      <c r="D94" s="164" t="s">
        <v>1122</v>
      </c>
      <c r="F94" s="164" t="s">
        <v>182</v>
      </c>
      <c r="G94" s="161" t="s">
        <v>1062</v>
      </c>
      <c r="I94" s="168">
        <v>45012</v>
      </c>
    </row>
    <row r="95" spans="1:10">
      <c r="A95" s="167" t="s">
        <v>6</v>
      </c>
      <c r="B95" s="164" t="s">
        <v>1119</v>
      </c>
      <c r="C95" s="164" t="s">
        <v>1787</v>
      </c>
      <c r="D95" s="164" t="s">
        <v>1122</v>
      </c>
      <c r="F95" s="164" t="s">
        <v>183</v>
      </c>
      <c r="G95" s="161" t="s">
        <v>184</v>
      </c>
      <c r="I95" s="168">
        <v>49467</v>
      </c>
    </row>
    <row r="96" spans="1:10">
      <c r="A96" s="167" t="s">
        <v>10</v>
      </c>
      <c r="B96" s="164" t="s">
        <v>1119</v>
      </c>
      <c r="C96" s="164" t="s">
        <v>1787</v>
      </c>
      <c r="D96" s="164" t="s">
        <v>1122</v>
      </c>
      <c r="F96" s="164" t="s">
        <v>185</v>
      </c>
      <c r="G96" s="161" t="s">
        <v>186</v>
      </c>
      <c r="H96" s="164" t="s">
        <v>1806</v>
      </c>
      <c r="I96" s="168">
        <v>40454</v>
      </c>
      <c r="J96" s="150" t="s">
        <v>187</v>
      </c>
    </row>
    <row r="97" spans="1:10">
      <c r="A97" s="167" t="s">
        <v>10</v>
      </c>
      <c r="B97" s="164" t="s">
        <v>1119</v>
      </c>
      <c r="C97" s="164" t="s">
        <v>1787</v>
      </c>
      <c r="D97" s="164" t="s">
        <v>1122</v>
      </c>
      <c r="F97" s="164" t="s">
        <v>185</v>
      </c>
      <c r="G97" s="161" t="s">
        <v>188</v>
      </c>
      <c r="I97" s="168">
        <v>46280</v>
      </c>
      <c r="J97" s="150" t="s">
        <v>189</v>
      </c>
    </row>
    <row r="98" spans="1:10">
      <c r="A98" s="167" t="s">
        <v>10</v>
      </c>
      <c r="B98" s="164" t="s">
        <v>1119</v>
      </c>
      <c r="C98" s="164" t="s">
        <v>1787</v>
      </c>
      <c r="D98" s="164" t="s">
        <v>1122</v>
      </c>
      <c r="F98" s="164" t="s">
        <v>185</v>
      </c>
      <c r="G98" s="161" t="s">
        <v>190</v>
      </c>
      <c r="I98" s="168">
        <v>49853</v>
      </c>
      <c r="J98" s="150" t="s">
        <v>191</v>
      </c>
    </row>
    <row r="99" spans="1:10">
      <c r="A99" s="167" t="s">
        <v>6</v>
      </c>
      <c r="B99" s="164" t="s">
        <v>1119</v>
      </c>
      <c r="C99" s="164" t="s">
        <v>1787</v>
      </c>
      <c r="D99" s="164" t="s">
        <v>1122</v>
      </c>
      <c r="F99" s="164" t="s">
        <v>185</v>
      </c>
      <c r="G99" s="161" t="s">
        <v>192</v>
      </c>
      <c r="H99" s="164" t="s">
        <v>991</v>
      </c>
      <c r="I99" s="168">
        <v>49197</v>
      </c>
      <c r="J99" s="150" t="s">
        <v>193</v>
      </c>
    </row>
    <row r="100" spans="1:10">
      <c r="A100" s="167" t="s">
        <v>10</v>
      </c>
      <c r="B100" s="164" t="s">
        <v>1119</v>
      </c>
      <c r="C100" s="164" t="s">
        <v>1787</v>
      </c>
      <c r="D100" s="164" t="s">
        <v>1122</v>
      </c>
      <c r="F100" s="164" t="s">
        <v>185</v>
      </c>
      <c r="G100" s="161" t="s">
        <v>194</v>
      </c>
      <c r="I100" s="168">
        <v>49853</v>
      </c>
      <c r="J100" s="150" t="s">
        <v>195</v>
      </c>
    </row>
    <row r="101" spans="1:10">
      <c r="A101" s="167" t="s">
        <v>90</v>
      </c>
      <c r="B101" s="164" t="s">
        <v>1119</v>
      </c>
      <c r="C101" s="164" t="s">
        <v>1787</v>
      </c>
      <c r="D101" s="164" t="s">
        <v>1122</v>
      </c>
      <c r="F101" s="164" t="s">
        <v>185</v>
      </c>
      <c r="G101" s="161" t="s">
        <v>196</v>
      </c>
      <c r="H101" s="164" t="s">
        <v>1805</v>
      </c>
      <c r="I101" s="168">
        <v>47466</v>
      </c>
      <c r="J101" s="150" t="s">
        <v>139</v>
      </c>
    </row>
    <row r="102" spans="1:10">
      <c r="A102" s="167" t="s">
        <v>6</v>
      </c>
      <c r="B102" s="164" t="s">
        <v>1119</v>
      </c>
      <c r="C102" s="164" t="s">
        <v>1787</v>
      </c>
      <c r="D102" s="164" t="s">
        <v>1122</v>
      </c>
      <c r="F102" s="164" t="s">
        <v>197</v>
      </c>
      <c r="G102" s="161" t="s">
        <v>198</v>
      </c>
      <c r="H102" s="150" t="s">
        <v>1043</v>
      </c>
      <c r="I102" s="168">
        <v>50132</v>
      </c>
    </row>
    <row r="103" spans="1:10">
      <c r="A103" s="167" t="s">
        <v>6</v>
      </c>
      <c r="B103" s="164" t="s">
        <v>1119</v>
      </c>
      <c r="C103" s="164" t="s">
        <v>1787</v>
      </c>
      <c r="D103" s="164" t="s">
        <v>1122</v>
      </c>
      <c r="F103" s="164" t="s">
        <v>199</v>
      </c>
      <c r="G103" s="161" t="s">
        <v>200</v>
      </c>
      <c r="H103" s="150" t="s">
        <v>1041</v>
      </c>
      <c r="I103" s="168">
        <v>62516</v>
      </c>
      <c r="J103" s="150" t="s">
        <v>201</v>
      </c>
    </row>
    <row r="104" spans="1:10">
      <c r="A104" s="167" t="s">
        <v>6</v>
      </c>
      <c r="B104" s="164" t="s">
        <v>1119</v>
      </c>
      <c r="C104" s="164" t="s">
        <v>1787</v>
      </c>
      <c r="D104" s="164" t="s">
        <v>1122</v>
      </c>
      <c r="F104" s="164" t="s">
        <v>202</v>
      </c>
      <c r="G104" s="161" t="s">
        <v>203</v>
      </c>
      <c r="I104" s="168">
        <v>46038</v>
      </c>
    </row>
    <row r="105" spans="1:10">
      <c r="A105" s="167" t="s">
        <v>6</v>
      </c>
      <c r="B105" s="164" t="s">
        <v>1119</v>
      </c>
      <c r="C105" s="164" t="s">
        <v>1787</v>
      </c>
      <c r="D105" s="164" t="s">
        <v>1122</v>
      </c>
      <c r="F105" s="164" t="s">
        <v>202</v>
      </c>
      <c r="G105" s="161" t="s">
        <v>204</v>
      </c>
      <c r="I105" s="168">
        <v>49165</v>
      </c>
      <c r="J105" s="150" t="s">
        <v>141</v>
      </c>
    </row>
    <row r="106" spans="1:10">
      <c r="A106" s="167" t="s">
        <v>6</v>
      </c>
      <c r="B106" s="164" t="s">
        <v>1119</v>
      </c>
      <c r="C106" s="164" t="s">
        <v>1787</v>
      </c>
      <c r="D106" s="164" t="s">
        <v>1122</v>
      </c>
      <c r="F106" s="164" t="s">
        <v>205</v>
      </c>
      <c r="G106" s="161" t="s">
        <v>206</v>
      </c>
      <c r="I106" s="168">
        <v>46236</v>
      </c>
      <c r="J106" s="150" t="s">
        <v>207</v>
      </c>
    </row>
    <row r="107" spans="1:10">
      <c r="A107" s="167" t="s">
        <v>6</v>
      </c>
      <c r="B107" s="164" t="s">
        <v>1119</v>
      </c>
      <c r="C107" s="164" t="s">
        <v>1787</v>
      </c>
      <c r="D107" s="164" t="s">
        <v>1122</v>
      </c>
      <c r="F107" s="164" t="s">
        <v>205</v>
      </c>
      <c r="G107" s="161" t="s">
        <v>208</v>
      </c>
      <c r="I107" s="168">
        <v>49061</v>
      </c>
      <c r="J107" s="150" t="s">
        <v>141</v>
      </c>
    </row>
    <row r="108" spans="1:10">
      <c r="A108" s="167" t="s">
        <v>10</v>
      </c>
      <c r="B108" s="164" t="s">
        <v>1119</v>
      </c>
      <c r="C108" s="164" t="s">
        <v>1787</v>
      </c>
      <c r="D108" s="164" t="s">
        <v>1122</v>
      </c>
      <c r="F108" s="164" t="s">
        <v>1847</v>
      </c>
      <c r="G108" s="161" t="s">
        <v>210</v>
      </c>
      <c r="I108" s="168">
        <v>33390</v>
      </c>
    </row>
    <row r="109" spans="1:10">
      <c r="A109" s="167" t="s">
        <v>10</v>
      </c>
      <c r="B109" s="164" t="s">
        <v>1119</v>
      </c>
      <c r="C109" s="164" t="s">
        <v>1787</v>
      </c>
      <c r="D109" s="164" t="s">
        <v>1122</v>
      </c>
      <c r="F109" s="164" t="s">
        <v>211</v>
      </c>
      <c r="G109" s="161" t="s">
        <v>212</v>
      </c>
      <c r="I109" s="168">
        <v>45048</v>
      </c>
      <c r="J109" s="150" t="s">
        <v>213</v>
      </c>
    </row>
    <row r="110" spans="1:10">
      <c r="A110" s="167" t="s">
        <v>10</v>
      </c>
      <c r="B110" s="164" t="s">
        <v>1119</v>
      </c>
      <c r="C110" s="164" t="s">
        <v>1787</v>
      </c>
      <c r="D110" s="164" t="s">
        <v>1122</v>
      </c>
      <c r="F110" s="164" t="s">
        <v>211</v>
      </c>
      <c r="G110" s="161" t="s">
        <v>214</v>
      </c>
      <c r="I110" s="168">
        <v>47627</v>
      </c>
      <c r="J110" s="150" t="s">
        <v>213</v>
      </c>
    </row>
    <row r="111" spans="1:10">
      <c r="A111" s="167" t="s">
        <v>6</v>
      </c>
      <c r="B111" s="164" t="s">
        <v>1119</v>
      </c>
      <c r="C111" s="164" t="s">
        <v>1787</v>
      </c>
      <c r="D111" s="164" t="s">
        <v>1122</v>
      </c>
      <c r="F111" s="164" t="s">
        <v>215</v>
      </c>
      <c r="G111" s="161" t="s">
        <v>216</v>
      </c>
      <c r="I111" s="168">
        <v>49082</v>
      </c>
    </row>
    <row r="112" spans="1:10">
      <c r="A112" s="167" t="s">
        <v>10</v>
      </c>
      <c r="B112" s="164" t="s">
        <v>1119</v>
      </c>
      <c r="C112" s="164" t="s">
        <v>1787</v>
      </c>
      <c r="D112" s="164" t="s">
        <v>1122</v>
      </c>
      <c r="F112" s="164" t="s">
        <v>217</v>
      </c>
      <c r="G112" s="161" t="s">
        <v>218</v>
      </c>
      <c r="I112" s="168">
        <v>42615</v>
      </c>
      <c r="J112" s="150" t="s">
        <v>219</v>
      </c>
    </row>
    <row r="113" spans="1:10">
      <c r="A113" s="167" t="s">
        <v>6</v>
      </c>
      <c r="B113" s="164" t="s">
        <v>1119</v>
      </c>
      <c r="C113" s="164" t="s">
        <v>1787</v>
      </c>
      <c r="D113" s="164" t="s">
        <v>1122</v>
      </c>
      <c r="F113" s="164" t="s">
        <v>217</v>
      </c>
      <c r="G113" s="161" t="s">
        <v>220</v>
      </c>
      <c r="I113" s="168">
        <v>45102</v>
      </c>
      <c r="J113" s="150" t="s">
        <v>219</v>
      </c>
    </row>
    <row r="114" spans="1:10">
      <c r="A114" s="167" t="s">
        <v>6</v>
      </c>
      <c r="B114" s="164" t="s">
        <v>1119</v>
      </c>
      <c r="C114" s="164" t="s">
        <v>1787</v>
      </c>
      <c r="D114" s="164" t="s">
        <v>1122</v>
      </c>
      <c r="F114" s="164" t="s">
        <v>217</v>
      </c>
      <c r="G114" s="161" t="s">
        <v>221</v>
      </c>
      <c r="I114" s="168">
        <v>49170</v>
      </c>
      <c r="J114" s="150" t="s">
        <v>222</v>
      </c>
    </row>
    <row r="115" spans="1:10">
      <c r="A115" s="167" t="s">
        <v>6</v>
      </c>
      <c r="B115" s="164" t="s">
        <v>1119</v>
      </c>
      <c r="C115" s="164" t="s">
        <v>1788</v>
      </c>
      <c r="D115" s="164" t="s">
        <v>1122</v>
      </c>
      <c r="F115" s="164" t="s">
        <v>217</v>
      </c>
      <c r="G115" s="161" t="s">
        <v>223</v>
      </c>
      <c r="I115" s="168">
        <v>42615</v>
      </c>
      <c r="J115" s="150" t="s">
        <v>224</v>
      </c>
    </row>
    <row r="116" spans="1:10">
      <c r="A116" s="167" t="s">
        <v>6</v>
      </c>
      <c r="B116" s="164" t="s">
        <v>1119</v>
      </c>
      <c r="C116" s="164" t="s">
        <v>1787</v>
      </c>
      <c r="D116" s="164" t="s">
        <v>1122</v>
      </c>
      <c r="F116" s="164" t="s">
        <v>225</v>
      </c>
      <c r="G116" s="161" t="s">
        <v>226</v>
      </c>
      <c r="I116" s="168">
        <v>52999</v>
      </c>
      <c r="J116" s="150" t="s">
        <v>227</v>
      </c>
    </row>
    <row r="117" spans="1:10">
      <c r="B117" s="164" t="s">
        <v>1119</v>
      </c>
      <c r="C117" s="164" t="s">
        <v>1788</v>
      </c>
      <c r="D117" s="164" t="s">
        <v>1122</v>
      </c>
      <c r="F117" s="164" t="s">
        <v>225</v>
      </c>
      <c r="G117" s="161" t="s">
        <v>228</v>
      </c>
      <c r="I117" s="168">
        <v>52999</v>
      </c>
      <c r="J117" s="150" t="s">
        <v>229</v>
      </c>
    </row>
    <row r="118" spans="1:10">
      <c r="B118" s="164" t="s">
        <v>1119</v>
      </c>
      <c r="C118" s="164" t="s">
        <v>1787</v>
      </c>
      <c r="D118" s="164" t="s">
        <v>1122</v>
      </c>
      <c r="F118" s="164" t="s">
        <v>225</v>
      </c>
      <c r="G118" s="161" t="s">
        <v>230</v>
      </c>
      <c r="I118" s="168">
        <v>52057</v>
      </c>
      <c r="J118" s="150" t="s">
        <v>231</v>
      </c>
    </row>
    <row r="119" spans="1:10">
      <c r="A119" s="167" t="s">
        <v>10</v>
      </c>
      <c r="B119" s="164" t="s">
        <v>1119</v>
      </c>
      <c r="C119" s="164" t="s">
        <v>1787</v>
      </c>
      <c r="D119" s="164" t="s">
        <v>1122</v>
      </c>
      <c r="F119" s="164" t="s">
        <v>232</v>
      </c>
      <c r="G119" s="161" t="s">
        <v>233</v>
      </c>
      <c r="H119" s="150" t="s">
        <v>1043</v>
      </c>
      <c r="I119" s="168">
        <v>54332</v>
      </c>
    </row>
    <row r="120" spans="1:10">
      <c r="A120" s="167" t="s">
        <v>1030</v>
      </c>
      <c r="B120" s="164" t="s">
        <v>1119</v>
      </c>
      <c r="C120" s="164" t="s">
        <v>1787</v>
      </c>
      <c r="D120" s="164" t="s">
        <v>1122</v>
      </c>
      <c r="F120" s="164" t="s">
        <v>232</v>
      </c>
      <c r="G120" s="161" t="s">
        <v>1071</v>
      </c>
      <c r="H120" s="150" t="s">
        <v>1041</v>
      </c>
      <c r="I120" s="168">
        <v>62740</v>
      </c>
      <c r="J120" s="150" t="s">
        <v>1072</v>
      </c>
    </row>
    <row r="121" spans="1:10">
      <c r="A121" s="167" t="s">
        <v>10</v>
      </c>
      <c r="B121" s="164" t="s">
        <v>1119</v>
      </c>
      <c r="C121" s="164" t="s">
        <v>1787</v>
      </c>
      <c r="D121" s="164" t="s">
        <v>1122</v>
      </c>
      <c r="E121" s="165" t="s">
        <v>1707</v>
      </c>
      <c r="F121" s="164" t="s">
        <v>234</v>
      </c>
      <c r="G121" s="161" t="s">
        <v>235</v>
      </c>
      <c r="H121" s="164" t="s">
        <v>1043</v>
      </c>
      <c r="I121" s="168">
        <v>52943</v>
      </c>
      <c r="J121" s="164" t="s">
        <v>219</v>
      </c>
    </row>
    <row r="122" spans="1:10">
      <c r="A122" s="167" t="s">
        <v>10</v>
      </c>
      <c r="B122" s="164" t="s">
        <v>1119</v>
      </c>
      <c r="C122" s="164" t="s">
        <v>1787</v>
      </c>
      <c r="D122" s="164" t="s">
        <v>1122</v>
      </c>
      <c r="E122" s="165" t="s">
        <v>1707</v>
      </c>
      <c r="F122" s="164" t="s">
        <v>234</v>
      </c>
      <c r="G122" s="161" t="s">
        <v>236</v>
      </c>
      <c r="H122" s="164" t="s">
        <v>1043</v>
      </c>
      <c r="I122" s="168">
        <v>56013</v>
      </c>
      <c r="J122" s="164" t="s">
        <v>237</v>
      </c>
    </row>
    <row r="123" spans="1:10">
      <c r="A123" s="167" t="s">
        <v>6</v>
      </c>
      <c r="B123" s="164" t="s">
        <v>1119</v>
      </c>
      <c r="C123" s="164" t="s">
        <v>1787</v>
      </c>
      <c r="D123" s="164" t="s">
        <v>1122</v>
      </c>
      <c r="E123" s="165" t="s">
        <v>1707</v>
      </c>
      <c r="F123" s="164" t="s">
        <v>234</v>
      </c>
      <c r="G123" s="161" t="s">
        <v>238</v>
      </c>
      <c r="H123" s="164" t="s">
        <v>987</v>
      </c>
      <c r="I123" s="168">
        <v>61312</v>
      </c>
      <c r="J123" s="164" t="s">
        <v>239</v>
      </c>
    </row>
    <row r="124" spans="1:10">
      <c r="A124" s="167" t="s">
        <v>6</v>
      </c>
      <c r="B124" s="164" t="s">
        <v>1119</v>
      </c>
      <c r="C124" s="164" t="s">
        <v>1787</v>
      </c>
      <c r="D124" s="164" t="s">
        <v>1122</v>
      </c>
      <c r="E124" s="165" t="s">
        <v>1707</v>
      </c>
      <c r="F124" s="164" t="s">
        <v>234</v>
      </c>
      <c r="G124" s="161" t="s">
        <v>240</v>
      </c>
      <c r="H124" s="164" t="s">
        <v>2072</v>
      </c>
      <c r="I124" s="168">
        <v>61312</v>
      </c>
      <c r="J124" s="164" t="s">
        <v>241</v>
      </c>
    </row>
    <row r="125" spans="1:10">
      <c r="A125" s="167" t="s">
        <v>6</v>
      </c>
      <c r="B125" s="164" t="s">
        <v>1119</v>
      </c>
      <c r="C125" s="164" t="s">
        <v>1788</v>
      </c>
      <c r="D125" s="164" t="s">
        <v>1122</v>
      </c>
      <c r="E125" s="165" t="s">
        <v>654</v>
      </c>
      <c r="F125" s="164" t="s">
        <v>234</v>
      </c>
      <c r="G125" s="161" t="s">
        <v>242</v>
      </c>
      <c r="H125" s="164"/>
      <c r="I125" s="168">
        <v>52943</v>
      </c>
      <c r="J125" s="164" t="s">
        <v>224</v>
      </c>
    </row>
    <row r="126" spans="1:10">
      <c r="A126" s="167" t="s">
        <v>6</v>
      </c>
      <c r="B126" s="164" t="s">
        <v>1119</v>
      </c>
      <c r="C126" s="164" t="s">
        <v>1789</v>
      </c>
      <c r="D126" s="164" t="s">
        <v>1122</v>
      </c>
      <c r="E126" s="165" t="s">
        <v>654</v>
      </c>
      <c r="F126" s="164" t="s">
        <v>234</v>
      </c>
      <c r="G126" s="161" t="s">
        <v>243</v>
      </c>
      <c r="H126" s="164"/>
      <c r="I126" s="168">
        <v>52943</v>
      </c>
      <c r="J126" s="164" t="s">
        <v>244</v>
      </c>
    </row>
    <row r="127" spans="1:10">
      <c r="A127" s="167" t="s">
        <v>10</v>
      </c>
      <c r="B127" s="164" t="s">
        <v>1119</v>
      </c>
      <c r="C127" s="164" t="s">
        <v>1787</v>
      </c>
      <c r="D127" s="164" t="s">
        <v>1122</v>
      </c>
      <c r="E127" s="165" t="s">
        <v>1707</v>
      </c>
      <c r="F127" s="164" t="s">
        <v>245</v>
      </c>
      <c r="G127" s="161" t="s">
        <v>246</v>
      </c>
      <c r="H127" s="164"/>
      <c r="I127" s="168">
        <v>55438</v>
      </c>
      <c r="J127" s="164" t="s">
        <v>219</v>
      </c>
    </row>
    <row r="128" spans="1:10">
      <c r="A128" s="167" t="s">
        <v>10</v>
      </c>
      <c r="B128" s="164" t="s">
        <v>1119</v>
      </c>
      <c r="C128" s="164" t="s">
        <v>1787</v>
      </c>
      <c r="D128" s="164" t="s">
        <v>1122</v>
      </c>
      <c r="E128" s="165" t="s">
        <v>1707</v>
      </c>
      <c r="F128" s="164" t="s">
        <v>245</v>
      </c>
      <c r="G128" s="161" t="s">
        <v>247</v>
      </c>
      <c r="H128" s="164"/>
      <c r="I128" s="168">
        <v>60286</v>
      </c>
      <c r="J128" s="164" t="s">
        <v>237</v>
      </c>
    </row>
    <row r="129" spans="1:10">
      <c r="A129" s="167" t="s">
        <v>6</v>
      </c>
      <c r="B129" s="164" t="s">
        <v>1119</v>
      </c>
      <c r="C129" s="164" t="s">
        <v>1787</v>
      </c>
      <c r="D129" s="164" t="s">
        <v>1122</v>
      </c>
      <c r="E129" s="165" t="s">
        <v>1707</v>
      </c>
      <c r="F129" s="164" t="s">
        <v>245</v>
      </c>
      <c r="G129" s="161" t="s">
        <v>248</v>
      </c>
      <c r="H129" s="164"/>
      <c r="I129" s="168">
        <v>61312</v>
      </c>
      <c r="J129" s="164" t="s">
        <v>42</v>
      </c>
    </row>
    <row r="130" spans="1:10">
      <c r="A130" s="167" t="s">
        <v>6</v>
      </c>
      <c r="B130" s="164" t="s">
        <v>1119</v>
      </c>
      <c r="C130" s="164" t="s">
        <v>1787</v>
      </c>
      <c r="D130" s="164" t="s">
        <v>1122</v>
      </c>
      <c r="E130" s="165" t="s">
        <v>1707</v>
      </c>
      <c r="F130" s="164" t="s">
        <v>245</v>
      </c>
      <c r="G130" s="161" t="s">
        <v>249</v>
      </c>
      <c r="H130" s="164"/>
      <c r="I130" s="168">
        <v>61312</v>
      </c>
      <c r="J130" s="164" t="s">
        <v>250</v>
      </c>
    </row>
    <row r="131" spans="1:10">
      <c r="A131" s="167" t="s">
        <v>6</v>
      </c>
      <c r="B131" s="164" t="s">
        <v>1119</v>
      </c>
      <c r="C131" s="164" t="s">
        <v>1787</v>
      </c>
      <c r="D131" s="164" t="s">
        <v>1122</v>
      </c>
      <c r="E131" s="165" t="s">
        <v>1707</v>
      </c>
      <c r="F131" s="164" t="s">
        <v>1139</v>
      </c>
      <c r="G131" s="161" t="s">
        <v>1144</v>
      </c>
      <c r="I131" s="168">
        <v>54684</v>
      </c>
      <c r="J131" s="164" t="s">
        <v>1130</v>
      </c>
    </row>
    <row r="132" spans="1:10">
      <c r="B132" s="164" t="s">
        <v>1118</v>
      </c>
      <c r="D132" s="164" t="s">
        <v>1122</v>
      </c>
      <c r="E132" s="165" t="s">
        <v>601</v>
      </c>
      <c r="F132" s="164" t="s">
        <v>174</v>
      </c>
      <c r="G132" s="163" t="s">
        <v>603</v>
      </c>
      <c r="I132" s="168">
        <v>49120</v>
      </c>
      <c r="J132" s="164" t="s">
        <v>1434</v>
      </c>
    </row>
    <row r="133" spans="1:10">
      <c r="B133" s="164" t="s">
        <v>1118</v>
      </c>
      <c r="D133" s="164" t="s">
        <v>1122</v>
      </c>
      <c r="E133" s="165" t="s">
        <v>601</v>
      </c>
      <c r="F133" s="164" t="s">
        <v>1154</v>
      </c>
      <c r="G133" s="161" t="s">
        <v>1153</v>
      </c>
      <c r="I133" s="168">
        <v>55360</v>
      </c>
      <c r="J133" s="164" t="s">
        <v>1130</v>
      </c>
    </row>
    <row r="134" spans="1:10">
      <c r="B134" s="164" t="s">
        <v>1166</v>
      </c>
      <c r="D134" s="164" t="s">
        <v>1172</v>
      </c>
      <c r="E134" s="165" t="s">
        <v>1173</v>
      </c>
      <c r="F134" s="164" t="s">
        <v>1174</v>
      </c>
      <c r="G134" s="161" t="s">
        <v>1167</v>
      </c>
      <c r="I134" s="168">
        <v>49087</v>
      </c>
      <c r="J134" s="164" t="s">
        <v>1175</v>
      </c>
    </row>
    <row r="135" spans="1:10">
      <c r="B135" s="164" t="s">
        <v>1166</v>
      </c>
      <c r="D135" s="164" t="s">
        <v>1172</v>
      </c>
      <c r="E135" s="165" t="s">
        <v>1173</v>
      </c>
      <c r="G135" s="161" t="s">
        <v>1168</v>
      </c>
      <c r="I135" s="168">
        <v>49844</v>
      </c>
      <c r="J135" s="164" t="s">
        <v>1181</v>
      </c>
    </row>
    <row r="136" spans="1:10">
      <c r="B136" s="164" t="s">
        <v>1166</v>
      </c>
      <c r="D136" s="164" t="s">
        <v>1172</v>
      </c>
      <c r="E136" s="165" t="s">
        <v>1188</v>
      </c>
      <c r="G136" s="161" t="s">
        <v>1169</v>
      </c>
      <c r="I136" s="168" t="s">
        <v>1191</v>
      </c>
      <c r="J136" s="164" t="s">
        <v>1189</v>
      </c>
    </row>
    <row r="137" spans="1:10">
      <c r="B137" s="164" t="s">
        <v>1166</v>
      </c>
      <c r="D137" s="164" t="s">
        <v>1172</v>
      </c>
      <c r="E137" s="165" t="s">
        <v>1188</v>
      </c>
      <c r="G137" s="161" t="s">
        <v>1170</v>
      </c>
      <c r="I137" s="168">
        <v>50116</v>
      </c>
      <c r="J137" s="164" t="s">
        <v>1192</v>
      </c>
    </row>
    <row r="138" spans="1:10">
      <c r="B138" s="164" t="s">
        <v>1166</v>
      </c>
      <c r="D138" s="164" t="s">
        <v>1172</v>
      </c>
      <c r="E138" s="165" t="s">
        <v>1173</v>
      </c>
      <c r="G138" s="161" t="s">
        <v>1171</v>
      </c>
      <c r="I138" s="168">
        <v>53936</v>
      </c>
      <c r="J138" s="164" t="s">
        <v>1214</v>
      </c>
    </row>
    <row r="139" spans="1:10">
      <c r="B139" s="164" t="s">
        <v>1118</v>
      </c>
      <c r="D139" s="164" t="s">
        <v>1124</v>
      </c>
      <c r="E139" s="165" t="s">
        <v>1219</v>
      </c>
      <c r="F139" s="164" t="s">
        <v>1221</v>
      </c>
      <c r="G139" s="161" t="s">
        <v>1213</v>
      </c>
      <c r="I139" s="168">
        <v>51442</v>
      </c>
      <c r="J139" s="164" t="s">
        <v>1212</v>
      </c>
    </row>
    <row r="140" spans="1:10">
      <c r="B140" s="164" t="s">
        <v>1118</v>
      </c>
      <c r="D140" s="164" t="s">
        <v>1124</v>
      </c>
      <c r="E140" s="165" t="s">
        <v>1596</v>
      </c>
      <c r="F140" s="164" t="s">
        <v>1221</v>
      </c>
      <c r="G140" s="161" t="s">
        <v>1218</v>
      </c>
      <c r="I140" s="168">
        <v>54969</v>
      </c>
      <c r="J140" s="164" t="s">
        <v>1220</v>
      </c>
    </row>
    <row r="141" spans="1:10">
      <c r="B141" s="164" t="s">
        <v>1118</v>
      </c>
      <c r="D141" s="164" t="s">
        <v>1382</v>
      </c>
      <c r="F141" s="164" t="s">
        <v>1228</v>
      </c>
      <c r="G141" s="161" t="s">
        <v>1227</v>
      </c>
      <c r="J141" s="164" t="s">
        <v>29</v>
      </c>
    </row>
    <row r="142" spans="1:10">
      <c r="B142" s="164" t="s">
        <v>1118</v>
      </c>
      <c r="D142" s="164" t="s">
        <v>1382</v>
      </c>
      <c r="F142" s="164" t="s">
        <v>1228</v>
      </c>
      <c r="G142" s="161" t="s">
        <v>1225</v>
      </c>
      <c r="J142" s="164" t="s">
        <v>1226</v>
      </c>
    </row>
    <row r="143" spans="1:10">
      <c r="B143" s="164" t="s">
        <v>1118</v>
      </c>
      <c r="D143" s="164" t="s">
        <v>1382</v>
      </c>
      <c r="E143" s="169"/>
      <c r="F143" s="164" t="s">
        <v>1228</v>
      </c>
      <c r="G143" s="161" t="s">
        <v>1223</v>
      </c>
      <c r="J143" s="164" t="s">
        <v>1224</v>
      </c>
    </row>
    <row r="144" spans="1:10">
      <c r="A144" s="167" t="s">
        <v>6</v>
      </c>
      <c r="B144" s="164" t="s">
        <v>1119</v>
      </c>
      <c r="C144" s="164" t="s">
        <v>1787</v>
      </c>
      <c r="D144" s="164" t="s">
        <v>1122</v>
      </c>
      <c r="E144" s="165" t="s">
        <v>1707</v>
      </c>
      <c r="F144" s="164" t="s">
        <v>234</v>
      </c>
      <c r="G144" s="161" t="s">
        <v>1238</v>
      </c>
      <c r="H144" s="164" t="s">
        <v>991</v>
      </c>
      <c r="I144" s="168">
        <v>63173</v>
      </c>
      <c r="J144" s="150" t="s">
        <v>1244</v>
      </c>
    </row>
    <row r="145" spans="1:10">
      <c r="A145" s="167" t="s">
        <v>6</v>
      </c>
      <c r="B145" s="164" t="s">
        <v>1119</v>
      </c>
      <c r="C145" s="164" t="s">
        <v>1787</v>
      </c>
      <c r="D145" s="164" t="s">
        <v>1122</v>
      </c>
      <c r="E145" s="165" t="s">
        <v>1707</v>
      </c>
      <c r="F145" s="164" t="s">
        <v>234</v>
      </c>
      <c r="G145" s="161" t="s">
        <v>1240</v>
      </c>
      <c r="H145" s="164" t="s">
        <v>991</v>
      </c>
      <c r="I145" s="168">
        <v>63173</v>
      </c>
      <c r="J145" s="150" t="s">
        <v>1245</v>
      </c>
    </row>
    <row r="146" spans="1:10">
      <c r="A146" s="167" t="s">
        <v>6</v>
      </c>
      <c r="B146" s="164" t="s">
        <v>1119</v>
      </c>
      <c r="C146" s="164" t="s">
        <v>1787</v>
      </c>
      <c r="D146" s="164" t="s">
        <v>1122</v>
      </c>
      <c r="E146" s="165" t="s">
        <v>1707</v>
      </c>
      <c r="F146" s="164" t="s">
        <v>245</v>
      </c>
      <c r="G146" s="161" t="s">
        <v>1242</v>
      </c>
      <c r="H146" s="164" t="s">
        <v>991</v>
      </c>
      <c r="I146" s="168">
        <v>63312</v>
      </c>
      <c r="J146" s="150" t="s">
        <v>1244</v>
      </c>
    </row>
    <row r="147" spans="1:10">
      <c r="A147" s="167" t="s">
        <v>6</v>
      </c>
      <c r="B147" s="164" t="s">
        <v>1119</v>
      </c>
      <c r="C147" s="164" t="s">
        <v>1787</v>
      </c>
      <c r="D147" s="164" t="s">
        <v>1122</v>
      </c>
      <c r="E147" s="165" t="s">
        <v>1707</v>
      </c>
      <c r="F147" s="164" t="s">
        <v>245</v>
      </c>
      <c r="G147" s="161" t="s">
        <v>1243</v>
      </c>
      <c r="H147" s="164" t="s">
        <v>991</v>
      </c>
      <c r="I147" s="168">
        <v>63312</v>
      </c>
      <c r="J147" s="150" t="s">
        <v>1245</v>
      </c>
    </row>
    <row r="148" spans="1:10">
      <c r="B148" s="164" t="s">
        <v>1230</v>
      </c>
      <c r="D148" s="164" t="s">
        <v>1122</v>
      </c>
      <c r="F148" s="164" t="s">
        <v>1351</v>
      </c>
      <c r="G148" s="163" t="s">
        <v>1348</v>
      </c>
      <c r="J148" s="150" t="s">
        <v>1349</v>
      </c>
    </row>
    <row r="149" spans="1:10">
      <c r="B149" s="164" t="s">
        <v>1230</v>
      </c>
      <c r="D149" s="164" t="s">
        <v>1122</v>
      </c>
      <c r="F149" s="164" t="s">
        <v>1352</v>
      </c>
      <c r="G149" s="163" t="s">
        <v>1390</v>
      </c>
      <c r="J149" s="150" t="s">
        <v>1350</v>
      </c>
    </row>
    <row r="150" spans="1:10">
      <c r="B150" s="164" t="s">
        <v>1230</v>
      </c>
      <c r="D150" s="164" t="s">
        <v>1122</v>
      </c>
      <c r="F150" s="164" t="s">
        <v>1284</v>
      </c>
      <c r="G150" s="163" t="s">
        <v>1285</v>
      </c>
      <c r="I150" s="168">
        <v>53605</v>
      </c>
      <c r="J150" s="150" t="s">
        <v>1355</v>
      </c>
    </row>
    <row r="151" spans="1:10">
      <c r="B151" s="164" t="s">
        <v>1230</v>
      </c>
      <c r="D151" s="164" t="s">
        <v>1122</v>
      </c>
      <c r="F151" s="164" t="s">
        <v>1337</v>
      </c>
      <c r="G151" s="163" t="s">
        <v>1262</v>
      </c>
    </row>
    <row r="152" spans="1:10">
      <c r="B152" s="164" t="s">
        <v>1230</v>
      </c>
      <c r="D152" s="164" t="s">
        <v>1122</v>
      </c>
      <c r="F152" s="164" t="s">
        <v>1340</v>
      </c>
      <c r="G152" s="149" t="s">
        <v>1286</v>
      </c>
    </row>
    <row r="153" spans="1:10">
      <c r="B153" s="164" t="s">
        <v>1230</v>
      </c>
      <c r="D153" s="164" t="s">
        <v>1122</v>
      </c>
      <c r="F153" s="164" t="s">
        <v>1340</v>
      </c>
      <c r="G153" s="149" t="s">
        <v>1353</v>
      </c>
      <c r="J153" s="150" t="s">
        <v>1354</v>
      </c>
    </row>
    <row r="154" spans="1:10">
      <c r="B154" s="164" t="s">
        <v>1230</v>
      </c>
      <c r="D154" s="164" t="s">
        <v>1122</v>
      </c>
      <c r="F154" s="164" t="s">
        <v>1272</v>
      </c>
      <c r="G154" s="149" t="s">
        <v>1289</v>
      </c>
      <c r="J154" s="150" t="s">
        <v>1355</v>
      </c>
    </row>
    <row r="155" spans="1:10">
      <c r="B155" s="164" t="s">
        <v>1230</v>
      </c>
      <c r="D155" s="164" t="s">
        <v>1122</v>
      </c>
      <c r="F155" s="164" t="s">
        <v>1272</v>
      </c>
      <c r="G155" s="149" t="s">
        <v>1290</v>
      </c>
      <c r="J155" s="150" t="s">
        <v>1354</v>
      </c>
    </row>
    <row r="156" spans="1:10">
      <c r="B156" s="164" t="s">
        <v>1230</v>
      </c>
      <c r="D156" s="164" t="s">
        <v>1122</v>
      </c>
      <c r="F156" s="164" t="s">
        <v>262</v>
      </c>
      <c r="G156" s="163" t="s">
        <v>1259</v>
      </c>
      <c r="J156" s="150" t="s">
        <v>1355</v>
      </c>
    </row>
    <row r="157" spans="1:10">
      <c r="B157" s="164" t="s">
        <v>1230</v>
      </c>
      <c r="D157" s="164" t="s">
        <v>1122</v>
      </c>
      <c r="F157" s="165" t="s">
        <v>1338</v>
      </c>
      <c r="G157" s="149" t="s">
        <v>1288</v>
      </c>
      <c r="I157" s="168">
        <v>41940</v>
      </c>
      <c r="J157" s="150" t="s">
        <v>1355</v>
      </c>
    </row>
    <row r="158" spans="1:10">
      <c r="B158" s="164" t="s">
        <v>1230</v>
      </c>
      <c r="D158" s="164" t="s">
        <v>1122</v>
      </c>
      <c r="F158" s="164" t="s">
        <v>1260</v>
      </c>
      <c r="G158" s="163" t="s">
        <v>1261</v>
      </c>
      <c r="J158" s="150" t="s">
        <v>1355</v>
      </c>
    </row>
    <row r="159" spans="1:10">
      <c r="B159" s="164" t="s">
        <v>1230</v>
      </c>
      <c r="D159" s="164" t="s">
        <v>1122</v>
      </c>
      <c r="F159" s="164" t="s">
        <v>1260</v>
      </c>
      <c r="G159" s="163" t="s">
        <v>1359</v>
      </c>
      <c r="J159" s="150" t="s">
        <v>1354</v>
      </c>
    </row>
    <row r="160" spans="1:10" ht="27">
      <c r="B160" s="164" t="s">
        <v>1230</v>
      </c>
      <c r="D160" s="164" t="s">
        <v>1122</v>
      </c>
      <c r="F160" s="165" t="s">
        <v>1339</v>
      </c>
      <c r="G160" s="149" t="s">
        <v>1287</v>
      </c>
      <c r="I160" s="168">
        <v>54719</v>
      </c>
      <c r="J160" s="150" t="s">
        <v>1354</v>
      </c>
    </row>
    <row r="161" spans="2:10">
      <c r="B161" s="164" t="s">
        <v>1230</v>
      </c>
      <c r="D161" s="164" t="s">
        <v>1122</v>
      </c>
      <c r="F161" s="164" t="s">
        <v>1263</v>
      </c>
      <c r="G161" s="163" t="s">
        <v>1264</v>
      </c>
      <c r="J161" s="150" t="s">
        <v>1355</v>
      </c>
    </row>
    <row r="162" spans="2:10">
      <c r="B162" s="164" t="s">
        <v>1230</v>
      </c>
      <c r="D162" s="164" t="s">
        <v>1122</v>
      </c>
      <c r="F162" s="164" t="s">
        <v>513</v>
      </c>
      <c r="G162" s="163" t="s">
        <v>1258</v>
      </c>
      <c r="I162" s="168">
        <v>41940</v>
      </c>
      <c r="J162" s="150" t="s">
        <v>1360</v>
      </c>
    </row>
    <row r="163" spans="2:10">
      <c r="B163" s="164" t="s">
        <v>1230</v>
      </c>
      <c r="D163" s="164" t="s">
        <v>1122</v>
      </c>
      <c r="F163" s="164" t="s">
        <v>509</v>
      </c>
      <c r="G163" s="163" t="s">
        <v>1273</v>
      </c>
      <c r="J163" s="150" t="s">
        <v>1355</v>
      </c>
    </row>
    <row r="164" spans="2:10">
      <c r="B164" s="164" t="s">
        <v>1230</v>
      </c>
      <c r="D164" s="164" t="s">
        <v>1122</v>
      </c>
      <c r="F164" s="164" t="s">
        <v>1274</v>
      </c>
      <c r="G164" s="163" t="s">
        <v>1275</v>
      </c>
      <c r="J164" s="150" t="s">
        <v>1361</v>
      </c>
    </row>
    <row r="165" spans="2:10">
      <c r="B165" s="164" t="s">
        <v>1230</v>
      </c>
      <c r="D165" s="164" t="s">
        <v>1122</v>
      </c>
      <c r="F165" s="164" t="s">
        <v>1276</v>
      </c>
      <c r="G165" s="163" t="s">
        <v>1277</v>
      </c>
      <c r="J165" s="150" t="s">
        <v>1355</v>
      </c>
    </row>
    <row r="166" spans="2:10">
      <c r="B166" s="164" t="s">
        <v>1230</v>
      </c>
      <c r="D166" s="164" t="s">
        <v>1122</v>
      </c>
      <c r="F166" s="164" t="s">
        <v>1344</v>
      </c>
      <c r="G166" s="163" t="s">
        <v>1281</v>
      </c>
      <c r="J166" s="150" t="s">
        <v>1355</v>
      </c>
    </row>
    <row r="167" spans="2:10">
      <c r="B167" s="164" t="s">
        <v>1230</v>
      </c>
      <c r="D167" s="164" t="s">
        <v>1122</v>
      </c>
      <c r="F167" s="164" t="s">
        <v>1265</v>
      </c>
      <c r="G167" s="163" t="s">
        <v>1266</v>
      </c>
      <c r="J167" s="150" t="s">
        <v>1355</v>
      </c>
    </row>
    <row r="168" spans="2:10">
      <c r="B168" s="164" t="s">
        <v>1230</v>
      </c>
      <c r="D168" s="164" t="s">
        <v>1122</v>
      </c>
      <c r="F168" s="164" t="s">
        <v>1362</v>
      </c>
      <c r="G168" s="163" t="s">
        <v>1363</v>
      </c>
      <c r="J168" s="150" t="s">
        <v>1354</v>
      </c>
    </row>
    <row r="169" spans="2:10">
      <c r="B169" s="164" t="s">
        <v>1230</v>
      </c>
      <c r="D169" s="164" t="s">
        <v>1122</v>
      </c>
      <c r="F169" s="164" t="s">
        <v>1265</v>
      </c>
      <c r="G169" s="163" t="s">
        <v>1364</v>
      </c>
      <c r="J169" s="150" t="s">
        <v>1354</v>
      </c>
    </row>
    <row r="170" spans="2:10">
      <c r="B170" s="164" t="s">
        <v>1230</v>
      </c>
      <c r="D170" s="164" t="s">
        <v>1122</v>
      </c>
      <c r="F170" s="164" t="s">
        <v>185</v>
      </c>
      <c r="G170" s="163" t="s">
        <v>1365</v>
      </c>
      <c r="J170" s="150" t="s">
        <v>1354</v>
      </c>
    </row>
    <row r="171" spans="2:10">
      <c r="B171" s="164" t="s">
        <v>1230</v>
      </c>
      <c r="D171" s="164" t="s">
        <v>1122</v>
      </c>
      <c r="F171" s="164" t="s">
        <v>1282</v>
      </c>
      <c r="G171" s="163" t="s">
        <v>1283</v>
      </c>
      <c r="J171" s="150" t="s">
        <v>1355</v>
      </c>
    </row>
    <row r="172" spans="2:10">
      <c r="B172" s="164" t="s">
        <v>1230</v>
      </c>
      <c r="D172" s="164" t="s">
        <v>1122</v>
      </c>
      <c r="F172" s="164" t="s">
        <v>1254</v>
      </c>
      <c r="G172" s="163" t="s">
        <v>1255</v>
      </c>
      <c r="I172" s="168">
        <v>40471</v>
      </c>
      <c r="J172" s="150" t="s">
        <v>1355</v>
      </c>
    </row>
    <row r="173" spans="2:10">
      <c r="B173" s="164" t="s">
        <v>1230</v>
      </c>
      <c r="D173" s="164" t="s">
        <v>1122</v>
      </c>
      <c r="F173" s="164" t="s">
        <v>1256</v>
      </c>
      <c r="G173" s="163" t="s">
        <v>1257</v>
      </c>
      <c r="I173" s="168">
        <v>41940</v>
      </c>
      <c r="J173" s="150" t="s">
        <v>1355</v>
      </c>
    </row>
    <row r="174" spans="2:10" ht="17.25">
      <c r="B174" s="164" t="s">
        <v>1230</v>
      </c>
      <c r="D174" s="164" t="s">
        <v>1122</v>
      </c>
      <c r="F174" s="170" t="s">
        <v>1280</v>
      </c>
      <c r="G174" s="161" t="s">
        <v>1229</v>
      </c>
      <c r="I174" s="168">
        <v>45920</v>
      </c>
      <c r="J174" s="164" t="s">
        <v>1366</v>
      </c>
    </row>
    <row r="175" spans="2:10">
      <c r="B175" s="164" t="s">
        <v>1230</v>
      </c>
      <c r="D175" s="164" t="s">
        <v>1122</v>
      </c>
      <c r="F175" s="164" t="s">
        <v>1269</v>
      </c>
      <c r="G175" s="149" t="s">
        <v>1294</v>
      </c>
      <c r="J175" s="164" t="s">
        <v>1366</v>
      </c>
    </row>
    <row r="176" spans="2:10">
      <c r="B176" s="164" t="s">
        <v>1230</v>
      </c>
      <c r="D176" s="164" t="s">
        <v>1122</v>
      </c>
      <c r="F176" s="164" t="s">
        <v>1269</v>
      </c>
      <c r="G176" s="149" t="s">
        <v>1295</v>
      </c>
      <c r="J176" s="150" t="s">
        <v>1354</v>
      </c>
    </row>
    <row r="177" spans="2:10">
      <c r="B177" s="164" t="s">
        <v>1230</v>
      </c>
      <c r="D177" s="164" t="s">
        <v>1122</v>
      </c>
      <c r="F177" s="164" t="s">
        <v>1270</v>
      </c>
      <c r="G177" s="163" t="s">
        <v>1271</v>
      </c>
      <c r="J177" s="164" t="s">
        <v>1366</v>
      </c>
    </row>
    <row r="178" spans="2:10">
      <c r="B178" s="164" t="s">
        <v>1230</v>
      </c>
      <c r="D178" s="164" t="s">
        <v>1122</v>
      </c>
      <c r="F178" s="164" t="s">
        <v>1270</v>
      </c>
      <c r="G178" s="163" t="s">
        <v>1367</v>
      </c>
      <c r="J178" s="150" t="s">
        <v>1354</v>
      </c>
    </row>
    <row r="179" spans="2:10">
      <c r="B179" s="164" t="s">
        <v>1230</v>
      </c>
      <c r="D179" s="164" t="s">
        <v>1122</v>
      </c>
      <c r="F179" s="164" t="s">
        <v>1341</v>
      </c>
      <c r="G179" s="161" t="s">
        <v>1267</v>
      </c>
      <c r="J179" s="164" t="s">
        <v>1366</v>
      </c>
    </row>
    <row r="180" spans="2:10">
      <c r="B180" s="164" t="s">
        <v>1230</v>
      </c>
      <c r="D180" s="164" t="s">
        <v>1122</v>
      </c>
      <c r="F180" s="164" t="s">
        <v>1342</v>
      </c>
      <c r="G180" s="163" t="s">
        <v>1268</v>
      </c>
      <c r="J180" s="164" t="s">
        <v>1366</v>
      </c>
    </row>
    <row r="181" spans="2:10">
      <c r="B181" s="164" t="s">
        <v>1230</v>
      </c>
      <c r="D181" s="164" t="s">
        <v>1122</v>
      </c>
      <c r="F181" s="164" t="s">
        <v>1342</v>
      </c>
      <c r="G181" s="163" t="s">
        <v>1373</v>
      </c>
      <c r="J181" s="150" t="s">
        <v>1354</v>
      </c>
    </row>
    <row r="182" spans="2:10">
      <c r="B182" s="164" t="s">
        <v>1230</v>
      </c>
      <c r="D182" s="164" t="s">
        <v>1122</v>
      </c>
      <c r="F182" s="164" t="s">
        <v>1345</v>
      </c>
      <c r="G182" s="161" t="s">
        <v>1278</v>
      </c>
      <c r="J182" s="150" t="s">
        <v>1355</v>
      </c>
    </row>
    <row r="183" spans="2:10">
      <c r="B183" s="164" t="s">
        <v>1230</v>
      </c>
      <c r="D183" s="164" t="s">
        <v>1122</v>
      </c>
      <c r="F183" s="164" t="s">
        <v>160</v>
      </c>
      <c r="G183" s="161" t="s">
        <v>1374</v>
      </c>
      <c r="J183" s="150" t="s">
        <v>1376</v>
      </c>
    </row>
    <row r="184" spans="2:10">
      <c r="B184" s="164" t="s">
        <v>1230</v>
      </c>
      <c r="D184" s="164" t="s">
        <v>1122</v>
      </c>
      <c r="F184" s="164" t="s">
        <v>160</v>
      </c>
      <c r="G184" s="161" t="s">
        <v>1391</v>
      </c>
      <c r="J184" s="150" t="s">
        <v>1375</v>
      </c>
    </row>
    <row r="185" spans="2:10">
      <c r="B185" s="164" t="s">
        <v>1230</v>
      </c>
      <c r="D185" s="164" t="s">
        <v>1122</v>
      </c>
      <c r="F185" s="164" t="s">
        <v>1345</v>
      </c>
      <c r="G185" s="149" t="s">
        <v>1392</v>
      </c>
      <c r="J185" s="150" t="s">
        <v>1355</v>
      </c>
    </row>
    <row r="186" spans="2:10">
      <c r="B186" s="164" t="s">
        <v>1230</v>
      </c>
      <c r="D186" s="164" t="s">
        <v>1122</v>
      </c>
      <c r="F186" s="164" t="s">
        <v>1279</v>
      </c>
      <c r="G186" s="149" t="s">
        <v>1291</v>
      </c>
      <c r="J186" s="150" t="s">
        <v>1355</v>
      </c>
    </row>
    <row r="187" spans="2:10">
      <c r="B187" s="164" t="s">
        <v>1230</v>
      </c>
      <c r="D187" s="164" t="s">
        <v>1122</v>
      </c>
      <c r="F187" s="164" t="s">
        <v>1279</v>
      </c>
      <c r="G187" s="149" t="s">
        <v>1292</v>
      </c>
      <c r="J187" s="150" t="s">
        <v>1354</v>
      </c>
    </row>
    <row r="188" spans="2:10">
      <c r="B188" s="164" t="s">
        <v>1230</v>
      </c>
      <c r="D188" s="164" t="s">
        <v>1122</v>
      </c>
      <c r="F188" s="164" t="s">
        <v>1347</v>
      </c>
      <c r="G188" s="163" t="s">
        <v>1368</v>
      </c>
      <c r="J188" s="150" t="s">
        <v>1369</v>
      </c>
    </row>
    <row r="189" spans="2:10">
      <c r="B189" s="164" t="s">
        <v>1230</v>
      </c>
      <c r="D189" s="164" t="s">
        <v>1122</v>
      </c>
      <c r="F189" s="164" t="s">
        <v>1347</v>
      </c>
      <c r="G189" s="163" t="s">
        <v>1371</v>
      </c>
      <c r="J189" s="150" t="s">
        <v>1370</v>
      </c>
    </row>
    <row r="190" spans="2:10">
      <c r="B190" s="164" t="s">
        <v>1230</v>
      </c>
      <c r="D190" s="164" t="s">
        <v>1122</v>
      </c>
      <c r="F190" s="164" t="s">
        <v>232</v>
      </c>
      <c r="G190" s="163" t="s">
        <v>1393</v>
      </c>
      <c r="J190" s="150" t="s">
        <v>1355</v>
      </c>
    </row>
    <row r="191" spans="2:10">
      <c r="B191" s="164" t="s">
        <v>1230</v>
      </c>
      <c r="D191" s="164" t="s">
        <v>1122</v>
      </c>
      <c r="F191" s="164" t="s">
        <v>232</v>
      </c>
      <c r="G191" s="163" t="s">
        <v>1372</v>
      </c>
      <c r="J191" s="150" t="s">
        <v>1354</v>
      </c>
    </row>
    <row r="192" spans="2:10">
      <c r="B192" s="164" t="s">
        <v>1230</v>
      </c>
      <c r="D192" s="164" t="s">
        <v>1382</v>
      </c>
      <c r="F192" s="164" t="s">
        <v>1394</v>
      </c>
      <c r="G192" s="163" t="s">
        <v>1377</v>
      </c>
      <c r="J192" s="150" t="s">
        <v>1378</v>
      </c>
    </row>
    <row r="193" spans="2:10">
      <c r="B193" s="164" t="s">
        <v>1230</v>
      </c>
      <c r="D193" s="164" t="s">
        <v>1382</v>
      </c>
      <c r="F193" s="164" t="s">
        <v>1379</v>
      </c>
      <c r="G193" s="163" t="s">
        <v>1381</v>
      </c>
      <c r="J193" s="150" t="s">
        <v>1380</v>
      </c>
    </row>
    <row r="194" spans="2:10">
      <c r="B194" s="164" t="s">
        <v>1230</v>
      </c>
      <c r="D194" s="164" t="s">
        <v>1382</v>
      </c>
      <c r="F194" s="164" t="s">
        <v>1384</v>
      </c>
      <c r="G194" s="163" t="s">
        <v>1383</v>
      </c>
      <c r="J194" s="150" t="s">
        <v>1385</v>
      </c>
    </row>
    <row r="195" spans="2:10">
      <c r="B195" s="164" t="s">
        <v>1230</v>
      </c>
      <c r="D195" s="164" t="s">
        <v>1122</v>
      </c>
      <c r="F195" s="164" t="s">
        <v>1343</v>
      </c>
      <c r="G195" s="163" t="s">
        <v>1357</v>
      </c>
      <c r="J195" s="150" t="s">
        <v>1355</v>
      </c>
    </row>
    <row r="196" spans="2:10">
      <c r="B196" s="164" t="s">
        <v>1230</v>
      </c>
      <c r="D196" s="164" t="s">
        <v>1122</v>
      </c>
      <c r="F196" s="164" t="s">
        <v>1343</v>
      </c>
      <c r="G196" s="163" t="s">
        <v>1358</v>
      </c>
      <c r="J196" s="150" t="s">
        <v>1354</v>
      </c>
    </row>
    <row r="197" spans="2:10">
      <c r="B197" s="164" t="s">
        <v>1230</v>
      </c>
      <c r="D197" s="164" t="s">
        <v>1122</v>
      </c>
      <c r="F197" s="164" t="s">
        <v>1346</v>
      </c>
      <c r="G197" s="163" t="s">
        <v>1389</v>
      </c>
      <c r="I197" s="168">
        <v>50307</v>
      </c>
      <c r="J197" s="150" t="s">
        <v>1355</v>
      </c>
    </row>
    <row r="198" spans="2:10">
      <c r="B198" s="164" t="s">
        <v>1230</v>
      </c>
      <c r="D198" s="164" t="s">
        <v>1122</v>
      </c>
      <c r="F198" s="164" t="s">
        <v>1346</v>
      </c>
      <c r="G198" s="163" t="s">
        <v>1356</v>
      </c>
      <c r="I198" s="168">
        <v>54718</v>
      </c>
      <c r="J198" s="150" t="s">
        <v>1354</v>
      </c>
    </row>
    <row r="199" spans="2:10">
      <c r="B199" s="164" t="s">
        <v>1230</v>
      </c>
      <c r="D199" s="164" t="s">
        <v>1641</v>
      </c>
      <c r="F199" s="164" t="s">
        <v>1386</v>
      </c>
      <c r="G199" s="163" t="s">
        <v>1388</v>
      </c>
      <c r="J199" s="150" t="s">
        <v>1387</v>
      </c>
    </row>
    <row r="200" spans="2:10">
      <c r="B200" s="164" t="s">
        <v>1312</v>
      </c>
      <c r="D200" s="164" t="s">
        <v>1313</v>
      </c>
      <c r="F200" s="164" t="s">
        <v>1320</v>
      </c>
      <c r="G200" s="163" t="s">
        <v>1315</v>
      </c>
      <c r="I200" s="168" t="s">
        <v>1316</v>
      </c>
      <c r="J200" s="150" t="s">
        <v>1334</v>
      </c>
    </row>
    <row r="201" spans="2:10">
      <c r="B201" s="164" t="s">
        <v>1312</v>
      </c>
      <c r="D201" s="164" t="s">
        <v>1313</v>
      </c>
      <c r="F201" s="164" t="s">
        <v>1320</v>
      </c>
      <c r="G201" s="163" t="s">
        <v>1336</v>
      </c>
      <c r="I201" s="168" t="s">
        <v>1330</v>
      </c>
      <c r="J201" s="150" t="s">
        <v>1335</v>
      </c>
    </row>
    <row r="202" spans="2:10">
      <c r="B202" s="164" t="s">
        <v>1118</v>
      </c>
      <c r="D202" s="164" t="s">
        <v>1122</v>
      </c>
      <c r="E202" s="165" t="s">
        <v>601</v>
      </c>
      <c r="F202" s="164" t="s">
        <v>172</v>
      </c>
      <c r="G202" s="163" t="s">
        <v>1407</v>
      </c>
      <c r="I202" s="168">
        <v>63567</v>
      </c>
      <c r="J202" s="150" t="s">
        <v>1408</v>
      </c>
    </row>
    <row r="203" spans="2:10">
      <c r="B203" s="164" t="s">
        <v>1119</v>
      </c>
      <c r="C203" s="164" t="s">
        <v>1787</v>
      </c>
      <c r="D203" s="164" t="s">
        <v>1122</v>
      </c>
      <c r="E203" s="165" t="s">
        <v>1448</v>
      </c>
      <c r="F203" s="164" t="s">
        <v>1445</v>
      </c>
      <c r="G203" s="163" t="s">
        <v>1444</v>
      </c>
      <c r="H203" s="150" t="s">
        <v>1447</v>
      </c>
      <c r="I203" s="168">
        <v>63310</v>
      </c>
      <c r="J203" s="150" t="s">
        <v>1446</v>
      </c>
    </row>
    <row r="204" spans="2:10">
      <c r="B204" s="164" t="s">
        <v>1118</v>
      </c>
      <c r="D204" s="164" t="s">
        <v>1640</v>
      </c>
      <c r="E204" s="165" t="s">
        <v>1650</v>
      </c>
      <c r="F204" s="164" t="s">
        <v>1696</v>
      </c>
      <c r="G204" s="163" t="s">
        <v>1454</v>
      </c>
      <c r="H204" s="164" t="s">
        <v>1478</v>
      </c>
      <c r="I204" s="168" t="s">
        <v>1465</v>
      </c>
      <c r="J204" s="150" t="s">
        <v>1455</v>
      </c>
    </row>
    <row r="205" spans="2:10">
      <c r="B205" s="164" t="s">
        <v>1118</v>
      </c>
      <c r="D205" s="164" t="s">
        <v>1640</v>
      </c>
      <c r="E205" s="165" t="s">
        <v>1650</v>
      </c>
      <c r="F205" s="164" t="s">
        <v>1696</v>
      </c>
      <c r="G205" s="161" t="s">
        <v>1480</v>
      </c>
      <c r="H205" s="150" t="s">
        <v>1481</v>
      </c>
      <c r="I205" s="168">
        <v>61205</v>
      </c>
      <c r="J205" s="150" t="s">
        <v>1482</v>
      </c>
    </row>
    <row r="206" spans="2:10">
      <c r="B206" s="164" t="s">
        <v>1495</v>
      </c>
      <c r="D206" s="164" t="s">
        <v>1122</v>
      </c>
      <c r="E206" s="165" t="s">
        <v>1496</v>
      </c>
      <c r="G206" s="163" t="s">
        <v>1494</v>
      </c>
      <c r="I206" s="168">
        <v>62014</v>
      </c>
    </row>
    <row r="207" spans="2:10">
      <c r="B207" s="164" t="s">
        <v>1230</v>
      </c>
      <c r="D207" s="164" t="s">
        <v>1122</v>
      </c>
      <c r="F207" s="164" t="s">
        <v>170</v>
      </c>
      <c r="G207" s="163" t="s">
        <v>1549</v>
      </c>
      <c r="I207" s="168">
        <v>61457</v>
      </c>
      <c r="J207" s="150" t="s">
        <v>1550</v>
      </c>
    </row>
    <row r="208" spans="2:10">
      <c r="B208" s="164" t="s">
        <v>1118</v>
      </c>
      <c r="D208" s="164" t="s">
        <v>1122</v>
      </c>
      <c r="E208" s="165" t="s">
        <v>1587</v>
      </c>
      <c r="F208" s="164" t="s">
        <v>197</v>
      </c>
      <c r="G208" s="163" t="s">
        <v>1563</v>
      </c>
      <c r="I208" s="168" t="s">
        <v>1567</v>
      </c>
      <c r="J208" s="150" t="s">
        <v>1566</v>
      </c>
    </row>
    <row r="209" spans="2:10">
      <c r="B209" s="164" t="s">
        <v>1118</v>
      </c>
      <c r="D209" s="164" t="s">
        <v>1122</v>
      </c>
      <c r="E209" s="165" t="s">
        <v>1706</v>
      </c>
      <c r="F209" s="164" t="s">
        <v>197</v>
      </c>
      <c r="G209" s="161" t="s">
        <v>1565</v>
      </c>
      <c r="I209" s="168">
        <v>61035</v>
      </c>
      <c r="J209" s="150" t="s">
        <v>1566</v>
      </c>
    </row>
    <row r="210" spans="2:10">
      <c r="B210" s="164" t="s">
        <v>1118</v>
      </c>
      <c r="D210" s="164" t="s">
        <v>1640</v>
      </c>
      <c r="E210" s="165" t="s">
        <v>1650</v>
      </c>
      <c r="F210" s="164" t="s">
        <v>232</v>
      </c>
      <c r="G210" s="161" t="s">
        <v>1675</v>
      </c>
      <c r="I210" s="168" t="s">
        <v>1330</v>
      </c>
      <c r="J210" s="150" t="s">
        <v>1608</v>
      </c>
    </row>
    <row r="211" spans="2:10">
      <c r="B211" s="164" t="s">
        <v>1118</v>
      </c>
      <c r="D211" s="164" t="s">
        <v>1640</v>
      </c>
      <c r="E211" s="165" t="s">
        <v>1650</v>
      </c>
      <c r="F211" s="164" t="s">
        <v>1657</v>
      </c>
      <c r="G211" s="161" t="s">
        <v>1647</v>
      </c>
      <c r="H211" s="164" t="s">
        <v>1651</v>
      </c>
      <c r="I211" s="168">
        <v>54713</v>
      </c>
      <c r="J211" s="164" t="s">
        <v>1652</v>
      </c>
    </row>
    <row r="212" spans="2:10">
      <c r="B212" s="164" t="s">
        <v>1118</v>
      </c>
      <c r="D212" s="164" t="s">
        <v>1640</v>
      </c>
      <c r="E212" s="165" t="s">
        <v>1650</v>
      </c>
      <c r="F212" s="164" t="s">
        <v>1644</v>
      </c>
      <c r="G212" s="161" t="s">
        <v>1649</v>
      </c>
      <c r="H212" s="164" t="s">
        <v>1481</v>
      </c>
      <c r="I212" s="168">
        <v>61205</v>
      </c>
      <c r="J212" s="150" t="s">
        <v>1482</v>
      </c>
    </row>
    <row r="213" spans="2:10">
      <c r="B213" s="164" t="s">
        <v>1118</v>
      </c>
      <c r="D213" s="164" t="s">
        <v>1640</v>
      </c>
      <c r="E213" s="165" t="s">
        <v>1650</v>
      </c>
      <c r="F213" s="164" t="s">
        <v>1645</v>
      </c>
      <c r="G213" s="161" t="s">
        <v>1677</v>
      </c>
      <c r="H213" s="164" t="s">
        <v>1651</v>
      </c>
      <c r="I213" s="168" t="s">
        <v>1689</v>
      </c>
    </row>
    <row r="214" spans="2:10">
      <c r="B214" s="164" t="s">
        <v>1118</v>
      </c>
      <c r="D214" s="164" t="s">
        <v>1640</v>
      </c>
      <c r="E214" s="165" t="s">
        <v>1650</v>
      </c>
      <c r="F214" s="164" t="s">
        <v>1645</v>
      </c>
      <c r="G214" s="161" t="s">
        <v>1679</v>
      </c>
      <c r="H214" s="164" t="s">
        <v>1481</v>
      </c>
      <c r="I214" s="168">
        <v>61205</v>
      </c>
    </row>
    <row r="215" spans="2:10">
      <c r="B215" s="164" t="s">
        <v>1786</v>
      </c>
      <c r="C215" s="164" t="s">
        <v>1727</v>
      </c>
      <c r="D215" s="164" t="s">
        <v>1728</v>
      </c>
      <c r="F215" s="164" t="s">
        <v>1729</v>
      </c>
      <c r="G215" s="161" t="s">
        <v>1731</v>
      </c>
      <c r="I215" s="168" t="s">
        <v>1736</v>
      </c>
      <c r="J215" s="150" t="s">
        <v>1734</v>
      </c>
    </row>
    <row r="216" spans="2:10">
      <c r="B216" s="164" t="s">
        <v>1786</v>
      </c>
      <c r="C216" s="164" t="s">
        <v>1742</v>
      </c>
      <c r="D216" s="164" t="s">
        <v>1728</v>
      </c>
      <c r="F216" s="164" t="s">
        <v>1729</v>
      </c>
      <c r="G216" s="161" t="s">
        <v>1733</v>
      </c>
      <c r="I216" s="168" t="s">
        <v>1736</v>
      </c>
      <c r="J216" s="150" t="s">
        <v>1734</v>
      </c>
    </row>
    <row r="217" spans="2:10">
      <c r="B217" s="164" t="s">
        <v>1786</v>
      </c>
      <c r="C217" s="164" t="s">
        <v>1727</v>
      </c>
      <c r="D217" s="164" t="s">
        <v>1728</v>
      </c>
      <c r="F217" s="164" t="s">
        <v>471</v>
      </c>
      <c r="G217" s="161" t="s">
        <v>1749</v>
      </c>
      <c r="I217" s="168">
        <v>63967</v>
      </c>
      <c r="J217" s="150" t="s">
        <v>1748</v>
      </c>
    </row>
    <row r="218" spans="2:10">
      <c r="B218" s="164" t="s">
        <v>1786</v>
      </c>
      <c r="C218" s="164" t="s">
        <v>1742</v>
      </c>
      <c r="D218" s="164" t="s">
        <v>1728</v>
      </c>
      <c r="F218" s="164" t="s">
        <v>471</v>
      </c>
      <c r="G218" s="161" t="s">
        <v>1750</v>
      </c>
      <c r="I218" s="168">
        <v>63967</v>
      </c>
      <c r="J218" s="150" t="s">
        <v>1748</v>
      </c>
    </row>
    <row r="219" spans="2:10">
      <c r="B219" s="164" t="s">
        <v>1119</v>
      </c>
      <c r="C219" s="164" t="s">
        <v>1787</v>
      </c>
      <c r="D219" s="164" t="s">
        <v>1122</v>
      </c>
      <c r="E219" s="165" t="s">
        <v>1757</v>
      </c>
      <c r="F219" s="164" t="s">
        <v>1756</v>
      </c>
      <c r="G219" s="161" t="s">
        <v>1754</v>
      </c>
    </row>
    <row r="220" spans="2:10">
      <c r="B220" s="164" t="s">
        <v>1119</v>
      </c>
      <c r="C220" s="164" t="s">
        <v>1787</v>
      </c>
      <c r="D220" s="164" t="s">
        <v>1122</v>
      </c>
      <c r="E220" s="165" t="s">
        <v>1758</v>
      </c>
      <c r="F220" s="164" t="s">
        <v>1756</v>
      </c>
      <c r="G220" s="161" t="s">
        <v>1755</v>
      </c>
    </row>
    <row r="221" spans="2:10">
      <c r="B221" s="164" t="s">
        <v>1118</v>
      </c>
      <c r="D221" s="164" t="s">
        <v>1124</v>
      </c>
      <c r="E221" s="165" t="s">
        <v>1598</v>
      </c>
      <c r="F221" s="164" t="s">
        <v>1601</v>
      </c>
      <c r="G221" s="161" t="s">
        <v>1746</v>
      </c>
      <c r="J221" s="150" t="s">
        <v>1747</v>
      </c>
    </row>
    <row r="222" spans="2:10">
      <c r="B222" s="164" t="s">
        <v>1119</v>
      </c>
      <c r="C222" s="164" t="s">
        <v>1787</v>
      </c>
      <c r="D222" s="164" t="s">
        <v>1122</v>
      </c>
      <c r="E222" s="165" t="s">
        <v>1707</v>
      </c>
      <c r="F222" s="164" t="s">
        <v>1138</v>
      </c>
      <c r="G222" s="161" t="s">
        <v>1776</v>
      </c>
      <c r="I222" s="168">
        <v>60834</v>
      </c>
      <c r="J222" s="150" t="s">
        <v>187</v>
      </c>
    </row>
    <row r="223" spans="2:10">
      <c r="B223" s="164" t="s">
        <v>1118</v>
      </c>
      <c r="C223" s="164" t="s">
        <v>1807</v>
      </c>
      <c r="D223" s="164" t="s">
        <v>1124</v>
      </c>
      <c r="E223" s="165" t="s">
        <v>1598</v>
      </c>
      <c r="F223" s="164" t="s">
        <v>1808</v>
      </c>
      <c r="G223" s="161" t="s">
        <v>1809</v>
      </c>
      <c r="H223" s="164" t="s">
        <v>1810</v>
      </c>
      <c r="I223" s="168">
        <v>60847</v>
      </c>
    </row>
    <row r="224" spans="2:10">
      <c r="B224" s="164" t="s">
        <v>1851</v>
      </c>
      <c r="C224" s="164" t="s">
        <v>1851</v>
      </c>
      <c r="D224" s="164" t="s">
        <v>1851</v>
      </c>
      <c r="E224" s="165" t="s">
        <v>1851</v>
      </c>
      <c r="F224" s="164" t="s">
        <v>1851</v>
      </c>
      <c r="G224" s="161" t="s">
        <v>1850</v>
      </c>
      <c r="H224" s="150" t="s">
        <v>1851</v>
      </c>
      <c r="J224" s="150" t="s">
        <v>1851</v>
      </c>
    </row>
    <row r="225" spans="2:10">
      <c r="B225" s="164" t="s">
        <v>2033</v>
      </c>
      <c r="C225" s="164" t="s">
        <v>2033</v>
      </c>
      <c r="D225" s="164" t="s">
        <v>2034</v>
      </c>
      <c r="E225" s="165" t="s">
        <v>2036</v>
      </c>
      <c r="G225" s="161" t="s">
        <v>2032</v>
      </c>
      <c r="I225" s="168">
        <v>54760</v>
      </c>
      <c r="J225" s="150" t="s">
        <v>2044</v>
      </c>
    </row>
    <row r="226" spans="2:10">
      <c r="B226" s="164" t="s">
        <v>2033</v>
      </c>
      <c r="C226" s="164" t="s">
        <v>2033</v>
      </c>
      <c r="D226" s="164" t="s">
        <v>2034</v>
      </c>
      <c r="E226" s="165" t="s">
        <v>2037</v>
      </c>
      <c r="G226" s="161" t="s">
        <v>2035</v>
      </c>
      <c r="I226" s="168">
        <v>54760</v>
      </c>
      <c r="J226" s="150" t="s">
        <v>2044</v>
      </c>
    </row>
    <row r="227" spans="2:10">
      <c r="B227" s="164" t="s">
        <v>2033</v>
      </c>
      <c r="C227" s="164" t="s">
        <v>2033</v>
      </c>
      <c r="D227" s="164" t="s">
        <v>2034</v>
      </c>
      <c r="E227" s="165" t="s">
        <v>2036</v>
      </c>
      <c r="G227" s="161" t="s">
        <v>2042</v>
      </c>
      <c r="I227" s="168">
        <v>42666</v>
      </c>
    </row>
    <row r="228" spans="2:10">
      <c r="B228" s="164" t="s">
        <v>2033</v>
      </c>
      <c r="C228" s="164" t="s">
        <v>2033</v>
      </c>
      <c r="D228" s="164" t="s">
        <v>2034</v>
      </c>
      <c r="E228" s="165" t="s">
        <v>2037</v>
      </c>
      <c r="G228" s="161" t="s">
        <v>2043</v>
      </c>
      <c r="I228" s="168">
        <v>49154</v>
      </c>
      <c r="J228" s="150" t="s">
        <v>2053</v>
      </c>
    </row>
    <row r="229" spans="2:10">
      <c r="B229" s="164" t="s">
        <v>2033</v>
      </c>
      <c r="C229" s="164" t="s">
        <v>2033</v>
      </c>
      <c r="D229" s="164" t="s">
        <v>2034</v>
      </c>
      <c r="G229" s="161" t="s">
        <v>2058</v>
      </c>
      <c r="I229" s="168">
        <v>41574</v>
      </c>
    </row>
    <row r="230" spans="2:10">
      <c r="B230" s="164" t="s">
        <v>2033</v>
      </c>
      <c r="C230" s="164" t="s">
        <v>2033</v>
      </c>
      <c r="D230" s="164" t="s">
        <v>1382</v>
      </c>
      <c r="F230" s="164" t="s">
        <v>2119</v>
      </c>
      <c r="G230" s="161" t="s">
        <v>2118</v>
      </c>
      <c r="I230" s="168" t="s">
        <v>2120</v>
      </c>
    </row>
    <row r="231" spans="2:10">
      <c r="B231" s="164" t="s">
        <v>1230</v>
      </c>
      <c r="D231" s="164" t="s">
        <v>1122</v>
      </c>
      <c r="F231" s="164" t="s">
        <v>2143</v>
      </c>
      <c r="G231" s="161" t="s">
        <v>2145</v>
      </c>
      <c r="I231" s="168">
        <v>63847</v>
      </c>
      <c r="J231" s="150" t="s">
        <v>2146</v>
      </c>
    </row>
    <row r="232" spans="2:10">
      <c r="B232" s="164" t="s">
        <v>1230</v>
      </c>
      <c r="D232" s="164" t="s">
        <v>1122</v>
      </c>
      <c r="F232" s="164" t="s">
        <v>1344</v>
      </c>
      <c r="G232" s="161" t="s">
        <v>2148</v>
      </c>
      <c r="I232" s="168">
        <v>63847</v>
      </c>
      <c r="J232" s="150" t="s">
        <v>2146</v>
      </c>
    </row>
    <row r="233" spans="2:10">
      <c r="B233" s="164" t="s">
        <v>1230</v>
      </c>
      <c r="D233" s="164" t="s">
        <v>1122</v>
      </c>
      <c r="F233" s="164" t="s">
        <v>1644</v>
      </c>
      <c r="G233" s="161" t="s">
        <v>2150</v>
      </c>
      <c r="I233" s="168">
        <v>63847</v>
      </c>
      <c r="J233" s="150" t="s">
        <v>2146</v>
      </c>
    </row>
    <row r="234" spans="2:10">
      <c r="B234" s="164" t="s">
        <v>1166</v>
      </c>
      <c r="D234" s="164" t="s">
        <v>1172</v>
      </c>
      <c r="E234" s="165" t="s">
        <v>2165</v>
      </c>
      <c r="G234" s="161" t="s">
        <v>2162</v>
      </c>
      <c r="I234" s="168">
        <v>56329</v>
      </c>
      <c r="J234" s="150" t="s">
        <v>2166</v>
      </c>
    </row>
    <row r="235" spans="2:10">
      <c r="B235" s="164" t="s">
        <v>1166</v>
      </c>
      <c r="D235" s="164" t="s">
        <v>1172</v>
      </c>
      <c r="E235" s="165" t="s">
        <v>2165</v>
      </c>
      <c r="G235" s="161" t="s">
        <v>2164</v>
      </c>
      <c r="I235" s="168">
        <v>56329</v>
      </c>
      <c r="J235" s="150" t="s">
        <v>2167</v>
      </c>
    </row>
    <row r="236" spans="2:10">
      <c r="B236" s="164" t="s">
        <v>1119</v>
      </c>
      <c r="C236" s="164" t="s">
        <v>1787</v>
      </c>
      <c r="D236" s="164" t="s">
        <v>1122</v>
      </c>
      <c r="E236" s="165" t="s">
        <v>1707</v>
      </c>
      <c r="F236" s="164" t="s">
        <v>234</v>
      </c>
      <c r="G236" s="161" t="s">
        <v>2206</v>
      </c>
    </row>
    <row r="237" spans="2:10">
      <c r="B237" s="164" t="s">
        <v>1119</v>
      </c>
      <c r="C237" s="164" t="s">
        <v>1787</v>
      </c>
      <c r="D237" s="164" t="s">
        <v>1122</v>
      </c>
      <c r="F237" s="164" t="s">
        <v>1644</v>
      </c>
      <c r="G237" s="161" t="s">
        <v>2261</v>
      </c>
      <c r="I237" s="168">
        <v>64300</v>
      </c>
      <c r="J237" s="150" t="s">
        <v>2262</v>
      </c>
    </row>
  </sheetData>
  <autoFilter ref="A1:J237" xr:uid="{58DF6BF6-A611-4891-A0B0-2705877FFC23}"/>
  <sortState xmlns:xlrd2="http://schemas.microsoft.com/office/spreadsheetml/2017/richdata2" ref="A148:M197">
    <sortCondition ref="G148:G197"/>
  </sortState>
  <phoneticPr fontId="1"/>
  <conditionalFormatting sqref="H223">
    <cfRule type="duplicateValues" dxfId="6" priority="11"/>
  </conditionalFormatting>
  <conditionalFormatting sqref="J211 H223">
    <cfRule type="duplicateValues" dxfId="5" priority="14"/>
  </conditionalFormatting>
  <conditionalFormatting sqref="G1:G1048576">
    <cfRule type="duplicateValues" dxfId="4" priority="1"/>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729B8-C4D0-4CE2-9108-57EB31D6998F}">
  <sheetPr codeName="Sheet3"/>
  <dimension ref="A1:O936"/>
  <sheetViews>
    <sheetView zoomScale="85" zoomScaleNormal="85" workbookViewId="0">
      <pane ySplit="1" topLeftCell="A883" activePane="bottomLeft" state="frozen"/>
      <selection activeCell="D736" sqref="D736"/>
      <selection pane="bottomLeft" activeCell="D924" sqref="D924"/>
    </sheetView>
  </sheetViews>
  <sheetFormatPr defaultColWidth="15.375" defaultRowHeight="13.5"/>
  <cols>
    <col min="1" max="1" width="16.125" style="140" bestFit="1" customWidth="1"/>
    <col min="2" max="2" width="5.75" style="145" customWidth="1"/>
    <col min="3" max="3" width="15.625" style="172" customWidth="1"/>
    <col min="4" max="4" width="17" style="162" customWidth="1"/>
    <col min="5" max="5" width="20.5" style="162" bestFit="1" customWidth="1"/>
    <col min="6" max="6" width="10" style="173" customWidth="1"/>
    <col min="7" max="7" width="12.75" style="173" bestFit="1" customWidth="1"/>
    <col min="8" max="8" width="5.5" style="174" bestFit="1" customWidth="1"/>
    <col min="9" max="9" width="33.875" style="144" bestFit="1" customWidth="1"/>
    <col min="10" max="11" width="10.5" style="144" customWidth="1"/>
    <col min="12" max="12" width="49.5" style="143" customWidth="1"/>
    <col min="13" max="13" width="28.375" style="185" customWidth="1"/>
    <col min="14" max="14" width="12.625" style="144" bestFit="1" customWidth="1"/>
    <col min="15" max="16384" width="15.375" style="144"/>
  </cols>
  <sheetData>
    <row r="1" spans="1:15" ht="67.5">
      <c r="A1" s="140" t="s">
        <v>1796</v>
      </c>
      <c r="B1" s="141" t="s">
        <v>1</v>
      </c>
      <c r="C1" s="172" t="s">
        <v>2</v>
      </c>
      <c r="D1" s="162" t="s">
        <v>949</v>
      </c>
      <c r="E1" s="162" t="s">
        <v>547</v>
      </c>
      <c r="F1" s="173" t="s">
        <v>1559</v>
      </c>
      <c r="G1" s="173" t="s">
        <v>251</v>
      </c>
      <c r="H1" s="174" t="s">
        <v>1849</v>
      </c>
      <c r="I1" s="144" t="s">
        <v>1039</v>
      </c>
      <c r="J1" s="144" t="s">
        <v>255</v>
      </c>
      <c r="K1" s="144" t="s">
        <v>256</v>
      </c>
      <c r="L1" s="143" t="s">
        <v>1872</v>
      </c>
      <c r="M1" s="185" t="s">
        <v>1852</v>
      </c>
      <c r="N1" s="155" t="s">
        <v>1784</v>
      </c>
    </row>
    <row r="2" spans="1:15">
      <c r="A2" s="140" t="str">
        <f t="shared" ref="A2:A65" si="0">G2&amp;"-"&amp;TEXT(H2,"00")</f>
        <v>03242-00069-00</v>
      </c>
      <c r="B2" s="145" t="s">
        <v>49</v>
      </c>
      <c r="C2" s="175" t="s">
        <v>172</v>
      </c>
      <c r="D2" s="176" t="s">
        <v>1119</v>
      </c>
      <c r="E2" s="176" t="s">
        <v>1787</v>
      </c>
      <c r="F2" s="173">
        <v>55600</v>
      </c>
      <c r="G2" s="173" t="s">
        <v>173</v>
      </c>
      <c r="H2" s="174">
        <v>0</v>
      </c>
      <c r="K2" s="150"/>
      <c r="L2" s="178"/>
      <c r="M2" s="177" t="s">
        <v>1853</v>
      </c>
      <c r="N2" s="144" t="s">
        <v>1432</v>
      </c>
    </row>
    <row r="3" spans="1:15">
      <c r="A3" s="140" t="str">
        <f t="shared" si="0"/>
        <v>03242-00069-01</v>
      </c>
      <c r="C3" s="175" t="s">
        <v>172</v>
      </c>
      <c r="D3" s="176" t="s">
        <v>1119</v>
      </c>
      <c r="E3" s="176" t="s">
        <v>1787</v>
      </c>
      <c r="F3" s="173" t="s">
        <v>1406</v>
      </c>
      <c r="G3" s="173" t="s">
        <v>1405</v>
      </c>
      <c r="H3" s="174">
        <v>1</v>
      </c>
      <c r="I3" s="144" t="s">
        <v>1832</v>
      </c>
      <c r="L3" s="143" t="s">
        <v>1833</v>
      </c>
      <c r="M3" s="177"/>
      <c r="N3" s="144" t="s">
        <v>1432</v>
      </c>
    </row>
    <row r="4" spans="1:15">
      <c r="A4" s="140" t="str">
        <f t="shared" si="0"/>
        <v>03301-00075-00</v>
      </c>
      <c r="C4" s="172" t="s">
        <v>174</v>
      </c>
      <c r="D4" s="162" t="s">
        <v>1230</v>
      </c>
      <c r="F4" s="173" t="s">
        <v>2074</v>
      </c>
      <c r="G4" s="173" t="s">
        <v>2073</v>
      </c>
      <c r="H4" s="174">
        <v>0</v>
      </c>
    </row>
    <row r="5" spans="1:15">
      <c r="A5" s="140" t="str">
        <f t="shared" si="0"/>
        <v>03301-00075-01</v>
      </c>
      <c r="C5" s="172" t="s">
        <v>174</v>
      </c>
      <c r="D5" s="162" t="s">
        <v>1230</v>
      </c>
      <c r="F5" s="173" t="s">
        <v>2075</v>
      </c>
      <c r="G5" s="173" t="s">
        <v>2073</v>
      </c>
      <c r="H5" s="174">
        <v>1</v>
      </c>
    </row>
    <row r="6" spans="1:15">
      <c r="A6" s="140" t="str">
        <f t="shared" si="0"/>
        <v>03301-00075-02</v>
      </c>
      <c r="C6" s="172" t="s">
        <v>174</v>
      </c>
      <c r="D6" s="162" t="s">
        <v>1230</v>
      </c>
      <c r="F6" s="173" t="s">
        <v>2076</v>
      </c>
      <c r="G6" s="173" t="s">
        <v>2073</v>
      </c>
      <c r="H6" s="174">
        <v>2</v>
      </c>
    </row>
    <row r="7" spans="1:15">
      <c r="A7" s="140" t="str">
        <f t="shared" si="0"/>
        <v>03301-00075-03</v>
      </c>
      <c r="C7" s="172" t="s">
        <v>174</v>
      </c>
      <c r="D7" s="162" t="s">
        <v>1230</v>
      </c>
      <c r="F7" s="173" t="s">
        <v>2077</v>
      </c>
      <c r="G7" s="173" t="s">
        <v>2073</v>
      </c>
      <c r="H7" s="174">
        <v>3</v>
      </c>
    </row>
    <row r="8" spans="1:15">
      <c r="A8" s="140" t="str">
        <f t="shared" si="0"/>
        <v>03301-00075-04</v>
      </c>
      <c r="C8" s="172" t="s">
        <v>174</v>
      </c>
      <c r="D8" s="162" t="s">
        <v>1230</v>
      </c>
      <c r="F8" s="173" t="s">
        <v>2078</v>
      </c>
      <c r="G8" s="173" t="s">
        <v>2073</v>
      </c>
      <c r="H8" s="174">
        <v>4</v>
      </c>
    </row>
    <row r="9" spans="1:15">
      <c r="A9" s="140" t="str">
        <f t="shared" si="0"/>
        <v>03301-00075-05</v>
      </c>
      <c r="C9" s="172" t="s">
        <v>174</v>
      </c>
      <c r="D9" s="162" t="s">
        <v>1230</v>
      </c>
      <c r="F9" s="173" t="s">
        <v>2079</v>
      </c>
      <c r="G9" s="173" t="s">
        <v>2073</v>
      </c>
      <c r="H9" s="174">
        <v>5</v>
      </c>
    </row>
    <row r="10" spans="1:15">
      <c r="A10" s="140" t="str">
        <f t="shared" si="0"/>
        <v>03342-00130-00</v>
      </c>
      <c r="B10" s="145" t="s">
        <v>49</v>
      </c>
      <c r="C10" s="175" t="s">
        <v>1147</v>
      </c>
      <c r="D10" s="176" t="s">
        <v>1119</v>
      </c>
      <c r="E10" s="176" t="s">
        <v>1787</v>
      </c>
      <c r="F10" s="173">
        <v>60819</v>
      </c>
      <c r="G10" s="173" t="s">
        <v>181</v>
      </c>
      <c r="H10" s="174">
        <v>0</v>
      </c>
      <c r="K10" s="150"/>
      <c r="L10" s="178" t="s">
        <v>1146</v>
      </c>
      <c r="M10" s="177" t="s">
        <v>1854</v>
      </c>
      <c r="N10" s="144" t="s">
        <v>1432</v>
      </c>
    </row>
    <row r="11" spans="1:15">
      <c r="A11" s="140" t="str">
        <f t="shared" si="0"/>
        <v>03342-00130-01</v>
      </c>
      <c r="C11" s="175" t="s">
        <v>1147</v>
      </c>
      <c r="D11" s="176" t="s">
        <v>1119</v>
      </c>
      <c r="E11" s="176" t="s">
        <v>1787</v>
      </c>
      <c r="F11" s="173">
        <v>62887</v>
      </c>
      <c r="G11" s="173" t="s">
        <v>181</v>
      </c>
      <c r="H11" s="174">
        <v>1</v>
      </c>
      <c r="I11" s="144" t="s">
        <v>1096</v>
      </c>
      <c r="L11" s="143" t="s">
        <v>1149</v>
      </c>
      <c r="M11" s="177" t="s">
        <v>1869</v>
      </c>
      <c r="N11" s="144" t="s">
        <v>1432</v>
      </c>
    </row>
    <row r="12" spans="1:15">
      <c r="A12" s="140" t="str">
        <f t="shared" si="0"/>
        <v>03342-00130-02</v>
      </c>
      <c r="C12" s="175" t="s">
        <v>1147</v>
      </c>
      <c r="D12" s="176" t="s">
        <v>1119</v>
      </c>
      <c r="E12" s="176" t="s">
        <v>1787</v>
      </c>
      <c r="F12" s="173" t="s">
        <v>1546</v>
      </c>
      <c r="G12" s="173" t="s">
        <v>181</v>
      </c>
      <c r="H12" s="174">
        <v>2</v>
      </c>
      <c r="I12" s="144" t="s">
        <v>1544</v>
      </c>
      <c r="L12" s="143" t="s">
        <v>1547</v>
      </c>
      <c r="M12" s="177"/>
      <c r="N12" s="144" t="s">
        <v>1553</v>
      </c>
    </row>
    <row r="13" spans="1:15">
      <c r="A13" s="140" t="str">
        <f t="shared" si="0"/>
        <v>03342-00163-00</v>
      </c>
      <c r="B13" s="145" t="s">
        <v>49</v>
      </c>
      <c r="C13" s="175" t="s">
        <v>174</v>
      </c>
      <c r="D13" s="176" t="s">
        <v>1119</v>
      </c>
      <c r="E13" s="176" t="s">
        <v>1787</v>
      </c>
      <c r="F13" s="173">
        <v>49119</v>
      </c>
      <c r="G13" s="173" t="s">
        <v>179</v>
      </c>
      <c r="H13" s="174">
        <v>0</v>
      </c>
      <c r="K13" s="150"/>
      <c r="L13" s="144" t="s">
        <v>180</v>
      </c>
      <c r="M13" s="177" t="s">
        <v>1854</v>
      </c>
      <c r="N13" s="144" t="s">
        <v>1432</v>
      </c>
    </row>
    <row r="14" spans="1:15">
      <c r="A14" s="140" t="str">
        <f t="shared" si="0"/>
        <v>03342-00189-00</v>
      </c>
      <c r="B14" s="145" t="s">
        <v>49</v>
      </c>
      <c r="C14" s="175" t="s">
        <v>174</v>
      </c>
      <c r="D14" s="176" t="s">
        <v>1119</v>
      </c>
      <c r="E14" s="176" t="s">
        <v>1787</v>
      </c>
      <c r="F14" s="173">
        <v>50187</v>
      </c>
      <c r="G14" s="173" t="s">
        <v>175</v>
      </c>
      <c r="H14" s="174">
        <v>0</v>
      </c>
      <c r="K14" s="150"/>
      <c r="L14" s="144" t="s">
        <v>176</v>
      </c>
      <c r="M14" s="177"/>
      <c r="N14" s="144" t="s">
        <v>1432</v>
      </c>
    </row>
    <row r="15" spans="1:15">
      <c r="A15" s="140" t="str">
        <f t="shared" si="0"/>
        <v>03342-00252-00</v>
      </c>
      <c r="C15" s="175" t="s">
        <v>174</v>
      </c>
      <c r="D15" s="176" t="s">
        <v>1119</v>
      </c>
      <c r="E15" s="176" t="s">
        <v>1787</v>
      </c>
      <c r="F15" s="173">
        <v>50187</v>
      </c>
      <c r="G15" s="173" t="s">
        <v>177</v>
      </c>
      <c r="H15" s="174">
        <v>0</v>
      </c>
      <c r="K15" s="150"/>
      <c r="L15" s="144" t="s">
        <v>178</v>
      </c>
      <c r="M15" s="177" t="s">
        <v>1854</v>
      </c>
      <c r="N15" s="144" t="s">
        <v>1432</v>
      </c>
    </row>
    <row r="16" spans="1:15">
      <c r="A16" s="140" t="str">
        <f t="shared" si="0"/>
        <v>03342-00252-01</v>
      </c>
      <c r="C16" s="175" t="s">
        <v>174</v>
      </c>
      <c r="D16" s="176" t="s">
        <v>1119</v>
      </c>
      <c r="E16" s="176" t="s">
        <v>1787</v>
      </c>
      <c r="F16" s="173">
        <v>51443</v>
      </c>
      <c r="G16" s="173" t="s">
        <v>177</v>
      </c>
      <c r="H16" s="174">
        <v>1</v>
      </c>
      <c r="K16" s="150"/>
      <c r="L16" s="178"/>
      <c r="M16" s="177" t="s">
        <v>1854</v>
      </c>
      <c r="N16" s="144" t="s">
        <v>1432</v>
      </c>
      <c r="O16" s="150"/>
    </row>
    <row r="17" spans="1:15">
      <c r="A17" s="140" t="str">
        <f t="shared" si="0"/>
        <v>03342-00252-02</v>
      </c>
      <c r="C17" s="175" t="s">
        <v>174</v>
      </c>
      <c r="D17" s="176" t="s">
        <v>1119</v>
      </c>
      <c r="E17" s="176" t="s">
        <v>1787</v>
      </c>
      <c r="F17" s="173">
        <v>51681</v>
      </c>
      <c r="G17" s="173" t="s">
        <v>177</v>
      </c>
      <c r="H17" s="174">
        <v>2</v>
      </c>
      <c r="K17" s="150"/>
      <c r="L17" s="178"/>
      <c r="M17" s="177" t="s">
        <v>1854</v>
      </c>
      <c r="N17" s="144" t="s">
        <v>1432</v>
      </c>
    </row>
    <row r="18" spans="1:15">
      <c r="A18" s="140" t="str">
        <f t="shared" si="0"/>
        <v>03342-00252-03</v>
      </c>
      <c r="C18" s="175" t="s">
        <v>174</v>
      </c>
      <c r="D18" s="176" t="s">
        <v>1119</v>
      </c>
      <c r="E18" s="176" t="s">
        <v>1787</v>
      </c>
      <c r="F18" s="173">
        <v>53560</v>
      </c>
      <c r="G18" s="173" t="s">
        <v>177</v>
      </c>
      <c r="H18" s="174">
        <v>3</v>
      </c>
      <c r="K18" s="150"/>
      <c r="L18" s="178"/>
      <c r="M18" s="177" t="s">
        <v>1854</v>
      </c>
      <c r="N18" s="144" t="s">
        <v>1432</v>
      </c>
    </row>
    <row r="19" spans="1:15">
      <c r="A19" s="140" t="str">
        <f t="shared" si="0"/>
        <v>03342-00252-04</v>
      </c>
      <c r="C19" s="175" t="s">
        <v>174</v>
      </c>
      <c r="D19" s="176" t="s">
        <v>1119</v>
      </c>
      <c r="E19" s="176" t="s">
        <v>1787</v>
      </c>
      <c r="F19" s="173">
        <v>54076</v>
      </c>
      <c r="G19" s="173" t="s">
        <v>177</v>
      </c>
      <c r="H19" s="174">
        <v>4</v>
      </c>
      <c r="K19" s="150"/>
      <c r="L19" s="178"/>
      <c r="M19" s="177" t="s">
        <v>1854</v>
      </c>
      <c r="N19" s="144" t="s">
        <v>1432</v>
      </c>
    </row>
    <row r="20" spans="1:15">
      <c r="A20" s="140" t="str">
        <f t="shared" si="0"/>
        <v>03342-00252-05</v>
      </c>
      <c r="C20" s="175" t="s">
        <v>174</v>
      </c>
      <c r="D20" s="176" t="s">
        <v>1119</v>
      </c>
      <c r="E20" s="176" t="s">
        <v>1787</v>
      </c>
      <c r="F20" s="173">
        <v>54209</v>
      </c>
      <c r="G20" s="173" t="s">
        <v>177</v>
      </c>
      <c r="H20" s="174">
        <v>5</v>
      </c>
      <c r="K20" s="150"/>
      <c r="L20" s="178"/>
      <c r="M20" s="177" t="s">
        <v>1854</v>
      </c>
      <c r="N20" s="144" t="s">
        <v>1432</v>
      </c>
    </row>
    <row r="21" spans="1:15">
      <c r="A21" s="140" t="str">
        <f t="shared" si="0"/>
        <v>03342-00252-06</v>
      </c>
      <c r="C21" s="175" t="s">
        <v>174</v>
      </c>
      <c r="D21" s="176" t="s">
        <v>1119</v>
      </c>
      <c r="E21" s="176" t="s">
        <v>1787</v>
      </c>
      <c r="F21" s="173">
        <v>54603</v>
      </c>
      <c r="G21" s="173" t="s">
        <v>177</v>
      </c>
      <c r="H21" s="174">
        <v>6</v>
      </c>
      <c r="K21" s="150"/>
      <c r="L21" s="178"/>
      <c r="M21" s="177" t="s">
        <v>1854</v>
      </c>
      <c r="N21" s="144" t="s">
        <v>1432</v>
      </c>
      <c r="O21" s="150"/>
    </row>
    <row r="22" spans="1:15">
      <c r="A22" s="140" t="str">
        <f t="shared" si="0"/>
        <v>03342-00252-07</v>
      </c>
      <c r="B22" s="145" t="s">
        <v>49</v>
      </c>
      <c r="C22" s="175" t="s">
        <v>174</v>
      </c>
      <c r="D22" s="176" t="s">
        <v>1119</v>
      </c>
      <c r="E22" s="176" t="s">
        <v>1787</v>
      </c>
      <c r="F22" s="173">
        <v>55548</v>
      </c>
      <c r="G22" s="173" t="s">
        <v>177</v>
      </c>
      <c r="H22" s="174">
        <v>7</v>
      </c>
      <c r="K22" s="150"/>
      <c r="M22" s="177" t="s">
        <v>1854</v>
      </c>
      <c r="N22" s="144" t="s">
        <v>1432</v>
      </c>
    </row>
    <row r="23" spans="1:15">
      <c r="A23" s="140" t="str">
        <f t="shared" si="0"/>
        <v>03342-00503-00</v>
      </c>
      <c r="C23" s="175" t="s">
        <v>174</v>
      </c>
      <c r="D23" s="176" t="s">
        <v>1119</v>
      </c>
      <c r="E23" s="176" t="s">
        <v>1787</v>
      </c>
      <c r="F23" s="173" t="s">
        <v>1722</v>
      </c>
      <c r="G23" s="173" t="s">
        <v>1721</v>
      </c>
      <c r="H23" s="174">
        <v>0</v>
      </c>
      <c r="I23" s="144" t="s">
        <v>1726</v>
      </c>
      <c r="L23" s="143" t="s">
        <v>1724</v>
      </c>
      <c r="M23" s="177" t="s">
        <v>1854</v>
      </c>
      <c r="N23" s="144" t="s">
        <v>47</v>
      </c>
    </row>
    <row r="24" spans="1:15">
      <c r="A24" s="140" t="str">
        <f t="shared" si="0"/>
        <v>03342-00503-01</v>
      </c>
      <c r="C24" s="175" t="s">
        <v>174</v>
      </c>
      <c r="D24" s="176" t="s">
        <v>1119</v>
      </c>
      <c r="E24" s="176" t="s">
        <v>1787</v>
      </c>
      <c r="F24" s="173" t="s">
        <v>1723</v>
      </c>
      <c r="G24" s="173" t="s">
        <v>1721</v>
      </c>
      <c r="H24" s="174">
        <v>1</v>
      </c>
      <c r="I24" s="144" t="s">
        <v>448</v>
      </c>
      <c r="M24" s="177" t="s">
        <v>1854</v>
      </c>
      <c r="N24" s="144" t="s">
        <v>47</v>
      </c>
    </row>
    <row r="25" spans="1:15">
      <c r="A25" s="140" t="str">
        <f t="shared" si="0"/>
        <v>03342-00515-00</v>
      </c>
      <c r="C25" s="175" t="s">
        <v>174</v>
      </c>
      <c r="D25" s="176" t="s">
        <v>1119</v>
      </c>
      <c r="E25" s="176" t="s">
        <v>1787</v>
      </c>
      <c r="G25" s="173" t="s">
        <v>1048</v>
      </c>
      <c r="H25" s="174">
        <v>0</v>
      </c>
      <c r="I25" s="144" t="s">
        <v>1054</v>
      </c>
      <c r="J25" s="144" t="s">
        <v>1052</v>
      </c>
      <c r="L25" s="144" t="s">
        <v>1113</v>
      </c>
      <c r="M25" s="177"/>
      <c r="N25" s="144" t="s">
        <v>1432</v>
      </c>
    </row>
    <row r="26" spans="1:15">
      <c r="A26" s="140" t="str">
        <f t="shared" si="0"/>
        <v>03342-00516-00</v>
      </c>
      <c r="C26" s="175" t="s">
        <v>174</v>
      </c>
      <c r="D26" s="176" t="s">
        <v>1119</v>
      </c>
      <c r="E26" s="176" t="s">
        <v>1787</v>
      </c>
      <c r="G26" s="173" t="s">
        <v>1049</v>
      </c>
      <c r="H26" s="174">
        <v>0</v>
      </c>
      <c r="I26" s="144" t="s">
        <v>1045</v>
      </c>
      <c r="J26" s="144" t="s">
        <v>1053</v>
      </c>
      <c r="L26" s="144" t="s">
        <v>1113</v>
      </c>
      <c r="M26" s="177"/>
      <c r="N26" s="144" t="s">
        <v>1432</v>
      </c>
    </row>
    <row r="27" spans="1:15">
      <c r="A27" s="140" t="str">
        <f t="shared" si="0"/>
        <v>03342-00534-00</v>
      </c>
      <c r="C27" s="175" t="s">
        <v>174</v>
      </c>
      <c r="D27" s="176" t="s">
        <v>1119</v>
      </c>
      <c r="E27" s="176" t="s">
        <v>1787</v>
      </c>
      <c r="G27" s="173" t="s">
        <v>1050</v>
      </c>
      <c r="H27" s="174">
        <v>0</v>
      </c>
      <c r="I27" s="144" t="s">
        <v>1055</v>
      </c>
      <c r="J27" s="144" t="s">
        <v>1056</v>
      </c>
      <c r="L27" s="144" t="s">
        <v>1113</v>
      </c>
      <c r="M27" s="177"/>
      <c r="N27" s="144" t="s">
        <v>1432</v>
      </c>
    </row>
    <row r="28" spans="1:15">
      <c r="A28" s="140" t="str">
        <f t="shared" si="0"/>
        <v>03342-00535-00</v>
      </c>
      <c r="C28" s="175" t="s">
        <v>174</v>
      </c>
      <c r="D28" s="176" t="s">
        <v>1119</v>
      </c>
      <c r="E28" s="176" t="s">
        <v>1787</v>
      </c>
      <c r="F28" s="173">
        <v>62888</v>
      </c>
      <c r="G28" s="173" t="s">
        <v>1051</v>
      </c>
      <c r="H28" s="174">
        <v>0</v>
      </c>
      <c r="I28" s="144" t="s">
        <v>1057</v>
      </c>
      <c r="J28" s="144" t="s">
        <v>1058</v>
      </c>
      <c r="L28" s="144" t="s">
        <v>1113</v>
      </c>
      <c r="M28" s="177" t="s">
        <v>1854</v>
      </c>
      <c r="N28" s="144" t="s">
        <v>1432</v>
      </c>
    </row>
    <row r="29" spans="1:15">
      <c r="A29" s="140" t="str">
        <f t="shared" si="0"/>
        <v>03342-00535-01</v>
      </c>
      <c r="C29" s="175" t="s">
        <v>174</v>
      </c>
      <c r="D29" s="176" t="s">
        <v>1119</v>
      </c>
      <c r="E29" s="176" t="s">
        <v>1787</v>
      </c>
      <c r="F29" s="173" t="s">
        <v>1546</v>
      </c>
      <c r="G29" s="173" t="s">
        <v>1010</v>
      </c>
      <c r="H29" s="174">
        <v>1</v>
      </c>
      <c r="I29" s="144" t="s">
        <v>1545</v>
      </c>
      <c r="L29" s="143" t="s">
        <v>1548</v>
      </c>
      <c r="M29" s="177"/>
      <c r="N29" s="144" t="s">
        <v>1553</v>
      </c>
    </row>
    <row r="30" spans="1:15" ht="27">
      <c r="A30" s="140" t="str">
        <f t="shared" si="0"/>
        <v>03442-00020-00</v>
      </c>
      <c r="C30" s="175" t="s">
        <v>132</v>
      </c>
      <c r="D30" s="176" t="s">
        <v>1119</v>
      </c>
      <c r="E30" s="176" t="s">
        <v>1787</v>
      </c>
      <c r="F30" s="173">
        <v>46368</v>
      </c>
      <c r="G30" s="173" t="s">
        <v>133</v>
      </c>
      <c r="H30" s="174">
        <v>0</v>
      </c>
      <c r="I30" s="155"/>
      <c r="J30" s="155"/>
      <c r="L30" s="179" t="s">
        <v>1790</v>
      </c>
      <c r="M30" s="177" t="s">
        <v>1993</v>
      </c>
      <c r="N30" s="144" t="s">
        <v>1432</v>
      </c>
    </row>
    <row r="31" spans="1:15">
      <c r="A31" s="140" t="str">
        <f t="shared" si="0"/>
        <v>03442-00020-01</v>
      </c>
      <c r="C31" s="175" t="s">
        <v>132</v>
      </c>
      <c r="D31" s="176" t="s">
        <v>1119</v>
      </c>
      <c r="E31" s="176" t="s">
        <v>1787</v>
      </c>
      <c r="F31" s="173">
        <v>48070</v>
      </c>
      <c r="G31" s="173" t="s">
        <v>133</v>
      </c>
      <c r="H31" s="174">
        <v>1</v>
      </c>
      <c r="I31" s="155"/>
      <c r="J31" s="155"/>
      <c r="L31" s="180"/>
      <c r="M31" s="177" t="s">
        <v>2296</v>
      </c>
      <c r="N31" s="144" t="s">
        <v>1432</v>
      </c>
    </row>
    <row r="32" spans="1:15">
      <c r="A32" s="140" t="str">
        <f t="shared" si="0"/>
        <v>03442-00020-02</v>
      </c>
      <c r="C32" s="175" t="s">
        <v>132</v>
      </c>
      <c r="D32" s="176" t="s">
        <v>1119</v>
      </c>
      <c r="E32" s="176" t="s">
        <v>1787</v>
      </c>
      <c r="F32" s="173">
        <v>50466</v>
      </c>
      <c r="G32" s="173" t="s">
        <v>133</v>
      </c>
      <c r="H32" s="174">
        <v>2</v>
      </c>
      <c r="I32" s="155"/>
      <c r="J32" s="155"/>
      <c r="L32" s="180"/>
      <c r="M32" s="177"/>
      <c r="N32" s="144" t="s">
        <v>1432</v>
      </c>
    </row>
    <row r="33" spans="1:15">
      <c r="A33" s="140" t="str">
        <f t="shared" si="0"/>
        <v>03442-00020-03</v>
      </c>
      <c r="C33" s="175" t="s">
        <v>132</v>
      </c>
      <c r="D33" s="176" t="s">
        <v>1119</v>
      </c>
      <c r="E33" s="176" t="s">
        <v>1787</v>
      </c>
      <c r="F33" s="173">
        <v>51091</v>
      </c>
      <c r="G33" s="173" t="s">
        <v>133</v>
      </c>
      <c r="H33" s="174">
        <v>3</v>
      </c>
      <c r="I33" s="155"/>
      <c r="J33" s="155"/>
      <c r="L33" s="180"/>
      <c r="M33" s="177" t="s">
        <v>2297</v>
      </c>
      <c r="N33" s="144" t="s">
        <v>1432</v>
      </c>
      <c r="O33" s="150"/>
    </row>
    <row r="34" spans="1:15">
      <c r="A34" s="140" t="str">
        <f t="shared" si="0"/>
        <v>03442-00020-04</v>
      </c>
      <c r="C34" s="175" t="s">
        <v>132</v>
      </c>
      <c r="D34" s="176" t="s">
        <v>1119</v>
      </c>
      <c r="E34" s="176" t="s">
        <v>1787</v>
      </c>
      <c r="F34" s="173">
        <v>51447</v>
      </c>
      <c r="G34" s="173" t="s">
        <v>133</v>
      </c>
      <c r="H34" s="174">
        <v>4</v>
      </c>
      <c r="I34" s="155"/>
      <c r="J34" s="155"/>
      <c r="L34" s="180"/>
      <c r="M34" s="177" t="s">
        <v>2297</v>
      </c>
      <c r="N34" s="144" t="s">
        <v>1432</v>
      </c>
      <c r="O34" s="150"/>
    </row>
    <row r="35" spans="1:15">
      <c r="A35" s="140" t="str">
        <f t="shared" si="0"/>
        <v>03442-00020-05</v>
      </c>
      <c r="C35" s="175" t="s">
        <v>132</v>
      </c>
      <c r="D35" s="176" t="s">
        <v>1119</v>
      </c>
      <c r="E35" s="176" t="s">
        <v>1787</v>
      </c>
      <c r="F35" s="173">
        <v>52170</v>
      </c>
      <c r="G35" s="173" t="s">
        <v>133</v>
      </c>
      <c r="H35" s="174">
        <v>5</v>
      </c>
      <c r="I35" s="155"/>
      <c r="J35" s="155"/>
      <c r="L35" s="180"/>
      <c r="M35" s="177" t="s">
        <v>2297</v>
      </c>
      <c r="N35" s="144" t="s">
        <v>1432</v>
      </c>
      <c r="O35" s="150"/>
    </row>
    <row r="36" spans="1:15">
      <c r="A36" s="140" t="str">
        <f t="shared" si="0"/>
        <v>03442-00020-06</v>
      </c>
      <c r="C36" s="175" t="s">
        <v>132</v>
      </c>
      <c r="D36" s="176" t="s">
        <v>1119</v>
      </c>
      <c r="E36" s="176" t="s">
        <v>1787</v>
      </c>
      <c r="F36" s="173">
        <v>52931</v>
      </c>
      <c r="G36" s="173" t="s">
        <v>133</v>
      </c>
      <c r="H36" s="174">
        <v>6</v>
      </c>
      <c r="I36" s="155"/>
      <c r="J36" s="155"/>
      <c r="L36" s="180"/>
      <c r="M36" s="177" t="s">
        <v>2297</v>
      </c>
      <c r="N36" s="144" t="s">
        <v>1432</v>
      </c>
    </row>
    <row r="37" spans="1:15">
      <c r="A37" s="140" t="str">
        <f t="shared" si="0"/>
        <v>03442-00020-07</v>
      </c>
      <c r="C37" s="175" t="s">
        <v>132</v>
      </c>
      <c r="D37" s="176" t="s">
        <v>1119</v>
      </c>
      <c r="E37" s="176" t="s">
        <v>1787</v>
      </c>
      <c r="F37" s="173">
        <v>53099</v>
      </c>
      <c r="G37" s="173" t="s">
        <v>133</v>
      </c>
      <c r="H37" s="174">
        <v>7</v>
      </c>
      <c r="I37" s="155"/>
      <c r="J37" s="155"/>
      <c r="L37" s="180"/>
      <c r="M37" s="177" t="s">
        <v>2297</v>
      </c>
      <c r="N37" s="144" t="s">
        <v>1432</v>
      </c>
    </row>
    <row r="38" spans="1:15">
      <c r="A38" s="140" t="str">
        <f t="shared" si="0"/>
        <v>03442-00020-08</v>
      </c>
      <c r="C38" s="175" t="s">
        <v>132</v>
      </c>
      <c r="D38" s="176" t="s">
        <v>1119</v>
      </c>
      <c r="E38" s="176" t="s">
        <v>1787</v>
      </c>
      <c r="F38" s="173">
        <v>54464</v>
      </c>
      <c r="G38" s="173" t="s">
        <v>133</v>
      </c>
      <c r="H38" s="174">
        <v>8</v>
      </c>
      <c r="I38" s="155" t="s">
        <v>1813</v>
      </c>
      <c r="J38" s="155"/>
      <c r="L38" s="180" t="s">
        <v>1157</v>
      </c>
      <c r="M38" s="177" t="s">
        <v>1994</v>
      </c>
      <c r="N38" s="144" t="s">
        <v>1432</v>
      </c>
    </row>
    <row r="39" spans="1:15">
      <c r="A39" s="140" t="str">
        <f t="shared" si="0"/>
        <v>03442-00020-09</v>
      </c>
      <c r="B39" s="145" t="s">
        <v>6</v>
      </c>
      <c r="C39" s="175" t="s">
        <v>132</v>
      </c>
      <c r="D39" s="176" t="s">
        <v>1119</v>
      </c>
      <c r="E39" s="176" t="s">
        <v>1787</v>
      </c>
      <c r="F39" s="173">
        <v>55511</v>
      </c>
      <c r="G39" s="173" t="s">
        <v>133</v>
      </c>
      <c r="H39" s="174">
        <v>9</v>
      </c>
      <c r="I39" s="155" t="s">
        <v>386</v>
      </c>
      <c r="J39" s="144" t="s">
        <v>47</v>
      </c>
      <c r="K39" s="144" t="s">
        <v>47</v>
      </c>
      <c r="M39" s="177" t="s">
        <v>2297</v>
      </c>
      <c r="N39" s="144" t="s">
        <v>1432</v>
      </c>
    </row>
    <row r="40" spans="1:15">
      <c r="A40" s="140" t="str">
        <f t="shared" si="0"/>
        <v>03442-00195-00</v>
      </c>
      <c r="C40" s="175" t="s">
        <v>132</v>
      </c>
      <c r="D40" s="176" t="s">
        <v>1119</v>
      </c>
      <c r="E40" s="176" t="s">
        <v>1787</v>
      </c>
      <c r="F40" s="173">
        <v>53559</v>
      </c>
      <c r="G40" s="173" t="s">
        <v>134</v>
      </c>
      <c r="H40" s="174">
        <v>0</v>
      </c>
      <c r="I40" s="155"/>
      <c r="L40" s="178" t="s">
        <v>387</v>
      </c>
      <c r="M40" s="177" t="s">
        <v>1868</v>
      </c>
      <c r="N40" s="144" t="s">
        <v>1432</v>
      </c>
    </row>
    <row r="41" spans="1:15">
      <c r="A41" s="140" t="str">
        <f t="shared" si="0"/>
        <v>03442-00195-01</v>
      </c>
      <c r="C41" s="175" t="s">
        <v>132</v>
      </c>
      <c r="D41" s="176" t="s">
        <v>1119</v>
      </c>
      <c r="E41" s="176" t="s">
        <v>1787</v>
      </c>
      <c r="F41" s="173">
        <v>53774</v>
      </c>
      <c r="G41" s="173" t="s">
        <v>134</v>
      </c>
      <c r="H41" s="174">
        <v>1</v>
      </c>
      <c r="I41" s="155"/>
      <c r="L41" s="178"/>
      <c r="M41" s="177" t="s">
        <v>1868</v>
      </c>
      <c r="N41" s="144" t="s">
        <v>1432</v>
      </c>
    </row>
    <row r="42" spans="1:15">
      <c r="A42" s="140" t="str">
        <f t="shared" si="0"/>
        <v>03442-00195-02</v>
      </c>
      <c r="C42" s="175" t="s">
        <v>132</v>
      </c>
      <c r="D42" s="176" t="s">
        <v>1119</v>
      </c>
      <c r="E42" s="176" t="s">
        <v>1787</v>
      </c>
      <c r="F42" s="173">
        <v>54251</v>
      </c>
      <c r="G42" s="173" t="s">
        <v>134</v>
      </c>
      <c r="H42" s="174">
        <v>2</v>
      </c>
      <c r="I42" s="155"/>
      <c r="L42" s="178"/>
      <c r="M42" s="177" t="s">
        <v>1868</v>
      </c>
      <c r="N42" s="144" t="s">
        <v>1432</v>
      </c>
    </row>
    <row r="43" spans="1:15">
      <c r="A43" s="140" t="str">
        <f t="shared" si="0"/>
        <v>03442-00195-03</v>
      </c>
      <c r="C43" s="175" t="s">
        <v>132</v>
      </c>
      <c r="D43" s="176" t="s">
        <v>1119</v>
      </c>
      <c r="E43" s="176" t="s">
        <v>1787</v>
      </c>
      <c r="F43" s="173">
        <v>54353</v>
      </c>
      <c r="G43" s="173" t="s">
        <v>134</v>
      </c>
      <c r="H43" s="174">
        <v>3</v>
      </c>
      <c r="I43" s="155"/>
      <c r="L43" s="178"/>
      <c r="M43" s="177" t="s">
        <v>1868</v>
      </c>
      <c r="N43" s="144" t="s">
        <v>1432</v>
      </c>
    </row>
    <row r="44" spans="1:15">
      <c r="A44" s="140" t="str">
        <f t="shared" si="0"/>
        <v>03442-00195-04</v>
      </c>
      <c r="C44" s="175" t="s">
        <v>132</v>
      </c>
      <c r="D44" s="176" t="s">
        <v>1119</v>
      </c>
      <c r="E44" s="176" t="s">
        <v>1787</v>
      </c>
      <c r="F44" s="173">
        <v>54464</v>
      </c>
      <c r="G44" s="173" t="s">
        <v>134</v>
      </c>
      <c r="H44" s="174">
        <v>4</v>
      </c>
      <c r="I44" s="155" t="s">
        <v>1158</v>
      </c>
      <c r="L44" s="180" t="s">
        <v>1157</v>
      </c>
      <c r="M44" s="177" t="s">
        <v>1868</v>
      </c>
      <c r="N44" s="144" t="s">
        <v>1432</v>
      </c>
    </row>
    <row r="45" spans="1:15">
      <c r="A45" s="140" t="str">
        <f t="shared" si="0"/>
        <v>03442-00195-05</v>
      </c>
      <c r="B45" s="145" t="s">
        <v>6</v>
      </c>
      <c r="C45" s="175" t="s">
        <v>132</v>
      </c>
      <c r="D45" s="176" t="s">
        <v>1119</v>
      </c>
      <c r="E45" s="176" t="s">
        <v>1787</v>
      </c>
      <c r="F45" s="173">
        <v>55511</v>
      </c>
      <c r="G45" s="173" t="s">
        <v>134</v>
      </c>
      <c r="H45" s="174">
        <v>5</v>
      </c>
      <c r="I45" s="155" t="s">
        <v>388</v>
      </c>
      <c r="J45" s="144" t="s">
        <v>47</v>
      </c>
      <c r="K45" s="144" t="s">
        <v>47</v>
      </c>
      <c r="M45" s="177" t="s">
        <v>1868</v>
      </c>
      <c r="N45" s="144" t="s">
        <v>1432</v>
      </c>
    </row>
    <row r="46" spans="1:15" ht="27">
      <c r="A46" s="140" t="str">
        <f t="shared" si="0"/>
        <v>03542-00020-00</v>
      </c>
      <c r="C46" s="175" t="s">
        <v>136</v>
      </c>
      <c r="D46" s="176" t="s">
        <v>1119</v>
      </c>
      <c r="E46" s="176" t="s">
        <v>1787</v>
      </c>
      <c r="F46" s="173">
        <v>42121</v>
      </c>
      <c r="G46" s="173" t="s">
        <v>137</v>
      </c>
      <c r="H46" s="174">
        <v>0</v>
      </c>
      <c r="I46" s="155"/>
      <c r="L46" s="179" t="s">
        <v>1791</v>
      </c>
      <c r="M46" s="177"/>
      <c r="N46" s="144" t="s">
        <v>1432</v>
      </c>
    </row>
    <row r="47" spans="1:15">
      <c r="A47" s="140" t="str">
        <f t="shared" si="0"/>
        <v>03542-00020-01</v>
      </c>
      <c r="C47" s="175" t="s">
        <v>136</v>
      </c>
      <c r="D47" s="176" t="s">
        <v>1119</v>
      </c>
      <c r="E47" s="176" t="s">
        <v>1787</v>
      </c>
      <c r="F47" s="173">
        <v>42644</v>
      </c>
      <c r="G47" s="173" t="s">
        <v>137</v>
      </c>
      <c r="H47" s="174">
        <v>1</v>
      </c>
      <c r="I47" s="155"/>
      <c r="L47" s="178"/>
      <c r="M47" s="177"/>
      <c r="N47" s="144" t="s">
        <v>1432</v>
      </c>
    </row>
    <row r="48" spans="1:15">
      <c r="A48" s="140" t="str">
        <f t="shared" si="0"/>
        <v>03542-00020-02</v>
      </c>
      <c r="C48" s="175" t="s">
        <v>136</v>
      </c>
      <c r="D48" s="176" t="s">
        <v>1119</v>
      </c>
      <c r="E48" s="176" t="s">
        <v>1787</v>
      </c>
      <c r="F48" s="173">
        <v>42988</v>
      </c>
      <c r="G48" s="173" t="s">
        <v>137</v>
      </c>
      <c r="H48" s="174">
        <v>2</v>
      </c>
      <c r="I48" s="155"/>
      <c r="L48" s="178"/>
      <c r="M48" s="177" t="s">
        <v>2298</v>
      </c>
      <c r="N48" s="144" t="s">
        <v>1432</v>
      </c>
    </row>
    <row r="49" spans="1:14">
      <c r="A49" s="140" t="str">
        <f t="shared" si="0"/>
        <v>03542-00020-03</v>
      </c>
      <c r="C49" s="175" t="s">
        <v>136</v>
      </c>
      <c r="D49" s="176" t="s">
        <v>1119</v>
      </c>
      <c r="E49" s="176" t="s">
        <v>1787</v>
      </c>
      <c r="F49" s="173">
        <v>43589</v>
      </c>
      <c r="G49" s="173" t="s">
        <v>137</v>
      </c>
      <c r="H49" s="174">
        <v>3</v>
      </c>
      <c r="I49" s="155"/>
      <c r="L49" s="178"/>
      <c r="M49" s="177" t="s">
        <v>2298</v>
      </c>
      <c r="N49" s="144" t="s">
        <v>1432</v>
      </c>
    </row>
    <row r="50" spans="1:14">
      <c r="A50" s="140" t="str">
        <f t="shared" si="0"/>
        <v>03542-00020-04</v>
      </c>
      <c r="C50" s="175" t="s">
        <v>136</v>
      </c>
      <c r="D50" s="176" t="s">
        <v>1119</v>
      </c>
      <c r="E50" s="176" t="s">
        <v>1787</v>
      </c>
      <c r="F50" s="173">
        <v>43748</v>
      </c>
      <c r="G50" s="173" t="s">
        <v>137</v>
      </c>
      <c r="H50" s="174">
        <v>4</v>
      </c>
      <c r="I50" s="155"/>
      <c r="L50" s="178"/>
      <c r="M50" s="177" t="s">
        <v>2298</v>
      </c>
      <c r="N50" s="144" t="s">
        <v>1432</v>
      </c>
    </row>
    <row r="51" spans="1:14">
      <c r="A51" s="140" t="str">
        <f t="shared" si="0"/>
        <v>03542-00020-05</v>
      </c>
      <c r="C51" s="175" t="s">
        <v>136</v>
      </c>
      <c r="D51" s="176" t="s">
        <v>1119</v>
      </c>
      <c r="E51" s="176" t="s">
        <v>1787</v>
      </c>
      <c r="F51" s="173">
        <v>46167</v>
      </c>
      <c r="G51" s="173" t="s">
        <v>137</v>
      </c>
      <c r="H51" s="174">
        <v>5</v>
      </c>
      <c r="I51" s="155"/>
      <c r="L51" s="178"/>
      <c r="M51" s="177" t="s">
        <v>2299</v>
      </c>
      <c r="N51" s="144" t="s">
        <v>1432</v>
      </c>
    </row>
    <row r="52" spans="1:14">
      <c r="A52" s="140" t="str">
        <f t="shared" si="0"/>
        <v>03542-00020-06</v>
      </c>
      <c r="C52" s="175" t="s">
        <v>136</v>
      </c>
      <c r="D52" s="176" t="s">
        <v>1119</v>
      </c>
      <c r="E52" s="176" t="s">
        <v>1787</v>
      </c>
      <c r="F52" s="173">
        <v>46629</v>
      </c>
      <c r="G52" s="173" t="s">
        <v>137</v>
      </c>
      <c r="H52" s="174">
        <v>6</v>
      </c>
      <c r="I52" s="155"/>
      <c r="L52" s="178"/>
      <c r="M52" s="177" t="s">
        <v>2299</v>
      </c>
      <c r="N52" s="144" t="s">
        <v>1432</v>
      </c>
    </row>
    <row r="53" spans="1:14">
      <c r="A53" s="140" t="str">
        <f t="shared" si="0"/>
        <v>03542-00020-07</v>
      </c>
      <c r="C53" s="175" t="s">
        <v>136</v>
      </c>
      <c r="D53" s="176" t="s">
        <v>1119</v>
      </c>
      <c r="E53" s="176" t="s">
        <v>1787</v>
      </c>
      <c r="F53" s="173">
        <v>46839</v>
      </c>
      <c r="G53" s="173" t="s">
        <v>137</v>
      </c>
      <c r="H53" s="174">
        <v>7</v>
      </c>
      <c r="I53" s="155"/>
      <c r="L53" s="178"/>
      <c r="M53" s="177" t="s">
        <v>2299</v>
      </c>
      <c r="N53" s="144" t="s">
        <v>1432</v>
      </c>
    </row>
    <row r="54" spans="1:14">
      <c r="A54" s="140" t="str">
        <f t="shared" si="0"/>
        <v>03542-00020-08</v>
      </c>
      <c r="C54" s="175" t="s">
        <v>136</v>
      </c>
      <c r="D54" s="176" t="s">
        <v>1119</v>
      </c>
      <c r="E54" s="176" t="s">
        <v>1787</v>
      </c>
      <c r="F54" s="173">
        <v>47086</v>
      </c>
      <c r="G54" s="173" t="s">
        <v>137</v>
      </c>
      <c r="H54" s="174">
        <v>8</v>
      </c>
      <c r="I54" s="155"/>
      <c r="L54" s="178"/>
      <c r="M54" s="177" t="s">
        <v>2299</v>
      </c>
      <c r="N54" s="144" t="s">
        <v>1432</v>
      </c>
    </row>
    <row r="55" spans="1:14">
      <c r="A55" s="140" t="str">
        <f t="shared" si="0"/>
        <v>03542-00020-09</v>
      </c>
      <c r="C55" s="175" t="s">
        <v>136</v>
      </c>
      <c r="D55" s="176" t="s">
        <v>1119</v>
      </c>
      <c r="E55" s="176" t="s">
        <v>1787</v>
      </c>
      <c r="F55" s="173">
        <v>47467</v>
      </c>
      <c r="G55" s="173" t="s">
        <v>137</v>
      </c>
      <c r="H55" s="174">
        <v>9</v>
      </c>
      <c r="I55" s="155"/>
      <c r="L55" s="178"/>
      <c r="M55" s="177" t="s">
        <v>2301</v>
      </c>
      <c r="N55" s="144" t="s">
        <v>1432</v>
      </c>
    </row>
    <row r="56" spans="1:14">
      <c r="A56" s="140" t="str">
        <f t="shared" si="0"/>
        <v>03542-00020-10</v>
      </c>
      <c r="C56" s="175" t="s">
        <v>136</v>
      </c>
      <c r="D56" s="176" t="s">
        <v>1119</v>
      </c>
      <c r="E56" s="176" t="s">
        <v>1787</v>
      </c>
      <c r="F56" s="173">
        <v>47975</v>
      </c>
      <c r="G56" s="173" t="s">
        <v>137</v>
      </c>
      <c r="H56" s="174">
        <v>10</v>
      </c>
      <c r="I56" s="155"/>
      <c r="L56" s="178"/>
      <c r="M56" s="177" t="s">
        <v>2301</v>
      </c>
      <c r="N56" s="144" t="s">
        <v>1432</v>
      </c>
    </row>
    <row r="57" spans="1:14">
      <c r="A57" s="140" t="str">
        <f t="shared" si="0"/>
        <v>03542-00020-11</v>
      </c>
      <c r="C57" s="175" t="s">
        <v>136</v>
      </c>
      <c r="D57" s="176" t="s">
        <v>1119</v>
      </c>
      <c r="E57" s="176" t="s">
        <v>1787</v>
      </c>
      <c r="F57" s="173">
        <v>50466</v>
      </c>
      <c r="G57" s="173" t="s">
        <v>137</v>
      </c>
      <c r="H57" s="174">
        <v>11</v>
      </c>
      <c r="I57" s="155"/>
      <c r="L57" s="178"/>
      <c r="M57" s="177"/>
      <c r="N57" s="144" t="s">
        <v>1432</v>
      </c>
    </row>
    <row r="58" spans="1:14">
      <c r="A58" s="140" t="str">
        <f t="shared" si="0"/>
        <v>03542-00020-12</v>
      </c>
      <c r="B58" s="145" t="s">
        <v>6</v>
      </c>
      <c r="C58" s="175" t="s">
        <v>136</v>
      </c>
      <c r="D58" s="176" t="s">
        <v>1119</v>
      </c>
      <c r="E58" s="176" t="s">
        <v>1787</v>
      </c>
      <c r="F58" s="173">
        <v>55511</v>
      </c>
      <c r="G58" s="173" t="s">
        <v>137</v>
      </c>
      <c r="H58" s="174">
        <v>12</v>
      </c>
      <c r="I58" s="155" t="s">
        <v>390</v>
      </c>
      <c r="J58" s="144" t="s">
        <v>391</v>
      </c>
      <c r="K58" s="144" t="s">
        <v>47</v>
      </c>
      <c r="M58" s="177" t="s">
        <v>506</v>
      </c>
      <c r="N58" s="144" t="s">
        <v>1432</v>
      </c>
    </row>
    <row r="59" spans="1:14">
      <c r="A59" s="140" t="str">
        <f t="shared" si="0"/>
        <v>03542-00063-00</v>
      </c>
      <c r="C59" s="175" t="s">
        <v>136</v>
      </c>
      <c r="D59" s="176" t="s">
        <v>1119</v>
      </c>
      <c r="E59" s="176" t="s">
        <v>1787</v>
      </c>
      <c r="F59" s="173">
        <v>47366</v>
      </c>
      <c r="G59" s="173" t="s">
        <v>138</v>
      </c>
      <c r="H59" s="174">
        <v>0</v>
      </c>
      <c r="I59" s="155"/>
      <c r="L59" s="144" t="s">
        <v>139</v>
      </c>
      <c r="M59" s="177"/>
      <c r="N59" s="144" t="s">
        <v>1432</v>
      </c>
    </row>
    <row r="60" spans="1:14">
      <c r="A60" s="140" t="str">
        <f t="shared" si="0"/>
        <v>03542-00063-01</v>
      </c>
      <c r="C60" s="175" t="s">
        <v>136</v>
      </c>
      <c r="D60" s="176" t="s">
        <v>1119</v>
      </c>
      <c r="E60" s="176" t="s">
        <v>1787</v>
      </c>
      <c r="F60" s="173">
        <v>47467</v>
      </c>
      <c r="G60" s="173" t="s">
        <v>138</v>
      </c>
      <c r="H60" s="174">
        <v>1</v>
      </c>
      <c r="I60" s="155"/>
      <c r="L60" s="144"/>
      <c r="M60" s="177"/>
      <c r="N60" s="144" t="s">
        <v>1432</v>
      </c>
    </row>
    <row r="61" spans="1:14">
      <c r="A61" s="140" t="str">
        <f t="shared" si="0"/>
        <v>03542-00063-02</v>
      </c>
      <c r="C61" s="175" t="s">
        <v>136</v>
      </c>
      <c r="D61" s="176" t="s">
        <v>1119</v>
      </c>
      <c r="E61" s="176" t="s">
        <v>1787</v>
      </c>
      <c r="F61" s="173">
        <v>50466</v>
      </c>
      <c r="G61" s="173" t="s">
        <v>138</v>
      </c>
      <c r="H61" s="174">
        <v>2</v>
      </c>
      <c r="I61" s="155"/>
      <c r="L61" s="144"/>
      <c r="M61" s="177"/>
      <c r="N61" s="144" t="s">
        <v>1432</v>
      </c>
    </row>
    <row r="62" spans="1:14">
      <c r="A62" s="140" t="str">
        <f t="shared" si="0"/>
        <v>03542-00063-03</v>
      </c>
      <c r="B62" s="145" t="s">
        <v>90</v>
      </c>
      <c r="C62" s="175" t="s">
        <v>136</v>
      </c>
      <c r="D62" s="176" t="s">
        <v>1119</v>
      </c>
      <c r="E62" s="176" t="s">
        <v>1787</v>
      </c>
      <c r="F62" s="173">
        <v>55511</v>
      </c>
      <c r="G62" s="173" t="s">
        <v>138</v>
      </c>
      <c r="H62" s="174">
        <v>3</v>
      </c>
      <c r="I62" s="155" t="s">
        <v>393</v>
      </c>
      <c r="J62" s="144" t="s">
        <v>47</v>
      </c>
      <c r="K62" s="144" t="s">
        <v>47</v>
      </c>
      <c r="M62" s="177"/>
      <c r="N62" s="144" t="s">
        <v>1432</v>
      </c>
    </row>
    <row r="63" spans="1:14">
      <c r="A63" s="140" t="str">
        <f t="shared" si="0"/>
        <v>03542-00065-00</v>
      </c>
      <c r="C63" s="175" t="s">
        <v>136</v>
      </c>
      <c r="D63" s="176" t="s">
        <v>1119</v>
      </c>
      <c r="E63" s="176" t="s">
        <v>1787</v>
      </c>
      <c r="F63" s="173">
        <v>48878</v>
      </c>
      <c r="G63" s="173" t="s">
        <v>140</v>
      </c>
      <c r="H63" s="174">
        <v>0</v>
      </c>
      <c r="I63" s="155"/>
      <c r="L63" s="178" t="s">
        <v>395</v>
      </c>
      <c r="M63" s="177" t="s">
        <v>2301</v>
      </c>
      <c r="N63" s="144" t="s">
        <v>1432</v>
      </c>
    </row>
    <row r="64" spans="1:14">
      <c r="A64" s="140" t="str">
        <f t="shared" si="0"/>
        <v>03542-00065-01</v>
      </c>
      <c r="C64" s="175" t="s">
        <v>136</v>
      </c>
      <c r="D64" s="176" t="s">
        <v>1119</v>
      </c>
      <c r="E64" s="176" t="s">
        <v>1787</v>
      </c>
      <c r="F64" s="173">
        <v>49337</v>
      </c>
      <c r="G64" s="173" t="s">
        <v>140</v>
      </c>
      <c r="H64" s="174">
        <v>1</v>
      </c>
      <c r="I64" s="155"/>
      <c r="L64" s="179"/>
      <c r="M64" s="177" t="s">
        <v>2301</v>
      </c>
      <c r="N64" s="144" t="s">
        <v>1432</v>
      </c>
    </row>
    <row r="65" spans="1:15">
      <c r="A65" s="140" t="str">
        <f t="shared" si="0"/>
        <v>03542-00065-02</v>
      </c>
      <c r="C65" s="175" t="s">
        <v>136</v>
      </c>
      <c r="D65" s="176" t="s">
        <v>1119</v>
      </c>
      <c r="E65" s="176" t="s">
        <v>1787</v>
      </c>
      <c r="F65" s="173">
        <v>49603</v>
      </c>
      <c r="G65" s="173" t="s">
        <v>140</v>
      </c>
      <c r="H65" s="174">
        <v>2</v>
      </c>
      <c r="I65" s="155"/>
      <c r="L65" s="179"/>
      <c r="M65" s="177" t="s">
        <v>2302</v>
      </c>
      <c r="N65" s="144" t="s">
        <v>1432</v>
      </c>
    </row>
    <row r="66" spans="1:15">
      <c r="A66" s="140" t="str">
        <f t="shared" ref="A66:A129" si="1">G66&amp;"-"&amp;TEXT(H66,"00")</f>
        <v>03542-00065-03</v>
      </c>
      <c r="C66" s="175" t="s">
        <v>136</v>
      </c>
      <c r="D66" s="176" t="s">
        <v>1119</v>
      </c>
      <c r="E66" s="176" t="s">
        <v>1787</v>
      </c>
      <c r="F66" s="173">
        <v>49853</v>
      </c>
      <c r="G66" s="173" t="s">
        <v>140</v>
      </c>
      <c r="H66" s="174">
        <v>3</v>
      </c>
      <c r="I66" s="155"/>
      <c r="L66" s="179"/>
      <c r="M66" s="177" t="s">
        <v>2301</v>
      </c>
      <c r="N66" s="144" t="s">
        <v>1432</v>
      </c>
    </row>
    <row r="67" spans="1:15">
      <c r="A67" s="140" t="str">
        <f t="shared" si="1"/>
        <v>03542-00065-04</v>
      </c>
      <c r="C67" s="175" t="s">
        <v>136</v>
      </c>
      <c r="D67" s="176" t="s">
        <v>1119</v>
      </c>
      <c r="E67" s="176" t="s">
        <v>1787</v>
      </c>
      <c r="F67" s="173">
        <v>50466</v>
      </c>
      <c r="G67" s="173" t="s">
        <v>140</v>
      </c>
      <c r="H67" s="174">
        <v>4</v>
      </c>
      <c r="I67" s="155"/>
      <c r="L67" s="179"/>
      <c r="M67" s="177"/>
      <c r="N67" s="144" t="s">
        <v>1432</v>
      </c>
    </row>
    <row r="68" spans="1:15">
      <c r="A68" s="140" t="str">
        <f t="shared" si="1"/>
        <v>03542-00065-05</v>
      </c>
      <c r="C68" s="175" t="s">
        <v>136</v>
      </c>
      <c r="D68" s="176" t="s">
        <v>1119</v>
      </c>
      <c r="E68" s="176" t="s">
        <v>1787</v>
      </c>
      <c r="F68" s="173">
        <v>51420</v>
      </c>
      <c r="G68" s="173" t="s">
        <v>140</v>
      </c>
      <c r="H68" s="174">
        <v>5</v>
      </c>
      <c r="I68" s="155"/>
      <c r="L68" s="179"/>
      <c r="M68" s="177" t="s">
        <v>2301</v>
      </c>
      <c r="N68" s="144" t="s">
        <v>1432</v>
      </c>
      <c r="O68" s="150"/>
    </row>
    <row r="69" spans="1:15">
      <c r="A69" s="140" t="str">
        <f t="shared" si="1"/>
        <v>03542-00065-06</v>
      </c>
      <c r="C69" s="175" t="s">
        <v>136</v>
      </c>
      <c r="D69" s="176" t="s">
        <v>1119</v>
      </c>
      <c r="E69" s="176" t="s">
        <v>1787</v>
      </c>
      <c r="F69" s="173">
        <v>53270</v>
      </c>
      <c r="G69" s="173" t="s">
        <v>140</v>
      </c>
      <c r="H69" s="174">
        <v>6</v>
      </c>
      <c r="I69" s="155"/>
      <c r="L69" s="179"/>
      <c r="M69" s="177" t="s">
        <v>2301</v>
      </c>
      <c r="N69" s="144" t="s">
        <v>1432</v>
      </c>
    </row>
    <row r="70" spans="1:15">
      <c r="A70" s="140" t="str">
        <f t="shared" si="1"/>
        <v>03542-00065-07</v>
      </c>
      <c r="C70" s="175" t="s">
        <v>136</v>
      </c>
      <c r="D70" s="176" t="s">
        <v>1119</v>
      </c>
      <c r="E70" s="176" t="s">
        <v>1787</v>
      </c>
      <c r="F70" s="173">
        <v>54464</v>
      </c>
      <c r="G70" s="173" t="s">
        <v>140</v>
      </c>
      <c r="H70" s="174">
        <v>7</v>
      </c>
      <c r="I70" s="155" t="s">
        <v>1159</v>
      </c>
      <c r="L70" s="180" t="s">
        <v>1157</v>
      </c>
      <c r="M70" s="177" t="s">
        <v>2300</v>
      </c>
      <c r="N70" s="144" t="s">
        <v>1432</v>
      </c>
    </row>
    <row r="71" spans="1:15">
      <c r="A71" s="140" t="str">
        <f t="shared" si="1"/>
        <v>03542-00065-08</v>
      </c>
      <c r="B71" s="145" t="s">
        <v>6</v>
      </c>
      <c r="C71" s="175" t="s">
        <v>136</v>
      </c>
      <c r="D71" s="176" t="s">
        <v>1119</v>
      </c>
      <c r="E71" s="176" t="s">
        <v>1787</v>
      </c>
      <c r="F71" s="173">
        <v>55511</v>
      </c>
      <c r="G71" s="173" t="s">
        <v>140</v>
      </c>
      <c r="H71" s="174">
        <v>8</v>
      </c>
      <c r="I71" s="155" t="s">
        <v>396</v>
      </c>
      <c r="J71" s="144" t="s">
        <v>47</v>
      </c>
      <c r="K71" s="144" t="s">
        <v>47</v>
      </c>
      <c r="M71" s="177" t="s">
        <v>2300</v>
      </c>
      <c r="N71" s="144" t="s">
        <v>1432</v>
      </c>
    </row>
    <row r="72" spans="1:15">
      <c r="A72" s="140" t="str">
        <f t="shared" si="1"/>
        <v>03542-00070-00</v>
      </c>
      <c r="C72" s="175" t="s">
        <v>136</v>
      </c>
      <c r="D72" s="176" t="s">
        <v>1119</v>
      </c>
      <c r="E72" s="176" t="s">
        <v>1787</v>
      </c>
      <c r="F72" s="173">
        <v>49795</v>
      </c>
      <c r="G72" s="173" t="s">
        <v>142</v>
      </c>
      <c r="H72" s="174">
        <v>0</v>
      </c>
      <c r="I72" s="155"/>
      <c r="L72" s="144" t="s">
        <v>143</v>
      </c>
      <c r="M72" s="177"/>
      <c r="N72" s="144" t="s">
        <v>1432</v>
      </c>
    </row>
    <row r="73" spans="1:15">
      <c r="A73" s="140" t="str">
        <f t="shared" si="1"/>
        <v>03542-00070-01</v>
      </c>
      <c r="C73" s="175" t="s">
        <v>136</v>
      </c>
      <c r="D73" s="176" t="s">
        <v>1119</v>
      </c>
      <c r="E73" s="176" t="s">
        <v>1787</v>
      </c>
      <c r="F73" s="173">
        <v>50466</v>
      </c>
      <c r="G73" s="173" t="s">
        <v>142</v>
      </c>
      <c r="H73" s="174">
        <v>1</v>
      </c>
      <c r="I73" s="155"/>
      <c r="L73" s="178"/>
      <c r="M73" s="177"/>
      <c r="N73" s="144" t="s">
        <v>1432</v>
      </c>
    </row>
    <row r="74" spans="1:15">
      <c r="A74" s="140" t="str">
        <f t="shared" si="1"/>
        <v>03542-00070-02</v>
      </c>
      <c r="B74" s="145" t="s">
        <v>6</v>
      </c>
      <c r="C74" s="175" t="s">
        <v>136</v>
      </c>
      <c r="D74" s="176" t="s">
        <v>1119</v>
      </c>
      <c r="E74" s="176" t="s">
        <v>1787</v>
      </c>
      <c r="F74" s="173">
        <v>55511</v>
      </c>
      <c r="G74" s="173" t="s">
        <v>142</v>
      </c>
      <c r="H74" s="174">
        <v>2</v>
      </c>
      <c r="I74" s="155" t="s">
        <v>397</v>
      </c>
      <c r="M74" s="177"/>
      <c r="N74" s="144" t="s">
        <v>1432</v>
      </c>
    </row>
    <row r="75" spans="1:15">
      <c r="A75" s="140" t="str">
        <f t="shared" si="1"/>
        <v>03542-00091-00</v>
      </c>
      <c r="C75" s="175" t="s">
        <v>803</v>
      </c>
      <c r="D75" s="176" t="s">
        <v>1119</v>
      </c>
      <c r="E75" s="176" t="s">
        <v>1787</v>
      </c>
      <c r="F75" s="173">
        <v>63015</v>
      </c>
      <c r="G75" s="173" t="s">
        <v>1026</v>
      </c>
      <c r="H75" s="174">
        <v>0</v>
      </c>
      <c r="I75" s="155" t="s">
        <v>1045</v>
      </c>
      <c r="L75" s="178"/>
      <c r="M75" s="177" t="s">
        <v>506</v>
      </c>
      <c r="N75" s="144" t="s">
        <v>1432</v>
      </c>
    </row>
    <row r="76" spans="1:15">
      <c r="A76" s="140" t="str">
        <f t="shared" si="1"/>
        <v>03542-00091-01</v>
      </c>
      <c r="C76" s="175" t="s">
        <v>803</v>
      </c>
      <c r="D76" s="176" t="s">
        <v>1119</v>
      </c>
      <c r="E76" s="176" t="s">
        <v>1787</v>
      </c>
      <c r="F76" s="173">
        <v>63433</v>
      </c>
      <c r="G76" s="173" t="s">
        <v>984</v>
      </c>
      <c r="H76" s="174">
        <v>1</v>
      </c>
      <c r="I76" s="144" t="s">
        <v>1143</v>
      </c>
      <c r="L76" s="143" t="s">
        <v>1142</v>
      </c>
      <c r="M76" s="177" t="s">
        <v>506</v>
      </c>
      <c r="N76" s="144" t="s">
        <v>1432</v>
      </c>
    </row>
    <row r="77" spans="1:15">
      <c r="A77" s="140" t="str">
        <f t="shared" si="1"/>
        <v>03642-00034-00</v>
      </c>
      <c r="C77" s="175" t="s">
        <v>154</v>
      </c>
      <c r="D77" s="176" t="s">
        <v>1119</v>
      </c>
      <c r="E77" s="176" t="s">
        <v>1787</v>
      </c>
      <c r="F77" s="173">
        <v>47399</v>
      </c>
      <c r="G77" s="173" t="s">
        <v>155</v>
      </c>
      <c r="H77" s="174">
        <v>0</v>
      </c>
      <c r="I77" s="155"/>
      <c r="L77" s="178" t="s">
        <v>187</v>
      </c>
      <c r="M77" s="177" t="s">
        <v>2303</v>
      </c>
      <c r="N77" s="144" t="s">
        <v>1432</v>
      </c>
    </row>
    <row r="78" spans="1:15">
      <c r="A78" s="140" t="str">
        <f t="shared" si="1"/>
        <v>03642-00034-01</v>
      </c>
      <c r="C78" s="175" t="s">
        <v>154</v>
      </c>
      <c r="D78" s="176" t="s">
        <v>1119</v>
      </c>
      <c r="E78" s="176" t="s">
        <v>1787</v>
      </c>
      <c r="F78" s="173">
        <v>48702</v>
      </c>
      <c r="G78" s="173" t="s">
        <v>155</v>
      </c>
      <c r="H78" s="174">
        <v>1</v>
      </c>
      <c r="I78" s="155"/>
      <c r="L78" s="178"/>
      <c r="M78" s="177" t="s">
        <v>2303</v>
      </c>
      <c r="N78" s="144" t="s">
        <v>1432</v>
      </c>
    </row>
    <row r="79" spans="1:15">
      <c r="A79" s="140" t="str">
        <f t="shared" si="1"/>
        <v>03642-00034-02</v>
      </c>
      <c r="C79" s="175" t="s">
        <v>154</v>
      </c>
      <c r="D79" s="176" t="s">
        <v>1119</v>
      </c>
      <c r="E79" s="176" t="s">
        <v>1787</v>
      </c>
      <c r="F79" s="173">
        <v>49134</v>
      </c>
      <c r="G79" s="173" t="s">
        <v>155</v>
      </c>
      <c r="H79" s="174">
        <v>2</v>
      </c>
      <c r="I79" s="155"/>
      <c r="L79" s="178"/>
      <c r="M79" s="177" t="s">
        <v>2303</v>
      </c>
      <c r="N79" s="144" t="s">
        <v>1432</v>
      </c>
    </row>
    <row r="80" spans="1:15">
      <c r="A80" s="140" t="str">
        <f t="shared" si="1"/>
        <v>03642-00034-03</v>
      </c>
      <c r="C80" s="175" t="s">
        <v>154</v>
      </c>
      <c r="D80" s="176" t="s">
        <v>1119</v>
      </c>
      <c r="E80" s="176" t="s">
        <v>1787</v>
      </c>
      <c r="F80" s="173">
        <v>49402</v>
      </c>
      <c r="G80" s="173" t="s">
        <v>155</v>
      </c>
      <c r="H80" s="174">
        <v>3</v>
      </c>
      <c r="I80" s="155"/>
      <c r="L80" s="178"/>
      <c r="M80" s="177" t="s">
        <v>2303</v>
      </c>
      <c r="N80" s="144" t="s">
        <v>1432</v>
      </c>
    </row>
    <row r="81" spans="1:15">
      <c r="A81" s="140" t="str">
        <f t="shared" si="1"/>
        <v>03642-00034-04</v>
      </c>
      <c r="C81" s="175" t="s">
        <v>154</v>
      </c>
      <c r="D81" s="176" t="s">
        <v>1119</v>
      </c>
      <c r="E81" s="176" t="s">
        <v>1787</v>
      </c>
      <c r="F81" s="173">
        <v>49504</v>
      </c>
      <c r="G81" s="173" t="s">
        <v>155</v>
      </c>
      <c r="H81" s="174">
        <v>4</v>
      </c>
      <c r="I81" s="155"/>
      <c r="L81" s="178"/>
      <c r="M81" s="177" t="s">
        <v>2303</v>
      </c>
      <c r="N81" s="144" t="s">
        <v>1432</v>
      </c>
    </row>
    <row r="82" spans="1:15">
      <c r="A82" s="140" t="str">
        <f t="shared" si="1"/>
        <v>03642-00034-05</v>
      </c>
      <c r="C82" s="175" t="s">
        <v>154</v>
      </c>
      <c r="D82" s="176" t="s">
        <v>1119</v>
      </c>
      <c r="E82" s="176" t="s">
        <v>1787</v>
      </c>
      <c r="F82" s="173">
        <v>50466</v>
      </c>
      <c r="G82" s="173" t="s">
        <v>155</v>
      </c>
      <c r="H82" s="174">
        <v>5</v>
      </c>
      <c r="I82" s="155"/>
      <c r="L82" s="178"/>
      <c r="M82" s="177"/>
      <c r="N82" s="144" t="s">
        <v>1432</v>
      </c>
    </row>
    <row r="83" spans="1:15">
      <c r="A83" s="140" t="str">
        <f t="shared" si="1"/>
        <v>03642-00034-06</v>
      </c>
      <c r="C83" s="175" t="s">
        <v>154</v>
      </c>
      <c r="D83" s="176" t="s">
        <v>1119</v>
      </c>
      <c r="E83" s="176" t="s">
        <v>1787</v>
      </c>
      <c r="F83" s="173">
        <v>51631</v>
      </c>
      <c r="G83" s="173" t="s">
        <v>155</v>
      </c>
      <c r="H83" s="174">
        <v>6</v>
      </c>
      <c r="I83" s="155"/>
      <c r="L83" s="178"/>
      <c r="M83" s="177" t="s">
        <v>2304</v>
      </c>
      <c r="N83" s="144" t="s">
        <v>1432</v>
      </c>
    </row>
    <row r="84" spans="1:15">
      <c r="A84" s="140" t="str">
        <f t="shared" si="1"/>
        <v>03642-00034-07</v>
      </c>
      <c r="C84" s="175" t="s">
        <v>154</v>
      </c>
      <c r="D84" s="176" t="s">
        <v>1119</v>
      </c>
      <c r="E84" s="176" t="s">
        <v>1787</v>
      </c>
      <c r="F84" s="173">
        <v>53264</v>
      </c>
      <c r="G84" s="173" t="s">
        <v>155</v>
      </c>
      <c r="H84" s="174">
        <v>7</v>
      </c>
      <c r="I84" s="155"/>
      <c r="L84" s="178"/>
      <c r="M84" s="177" t="s">
        <v>2304</v>
      </c>
      <c r="N84" s="144" t="s">
        <v>1432</v>
      </c>
    </row>
    <row r="85" spans="1:15">
      <c r="A85" s="140" t="str">
        <f t="shared" si="1"/>
        <v>03642-00034-08</v>
      </c>
      <c r="B85" s="145" t="s">
        <v>6</v>
      </c>
      <c r="C85" s="175" t="s">
        <v>154</v>
      </c>
      <c r="D85" s="176" t="s">
        <v>1119</v>
      </c>
      <c r="E85" s="176" t="s">
        <v>1787</v>
      </c>
      <c r="F85" s="173">
        <v>54790</v>
      </c>
      <c r="G85" s="173" t="s">
        <v>155</v>
      </c>
      <c r="H85" s="174">
        <v>8</v>
      </c>
      <c r="I85" s="144" t="s">
        <v>404</v>
      </c>
      <c r="K85" s="150"/>
      <c r="M85" s="177" t="s">
        <v>2304</v>
      </c>
      <c r="N85" s="144" t="s">
        <v>1432</v>
      </c>
      <c r="O85" s="150"/>
    </row>
    <row r="86" spans="1:15">
      <c r="A86" s="140" t="str">
        <f t="shared" si="1"/>
        <v>03642-00072-00</v>
      </c>
      <c r="C86" s="175" t="s">
        <v>403</v>
      </c>
      <c r="D86" s="176" t="s">
        <v>1119</v>
      </c>
      <c r="E86" s="176" t="s">
        <v>1787</v>
      </c>
      <c r="F86" s="173">
        <v>63015</v>
      </c>
      <c r="G86" s="173" t="s">
        <v>986</v>
      </c>
      <c r="H86" s="174">
        <v>0</v>
      </c>
      <c r="I86" s="144" t="s">
        <v>433</v>
      </c>
      <c r="M86" s="177" t="s">
        <v>818</v>
      </c>
      <c r="N86" s="144" t="s">
        <v>1432</v>
      </c>
    </row>
    <row r="87" spans="1:15">
      <c r="A87" s="140" t="str">
        <f t="shared" si="1"/>
        <v>03642-00072-01</v>
      </c>
      <c r="C87" s="175" t="s">
        <v>403</v>
      </c>
      <c r="D87" s="176" t="s">
        <v>1119</v>
      </c>
      <c r="E87" s="176" t="s">
        <v>1787</v>
      </c>
      <c r="F87" s="173">
        <v>63427</v>
      </c>
      <c r="G87" s="173" t="s">
        <v>986</v>
      </c>
      <c r="H87" s="174">
        <v>1</v>
      </c>
      <c r="I87" s="144" t="s">
        <v>1073</v>
      </c>
      <c r="L87" s="143" t="s">
        <v>1142</v>
      </c>
      <c r="M87" s="177" t="s">
        <v>818</v>
      </c>
      <c r="N87" s="144" t="s">
        <v>1432</v>
      </c>
    </row>
    <row r="88" spans="1:15">
      <c r="A88" s="140" t="str">
        <f t="shared" si="1"/>
        <v>03642-00327-00</v>
      </c>
      <c r="C88" s="175" t="s">
        <v>863</v>
      </c>
      <c r="D88" s="176" t="s">
        <v>1119</v>
      </c>
      <c r="E88" s="176" t="s">
        <v>1787</v>
      </c>
      <c r="F88" s="173">
        <v>62121</v>
      </c>
      <c r="G88" s="173" t="s">
        <v>989</v>
      </c>
      <c r="H88" s="174">
        <v>0</v>
      </c>
      <c r="I88" s="144" t="s">
        <v>433</v>
      </c>
      <c r="M88" s="177" t="s">
        <v>840</v>
      </c>
      <c r="N88" s="144" t="s">
        <v>1432</v>
      </c>
    </row>
    <row r="89" spans="1:15">
      <c r="A89" s="140" t="str">
        <f t="shared" si="1"/>
        <v>03701-00065-00</v>
      </c>
      <c r="C89" s="175" t="s">
        <v>1346</v>
      </c>
      <c r="D89" s="176" t="s">
        <v>1230</v>
      </c>
      <c r="E89" s="176"/>
      <c r="F89" s="173" t="s">
        <v>1504</v>
      </c>
      <c r="G89" s="173" t="s">
        <v>1500</v>
      </c>
      <c r="H89" s="174">
        <v>0</v>
      </c>
      <c r="I89" s="144" t="s">
        <v>1508</v>
      </c>
      <c r="L89" s="143" t="s">
        <v>1509</v>
      </c>
      <c r="M89" s="177"/>
      <c r="N89" s="144" t="s">
        <v>47</v>
      </c>
    </row>
    <row r="90" spans="1:15">
      <c r="A90" s="140" t="str">
        <f t="shared" si="1"/>
        <v>03701-00065-01</v>
      </c>
      <c r="C90" s="175" t="s">
        <v>1346</v>
      </c>
      <c r="D90" s="176" t="s">
        <v>1230</v>
      </c>
      <c r="E90" s="176"/>
      <c r="F90" s="173" t="s">
        <v>1506</v>
      </c>
      <c r="G90" s="173" t="s">
        <v>1500</v>
      </c>
      <c r="H90" s="174">
        <v>1</v>
      </c>
      <c r="I90" s="144" t="s">
        <v>1510</v>
      </c>
      <c r="L90" s="143" t="s">
        <v>1511</v>
      </c>
      <c r="M90" s="177"/>
      <c r="N90" s="144" t="s">
        <v>47</v>
      </c>
    </row>
    <row r="91" spans="1:15">
      <c r="A91" s="140" t="str">
        <f t="shared" si="1"/>
        <v>03701-00065-02</v>
      </c>
      <c r="C91" s="175" t="s">
        <v>1346</v>
      </c>
      <c r="D91" s="176" t="s">
        <v>1230</v>
      </c>
      <c r="E91" s="176"/>
      <c r="F91" s="173" t="s">
        <v>1505</v>
      </c>
      <c r="G91" s="173" t="s">
        <v>1500</v>
      </c>
      <c r="H91" s="174">
        <v>2</v>
      </c>
      <c r="I91" s="144" t="s">
        <v>1513</v>
      </c>
      <c r="L91" s="143" t="s">
        <v>1512</v>
      </c>
      <c r="M91" s="177"/>
      <c r="N91" s="144" t="s">
        <v>47</v>
      </c>
    </row>
    <row r="92" spans="1:15">
      <c r="A92" s="140" t="str">
        <f t="shared" si="1"/>
        <v>03701-00065-03</v>
      </c>
      <c r="C92" s="175" t="s">
        <v>1346</v>
      </c>
      <c r="D92" s="176" t="s">
        <v>1230</v>
      </c>
      <c r="E92" s="176"/>
      <c r="F92" s="173" t="s">
        <v>1507</v>
      </c>
      <c r="G92" s="173" t="s">
        <v>1500</v>
      </c>
      <c r="H92" s="174">
        <v>3</v>
      </c>
      <c r="I92" s="144" t="s">
        <v>1308</v>
      </c>
      <c r="L92" s="143" t="s">
        <v>1516</v>
      </c>
      <c r="M92" s="177"/>
      <c r="N92" s="144" t="s">
        <v>47</v>
      </c>
    </row>
    <row r="93" spans="1:15">
      <c r="A93" s="140" t="str">
        <f t="shared" si="1"/>
        <v>03701-00065-04</v>
      </c>
      <c r="C93" s="175" t="s">
        <v>1346</v>
      </c>
      <c r="D93" s="176" t="s">
        <v>1230</v>
      </c>
      <c r="E93" s="176"/>
      <c r="F93" s="173" t="s">
        <v>1501</v>
      </c>
      <c r="G93" s="173" t="s">
        <v>1500</v>
      </c>
      <c r="H93" s="174">
        <v>4</v>
      </c>
      <c r="I93" s="144" t="s">
        <v>1514</v>
      </c>
      <c r="L93" s="143" t="s">
        <v>1841</v>
      </c>
      <c r="M93" s="177"/>
      <c r="N93" s="144" t="s">
        <v>47</v>
      </c>
    </row>
    <row r="94" spans="1:15">
      <c r="A94" s="140" t="str">
        <f t="shared" si="1"/>
        <v>03701-00066-00</v>
      </c>
      <c r="C94" s="175" t="s">
        <v>1346</v>
      </c>
      <c r="D94" s="176" t="s">
        <v>1230</v>
      </c>
      <c r="E94" s="176"/>
      <c r="F94" s="173" t="s">
        <v>1521</v>
      </c>
      <c r="G94" s="173" t="s">
        <v>1502</v>
      </c>
      <c r="H94" s="174">
        <v>0</v>
      </c>
      <c r="I94" s="144" t="s">
        <v>1517</v>
      </c>
      <c r="L94" s="143" t="s">
        <v>1518</v>
      </c>
      <c r="M94" s="177"/>
      <c r="N94" s="144" t="s">
        <v>47</v>
      </c>
    </row>
    <row r="95" spans="1:15">
      <c r="A95" s="140" t="str">
        <f t="shared" si="1"/>
        <v>03701-00066-01</v>
      </c>
      <c r="C95" s="175" t="s">
        <v>1346</v>
      </c>
      <c r="D95" s="176" t="s">
        <v>1230</v>
      </c>
      <c r="E95" s="176"/>
      <c r="F95" s="173" t="s">
        <v>1506</v>
      </c>
      <c r="G95" s="173" t="s">
        <v>1502</v>
      </c>
      <c r="H95" s="174">
        <v>1</v>
      </c>
      <c r="I95" s="144" t="s">
        <v>1519</v>
      </c>
      <c r="L95" s="143" t="s">
        <v>1511</v>
      </c>
      <c r="M95" s="177"/>
      <c r="N95" s="144" t="s">
        <v>47</v>
      </c>
    </row>
    <row r="96" spans="1:15">
      <c r="A96" s="140" t="str">
        <f t="shared" si="1"/>
        <v>03701-00066-02</v>
      </c>
      <c r="C96" s="175" t="s">
        <v>1346</v>
      </c>
      <c r="D96" s="176" t="s">
        <v>1230</v>
      </c>
      <c r="E96" s="176"/>
      <c r="F96" s="173" t="s">
        <v>1522</v>
      </c>
      <c r="G96" s="173" t="s">
        <v>1502</v>
      </c>
      <c r="H96" s="174">
        <v>2</v>
      </c>
      <c r="I96" s="144" t="s">
        <v>1429</v>
      </c>
      <c r="L96" s="143" t="s">
        <v>1524</v>
      </c>
      <c r="M96" s="177"/>
      <c r="N96" s="144" t="s">
        <v>47</v>
      </c>
    </row>
    <row r="97" spans="1:15">
      <c r="A97" s="140" t="str">
        <f t="shared" si="1"/>
        <v>03701-00066-03</v>
      </c>
      <c r="C97" s="175" t="s">
        <v>1346</v>
      </c>
      <c r="D97" s="176" t="s">
        <v>1230</v>
      </c>
      <c r="E97" s="176"/>
      <c r="F97" s="173" t="s">
        <v>1523</v>
      </c>
      <c r="G97" s="173" t="s">
        <v>1502</v>
      </c>
      <c r="H97" s="174">
        <v>3</v>
      </c>
      <c r="I97" s="144" t="s">
        <v>1520</v>
      </c>
      <c r="L97" s="143" t="s">
        <v>1524</v>
      </c>
      <c r="M97" s="177"/>
      <c r="N97" s="144" t="s">
        <v>47</v>
      </c>
    </row>
    <row r="98" spans="1:15">
      <c r="A98" s="140" t="str">
        <f t="shared" si="1"/>
        <v>03701-00066-04</v>
      </c>
      <c r="C98" s="175" t="s">
        <v>1346</v>
      </c>
      <c r="D98" s="176" t="s">
        <v>1230</v>
      </c>
      <c r="E98" s="176"/>
      <c r="F98" s="173" t="s">
        <v>1507</v>
      </c>
      <c r="G98" s="173" t="s">
        <v>1502</v>
      </c>
      <c r="H98" s="174">
        <v>4</v>
      </c>
      <c r="I98" s="144" t="s">
        <v>1417</v>
      </c>
      <c r="L98" s="143" t="s">
        <v>1516</v>
      </c>
      <c r="M98" s="177"/>
      <c r="N98" s="144" t="s">
        <v>47</v>
      </c>
    </row>
    <row r="99" spans="1:15">
      <c r="A99" s="140" t="str">
        <f t="shared" si="1"/>
        <v>03701-00066-05</v>
      </c>
      <c r="C99" s="175" t="s">
        <v>1346</v>
      </c>
      <c r="D99" s="176" t="s">
        <v>1230</v>
      </c>
      <c r="E99" s="176"/>
      <c r="F99" s="173" t="s">
        <v>1501</v>
      </c>
      <c r="G99" s="173" t="s">
        <v>1502</v>
      </c>
      <c r="H99" s="174">
        <v>5</v>
      </c>
      <c r="I99" s="144" t="s">
        <v>1842</v>
      </c>
      <c r="L99" s="143" t="s">
        <v>1841</v>
      </c>
      <c r="M99" s="177"/>
      <c r="N99" s="144" t="s">
        <v>47</v>
      </c>
    </row>
    <row r="100" spans="1:15">
      <c r="A100" s="140" t="str">
        <f t="shared" si="1"/>
        <v>03742-00133-00</v>
      </c>
      <c r="C100" s="175" t="s">
        <v>197</v>
      </c>
      <c r="D100" s="176" t="s">
        <v>1119</v>
      </c>
      <c r="E100" s="176" t="s">
        <v>1787</v>
      </c>
      <c r="F100" s="173">
        <v>50132</v>
      </c>
      <c r="G100" s="173" t="s">
        <v>198</v>
      </c>
      <c r="H100" s="174">
        <v>0</v>
      </c>
      <c r="I100" s="144" t="s">
        <v>1194</v>
      </c>
      <c r="L100" s="178" t="s">
        <v>187</v>
      </c>
      <c r="M100" s="177" t="s">
        <v>1594</v>
      </c>
      <c r="N100" s="144" t="s">
        <v>1432</v>
      </c>
    </row>
    <row r="101" spans="1:15">
      <c r="A101" s="140" t="str">
        <f t="shared" si="1"/>
        <v>03742-00133-01</v>
      </c>
      <c r="C101" s="175" t="s">
        <v>197</v>
      </c>
      <c r="D101" s="176" t="s">
        <v>1119</v>
      </c>
      <c r="E101" s="176" t="s">
        <v>1787</v>
      </c>
      <c r="F101" s="173">
        <v>51617</v>
      </c>
      <c r="G101" s="173" t="s">
        <v>198</v>
      </c>
      <c r="H101" s="174">
        <v>1</v>
      </c>
      <c r="I101" s="144" t="s">
        <v>1194</v>
      </c>
      <c r="L101" s="178" t="s">
        <v>1203</v>
      </c>
      <c r="M101" s="177" t="s">
        <v>2305</v>
      </c>
      <c r="N101" s="144" t="s">
        <v>1432</v>
      </c>
    </row>
    <row r="102" spans="1:15">
      <c r="A102" s="140" t="str">
        <f t="shared" si="1"/>
        <v>03742-00133-02</v>
      </c>
      <c r="C102" s="175" t="s">
        <v>197</v>
      </c>
      <c r="D102" s="176" t="s">
        <v>1119</v>
      </c>
      <c r="E102" s="176" t="s">
        <v>1787</v>
      </c>
      <c r="F102" s="173">
        <v>53787</v>
      </c>
      <c r="G102" s="173" t="s">
        <v>198</v>
      </c>
      <c r="H102" s="174">
        <v>2</v>
      </c>
      <c r="I102" s="144" t="s">
        <v>1198</v>
      </c>
      <c r="L102" s="178" t="s">
        <v>1204</v>
      </c>
      <c r="M102" s="177" t="s">
        <v>2305</v>
      </c>
      <c r="N102" s="144" t="s">
        <v>1432</v>
      </c>
    </row>
    <row r="103" spans="1:15">
      <c r="A103" s="140" t="str">
        <f t="shared" si="1"/>
        <v>03742-00133-03</v>
      </c>
      <c r="C103" s="175" t="s">
        <v>197</v>
      </c>
      <c r="D103" s="176" t="s">
        <v>1119</v>
      </c>
      <c r="E103" s="176" t="s">
        <v>1787</v>
      </c>
      <c r="F103" s="173">
        <v>54269</v>
      </c>
      <c r="G103" s="173" t="s">
        <v>198</v>
      </c>
      <c r="H103" s="174">
        <v>3</v>
      </c>
      <c r="I103" s="144" t="s">
        <v>1195</v>
      </c>
      <c r="L103" s="178" t="s">
        <v>1814</v>
      </c>
      <c r="M103" s="177" t="s">
        <v>2305</v>
      </c>
      <c r="N103" s="144" t="s">
        <v>1432</v>
      </c>
    </row>
    <row r="104" spans="1:15">
      <c r="A104" s="140" t="str">
        <f t="shared" si="1"/>
        <v>03742-00133-04</v>
      </c>
      <c r="C104" s="175" t="s">
        <v>197</v>
      </c>
      <c r="D104" s="176" t="s">
        <v>1119</v>
      </c>
      <c r="E104" s="176" t="s">
        <v>1787</v>
      </c>
      <c r="F104" s="173">
        <v>54324</v>
      </c>
      <c r="G104" s="173" t="s">
        <v>198</v>
      </c>
      <c r="H104" s="174">
        <v>4</v>
      </c>
      <c r="I104" s="144" t="s">
        <v>312</v>
      </c>
      <c r="L104" s="178" t="s">
        <v>1205</v>
      </c>
      <c r="M104" s="177" t="s">
        <v>2305</v>
      </c>
      <c r="N104" s="144" t="s">
        <v>1432</v>
      </c>
    </row>
    <row r="105" spans="1:15">
      <c r="A105" s="140" t="str">
        <f t="shared" si="1"/>
        <v>03742-00133-05</v>
      </c>
      <c r="C105" s="175" t="s">
        <v>197</v>
      </c>
      <c r="D105" s="176" t="s">
        <v>1119</v>
      </c>
      <c r="E105" s="176" t="s">
        <v>1787</v>
      </c>
      <c r="F105" s="173">
        <v>54905</v>
      </c>
      <c r="G105" s="173" t="s">
        <v>198</v>
      </c>
      <c r="H105" s="174">
        <v>5</v>
      </c>
      <c r="I105" s="144" t="s">
        <v>263</v>
      </c>
      <c r="L105" s="178" t="s">
        <v>1206</v>
      </c>
      <c r="M105" s="177" t="s">
        <v>2306</v>
      </c>
      <c r="N105" s="144" t="s">
        <v>1432</v>
      </c>
      <c r="O105" s="150"/>
    </row>
    <row r="106" spans="1:15">
      <c r="A106" s="140" t="str">
        <f t="shared" si="1"/>
        <v>03742-00133-06</v>
      </c>
      <c r="C106" s="175" t="s">
        <v>197</v>
      </c>
      <c r="D106" s="176" t="s">
        <v>1119</v>
      </c>
      <c r="E106" s="176" t="s">
        <v>1787</v>
      </c>
      <c r="F106" s="173">
        <v>54648</v>
      </c>
      <c r="G106" s="173" t="s">
        <v>198</v>
      </c>
      <c r="H106" s="174">
        <v>6</v>
      </c>
      <c r="I106" s="144" t="s">
        <v>1196</v>
      </c>
      <c r="L106" s="178" t="s">
        <v>1207</v>
      </c>
      <c r="M106" s="177" t="s">
        <v>2305</v>
      </c>
      <c r="N106" s="144" t="s">
        <v>1432</v>
      </c>
      <c r="O106" s="150"/>
    </row>
    <row r="107" spans="1:15">
      <c r="A107" s="140" t="str">
        <f t="shared" si="1"/>
        <v>03742-00133-07</v>
      </c>
      <c r="C107" s="175" t="s">
        <v>197</v>
      </c>
      <c r="D107" s="176" t="s">
        <v>1119</v>
      </c>
      <c r="E107" s="176" t="s">
        <v>1787</v>
      </c>
      <c r="F107" s="173">
        <v>55139</v>
      </c>
      <c r="G107" s="173" t="s">
        <v>198</v>
      </c>
      <c r="H107" s="174">
        <v>7</v>
      </c>
      <c r="I107" s="144" t="s">
        <v>1197</v>
      </c>
      <c r="L107" s="178" t="s">
        <v>1208</v>
      </c>
      <c r="M107" s="177" t="s">
        <v>1593</v>
      </c>
      <c r="N107" s="144" t="s">
        <v>1432</v>
      </c>
    </row>
    <row r="108" spans="1:15">
      <c r="A108" s="140" t="str">
        <f t="shared" si="1"/>
        <v>03742-00133-08</v>
      </c>
      <c r="C108" s="175" t="s">
        <v>197</v>
      </c>
      <c r="D108" s="176" t="s">
        <v>1119</v>
      </c>
      <c r="E108" s="176" t="s">
        <v>1787</v>
      </c>
      <c r="F108" s="173">
        <v>54721</v>
      </c>
      <c r="G108" s="173" t="s">
        <v>198</v>
      </c>
      <c r="H108" s="174">
        <v>8</v>
      </c>
      <c r="I108" s="144" t="s">
        <v>1199</v>
      </c>
      <c r="L108" s="178" t="s">
        <v>1815</v>
      </c>
      <c r="M108" s="177" t="s">
        <v>2305</v>
      </c>
      <c r="N108" s="144" t="s">
        <v>1432</v>
      </c>
      <c r="O108" s="150"/>
    </row>
    <row r="109" spans="1:15">
      <c r="A109" s="140" t="str">
        <f t="shared" si="1"/>
        <v>03742-00133-09</v>
      </c>
      <c r="C109" s="175" t="s">
        <v>197</v>
      </c>
      <c r="D109" s="176" t="s">
        <v>1119</v>
      </c>
      <c r="E109" s="176" t="s">
        <v>1787</v>
      </c>
      <c r="F109" s="173">
        <v>55674</v>
      </c>
      <c r="G109" s="173" t="s">
        <v>198</v>
      </c>
      <c r="H109" s="174">
        <v>9</v>
      </c>
      <c r="I109" s="144" t="s">
        <v>1200</v>
      </c>
      <c r="L109" s="178" t="s">
        <v>1816</v>
      </c>
      <c r="M109" s="177" t="s">
        <v>2305</v>
      </c>
      <c r="N109" s="144" t="s">
        <v>1432</v>
      </c>
    </row>
    <row r="110" spans="1:15">
      <c r="A110" s="140" t="str">
        <f t="shared" si="1"/>
        <v>03742-00133-10</v>
      </c>
      <c r="C110" s="175" t="s">
        <v>197</v>
      </c>
      <c r="D110" s="176" t="s">
        <v>1119</v>
      </c>
      <c r="E110" s="176" t="s">
        <v>1787</v>
      </c>
      <c r="F110" s="173">
        <v>55994</v>
      </c>
      <c r="G110" s="173" t="s">
        <v>198</v>
      </c>
      <c r="H110" s="174">
        <v>10</v>
      </c>
      <c r="I110" s="144" t="s">
        <v>1201</v>
      </c>
      <c r="L110" s="178" t="s">
        <v>1817</v>
      </c>
      <c r="M110" s="177" t="s">
        <v>2305</v>
      </c>
      <c r="N110" s="144" t="s">
        <v>1432</v>
      </c>
    </row>
    <row r="111" spans="1:15">
      <c r="A111" s="140" t="str">
        <f t="shared" si="1"/>
        <v>03742-00133-11</v>
      </c>
      <c r="B111" s="145" t="s">
        <v>6</v>
      </c>
      <c r="C111" s="175" t="s">
        <v>197</v>
      </c>
      <c r="D111" s="176" t="s">
        <v>1119</v>
      </c>
      <c r="E111" s="176" t="s">
        <v>1787</v>
      </c>
      <c r="F111" s="173">
        <v>60238</v>
      </c>
      <c r="G111" s="173" t="s">
        <v>198</v>
      </c>
      <c r="H111" s="174">
        <v>11</v>
      </c>
      <c r="I111" s="144" t="s">
        <v>268</v>
      </c>
      <c r="J111" s="144" t="s">
        <v>47</v>
      </c>
      <c r="K111" s="144" t="s">
        <v>47</v>
      </c>
      <c r="L111" s="143" t="s">
        <v>1818</v>
      </c>
      <c r="M111" s="177" t="s">
        <v>2305</v>
      </c>
      <c r="N111" s="144" t="s">
        <v>1432</v>
      </c>
    </row>
    <row r="112" spans="1:15">
      <c r="A112" s="140" t="str">
        <f t="shared" si="1"/>
        <v>03742-00133-12</v>
      </c>
      <c r="C112" s="175" t="s">
        <v>197</v>
      </c>
      <c r="D112" s="176" t="s">
        <v>1119</v>
      </c>
      <c r="E112" s="176" t="s">
        <v>1787</v>
      </c>
      <c r="F112" s="173">
        <v>61179</v>
      </c>
      <c r="G112" s="173" t="s">
        <v>198</v>
      </c>
      <c r="H112" s="174">
        <v>12</v>
      </c>
      <c r="I112" s="144" t="s">
        <v>1202</v>
      </c>
      <c r="L112" s="143" t="s">
        <v>1819</v>
      </c>
      <c r="M112" s="177" t="s">
        <v>2305</v>
      </c>
      <c r="N112" s="144" t="s">
        <v>1432</v>
      </c>
    </row>
    <row r="113" spans="1:15">
      <c r="A113" s="140" t="str">
        <f t="shared" si="1"/>
        <v>03742-00133-13</v>
      </c>
      <c r="C113" s="175" t="s">
        <v>197</v>
      </c>
      <c r="D113" s="176" t="s">
        <v>1119</v>
      </c>
      <c r="E113" s="176" t="s">
        <v>1787</v>
      </c>
      <c r="F113" s="173">
        <v>63236</v>
      </c>
      <c r="G113" s="173" t="s">
        <v>198</v>
      </c>
      <c r="H113" s="174">
        <v>13</v>
      </c>
      <c r="I113" s="144" t="s">
        <v>1210</v>
      </c>
      <c r="L113" s="143" t="s">
        <v>1209</v>
      </c>
      <c r="M113" s="177"/>
      <c r="N113" s="144" t="s">
        <v>1432</v>
      </c>
    </row>
    <row r="114" spans="1:15">
      <c r="A114" s="140" t="str">
        <f t="shared" si="1"/>
        <v>03742-00414-00</v>
      </c>
      <c r="B114" s="145" t="s">
        <v>49</v>
      </c>
      <c r="C114" s="175" t="s">
        <v>182</v>
      </c>
      <c r="D114" s="176" t="s">
        <v>1119</v>
      </c>
      <c r="E114" s="176" t="s">
        <v>1787</v>
      </c>
      <c r="F114" s="173">
        <v>45012</v>
      </c>
      <c r="G114" s="173" t="s">
        <v>1062</v>
      </c>
      <c r="H114" s="174">
        <v>0</v>
      </c>
      <c r="I114" s="144" t="s">
        <v>1588</v>
      </c>
      <c r="K114" s="150"/>
      <c r="L114" s="178"/>
      <c r="M114" s="177"/>
      <c r="N114" s="144" t="s">
        <v>1432</v>
      </c>
    </row>
    <row r="115" spans="1:15">
      <c r="A115" s="140" t="str">
        <f t="shared" si="1"/>
        <v>03742-00529-00</v>
      </c>
      <c r="C115" s="175" t="s">
        <v>199</v>
      </c>
      <c r="D115" s="176" t="s">
        <v>1119</v>
      </c>
      <c r="E115" s="176" t="s">
        <v>1787</v>
      </c>
      <c r="F115" s="173">
        <v>62516</v>
      </c>
      <c r="G115" s="173" t="s">
        <v>200</v>
      </c>
      <c r="H115" s="174">
        <v>0</v>
      </c>
      <c r="I115" s="144" t="s">
        <v>433</v>
      </c>
      <c r="L115" s="143" t="s">
        <v>1792</v>
      </c>
      <c r="M115" s="177" t="s">
        <v>1594</v>
      </c>
      <c r="N115" s="144" t="s">
        <v>1432</v>
      </c>
    </row>
    <row r="116" spans="1:15">
      <c r="A116" s="140" t="str">
        <f t="shared" si="1"/>
        <v>03742-00529-01</v>
      </c>
      <c r="B116" s="145" t="s">
        <v>6</v>
      </c>
      <c r="C116" s="175" t="s">
        <v>199</v>
      </c>
      <c r="D116" s="176" t="s">
        <v>1119</v>
      </c>
      <c r="E116" s="176" t="s">
        <v>1787</v>
      </c>
      <c r="F116" s="173">
        <v>62686</v>
      </c>
      <c r="G116" s="173" t="s">
        <v>200</v>
      </c>
      <c r="H116" s="174">
        <v>1</v>
      </c>
      <c r="I116" s="144" t="s">
        <v>1073</v>
      </c>
      <c r="J116" s="144" t="s">
        <v>1064</v>
      </c>
      <c r="K116" s="144" t="s">
        <v>47</v>
      </c>
      <c r="L116" s="178"/>
      <c r="M116" s="177" t="s">
        <v>1594</v>
      </c>
      <c r="N116" s="144" t="s">
        <v>1432</v>
      </c>
    </row>
    <row r="117" spans="1:15">
      <c r="A117" s="140" t="str">
        <f t="shared" si="1"/>
        <v>03742-00529-02</v>
      </c>
      <c r="C117" s="175" t="s">
        <v>199</v>
      </c>
      <c r="D117" s="176" t="s">
        <v>1119</v>
      </c>
      <c r="E117" s="176" t="s">
        <v>1787</v>
      </c>
      <c r="F117" s="173" t="s">
        <v>1507</v>
      </c>
      <c r="G117" s="173" t="s">
        <v>200</v>
      </c>
      <c r="H117" s="174">
        <v>2</v>
      </c>
      <c r="I117" s="144" t="s">
        <v>373</v>
      </c>
      <c r="L117" s="143" t="s">
        <v>1209</v>
      </c>
      <c r="M117" s="177" t="s">
        <v>2305</v>
      </c>
      <c r="N117" s="144" t="s">
        <v>1432</v>
      </c>
    </row>
    <row r="118" spans="1:15">
      <c r="A118" s="140" t="str">
        <f t="shared" si="1"/>
        <v>03742-00529-03</v>
      </c>
      <c r="C118" s="175" t="s">
        <v>199</v>
      </c>
      <c r="D118" s="176" t="s">
        <v>1119</v>
      </c>
      <c r="E118" s="176" t="s">
        <v>1787</v>
      </c>
      <c r="F118" s="173" t="s">
        <v>1449</v>
      </c>
      <c r="G118" s="173" t="s">
        <v>200</v>
      </c>
      <c r="H118" s="174">
        <v>3</v>
      </c>
      <c r="I118" s="144" t="s">
        <v>1447</v>
      </c>
      <c r="L118" s="143" t="s">
        <v>1451</v>
      </c>
      <c r="M118" s="177" t="s">
        <v>1594</v>
      </c>
      <c r="N118" s="144" t="s">
        <v>47</v>
      </c>
    </row>
    <row r="119" spans="1:15" ht="54">
      <c r="A119" s="140" t="str">
        <f t="shared" si="1"/>
        <v>03742-00529-04</v>
      </c>
      <c r="C119" s="175" t="s">
        <v>199</v>
      </c>
      <c r="D119" s="176" t="s">
        <v>1119</v>
      </c>
      <c r="E119" s="176" t="s">
        <v>1787</v>
      </c>
      <c r="F119" s="173" t="s">
        <v>1783</v>
      </c>
      <c r="G119" s="173" t="s">
        <v>200</v>
      </c>
      <c r="H119" s="174">
        <v>4</v>
      </c>
      <c r="I119" s="144" t="s">
        <v>269</v>
      </c>
      <c r="L119" s="156" t="s">
        <v>1797</v>
      </c>
      <c r="M119" s="177"/>
      <c r="N119" s="144" t="s">
        <v>47</v>
      </c>
    </row>
    <row r="120" spans="1:15">
      <c r="A120" s="140" t="str">
        <f t="shared" si="1"/>
        <v>03742-00557-00</v>
      </c>
      <c r="C120" s="175" t="s">
        <v>199</v>
      </c>
      <c r="D120" s="176" t="s">
        <v>1119</v>
      </c>
      <c r="E120" s="176" t="s">
        <v>1787</v>
      </c>
      <c r="F120" s="173" t="s">
        <v>1449</v>
      </c>
      <c r="G120" s="173" t="s">
        <v>1444</v>
      </c>
      <c r="H120" s="174">
        <v>0</v>
      </c>
      <c r="I120" s="144" t="s">
        <v>1447</v>
      </c>
      <c r="L120" s="143" t="s">
        <v>1450</v>
      </c>
      <c r="M120" s="177" t="s">
        <v>1594</v>
      </c>
      <c r="N120" s="144" t="s">
        <v>1452</v>
      </c>
    </row>
    <row r="121" spans="1:15" ht="54">
      <c r="A121" s="140" t="str">
        <f t="shared" si="1"/>
        <v>03742-00557-01</v>
      </c>
      <c r="C121" s="175" t="s">
        <v>199</v>
      </c>
      <c r="D121" s="176" t="s">
        <v>1119</v>
      </c>
      <c r="E121" s="176" t="s">
        <v>1787</v>
      </c>
      <c r="F121" s="173" t="s">
        <v>1783</v>
      </c>
      <c r="G121" s="173" t="s">
        <v>1444</v>
      </c>
      <c r="H121" s="174">
        <v>1</v>
      </c>
      <c r="I121" s="144" t="s">
        <v>269</v>
      </c>
      <c r="L121" s="156" t="s">
        <v>1797</v>
      </c>
      <c r="M121" s="177"/>
      <c r="N121" s="144" t="s">
        <v>47</v>
      </c>
    </row>
    <row r="122" spans="1:15">
      <c r="A122" s="140" t="str">
        <f t="shared" si="1"/>
        <v>03942-00087-00</v>
      </c>
      <c r="C122" s="175" t="s">
        <v>183</v>
      </c>
      <c r="D122" s="176" t="s">
        <v>1119</v>
      </c>
      <c r="E122" s="176" t="s">
        <v>1787</v>
      </c>
      <c r="F122" s="173">
        <v>49467</v>
      </c>
      <c r="G122" s="173" t="s">
        <v>184</v>
      </c>
      <c r="H122" s="174">
        <v>0</v>
      </c>
      <c r="K122" s="150"/>
      <c r="L122" s="178" t="s">
        <v>187</v>
      </c>
      <c r="M122" s="177" t="s">
        <v>878</v>
      </c>
      <c r="N122" s="144" t="s">
        <v>1432</v>
      </c>
    </row>
    <row r="123" spans="1:15">
      <c r="A123" s="140" t="str">
        <f t="shared" si="1"/>
        <v>03942-00087-01</v>
      </c>
      <c r="C123" s="175" t="s">
        <v>183</v>
      </c>
      <c r="D123" s="176" t="s">
        <v>1119</v>
      </c>
      <c r="E123" s="176" t="s">
        <v>1787</v>
      </c>
      <c r="F123" s="173">
        <v>51175</v>
      </c>
      <c r="G123" s="173" t="s">
        <v>184</v>
      </c>
      <c r="H123" s="174">
        <v>1</v>
      </c>
      <c r="K123" s="150"/>
      <c r="L123" s="178"/>
      <c r="M123" s="177" t="s">
        <v>878</v>
      </c>
      <c r="N123" s="144" t="s">
        <v>1432</v>
      </c>
      <c r="O123" s="150"/>
    </row>
    <row r="124" spans="1:15">
      <c r="A124" s="140" t="str">
        <f t="shared" si="1"/>
        <v>03942-00087-02</v>
      </c>
      <c r="C124" s="175" t="s">
        <v>183</v>
      </c>
      <c r="D124" s="176" t="s">
        <v>1119</v>
      </c>
      <c r="E124" s="176" t="s">
        <v>1787</v>
      </c>
      <c r="F124" s="173">
        <v>50879</v>
      </c>
      <c r="G124" s="173" t="s">
        <v>184</v>
      </c>
      <c r="H124" s="174">
        <v>2</v>
      </c>
      <c r="K124" s="150"/>
      <c r="L124" s="178"/>
      <c r="M124" s="177" t="s">
        <v>878</v>
      </c>
      <c r="N124" s="144" t="s">
        <v>1432</v>
      </c>
    </row>
    <row r="125" spans="1:15">
      <c r="A125" s="140" t="str">
        <f t="shared" si="1"/>
        <v>03942-00087-03</v>
      </c>
      <c r="C125" s="175" t="s">
        <v>183</v>
      </c>
      <c r="D125" s="176" t="s">
        <v>1119</v>
      </c>
      <c r="E125" s="176" t="s">
        <v>1787</v>
      </c>
      <c r="F125" s="173">
        <v>51751</v>
      </c>
      <c r="G125" s="173" t="s">
        <v>184</v>
      </c>
      <c r="H125" s="174">
        <v>3</v>
      </c>
      <c r="K125" s="150"/>
      <c r="L125" s="178"/>
      <c r="M125" s="177" t="s">
        <v>878</v>
      </c>
      <c r="N125" s="144" t="s">
        <v>1432</v>
      </c>
      <c r="O125" s="150"/>
    </row>
    <row r="126" spans="1:15">
      <c r="A126" s="140" t="str">
        <f t="shared" si="1"/>
        <v>03942-00087-04</v>
      </c>
      <c r="C126" s="175" t="s">
        <v>183</v>
      </c>
      <c r="D126" s="176" t="s">
        <v>1119</v>
      </c>
      <c r="E126" s="176" t="s">
        <v>1787</v>
      </c>
      <c r="F126" s="173">
        <v>53280</v>
      </c>
      <c r="G126" s="173" t="s">
        <v>184</v>
      </c>
      <c r="H126" s="174">
        <v>4</v>
      </c>
      <c r="K126" s="150"/>
      <c r="L126" s="178"/>
      <c r="M126" s="177" t="s">
        <v>878</v>
      </c>
      <c r="N126" s="144" t="s">
        <v>1432</v>
      </c>
    </row>
    <row r="127" spans="1:15">
      <c r="A127" s="140" t="str">
        <f t="shared" si="1"/>
        <v>03942-00087-05</v>
      </c>
      <c r="C127" s="175" t="s">
        <v>183</v>
      </c>
      <c r="D127" s="176" t="s">
        <v>1119</v>
      </c>
      <c r="E127" s="176" t="s">
        <v>1787</v>
      </c>
      <c r="F127" s="173">
        <v>53573</v>
      </c>
      <c r="G127" s="173" t="s">
        <v>184</v>
      </c>
      <c r="H127" s="174">
        <v>5</v>
      </c>
      <c r="K127" s="150"/>
      <c r="L127" s="178"/>
      <c r="M127" s="177" t="s">
        <v>878</v>
      </c>
      <c r="N127" s="144" t="s">
        <v>1432</v>
      </c>
    </row>
    <row r="128" spans="1:15">
      <c r="A128" s="140" t="str">
        <f t="shared" si="1"/>
        <v>03942-00087-06</v>
      </c>
      <c r="C128" s="175" t="s">
        <v>183</v>
      </c>
      <c r="D128" s="176" t="s">
        <v>1119</v>
      </c>
      <c r="E128" s="176" t="s">
        <v>1787</v>
      </c>
      <c r="F128" s="173">
        <v>53722</v>
      </c>
      <c r="G128" s="173" t="s">
        <v>184</v>
      </c>
      <c r="H128" s="174">
        <v>6</v>
      </c>
      <c r="K128" s="150"/>
      <c r="L128" s="178"/>
      <c r="M128" s="177" t="s">
        <v>878</v>
      </c>
      <c r="N128" s="144" t="s">
        <v>1432</v>
      </c>
    </row>
    <row r="129" spans="1:14">
      <c r="A129" s="140" t="str">
        <f t="shared" si="1"/>
        <v>03942-00087-07</v>
      </c>
      <c r="C129" s="175" t="s">
        <v>183</v>
      </c>
      <c r="D129" s="176" t="s">
        <v>1119</v>
      </c>
      <c r="E129" s="176" t="s">
        <v>1787</v>
      </c>
      <c r="F129" s="173">
        <v>54464</v>
      </c>
      <c r="G129" s="173" t="s">
        <v>184</v>
      </c>
      <c r="H129" s="174">
        <v>7</v>
      </c>
      <c r="I129" s="144" t="s">
        <v>1196</v>
      </c>
      <c r="K129" s="150"/>
      <c r="L129" s="180" t="s">
        <v>1157</v>
      </c>
      <c r="M129" s="177" t="s">
        <v>878</v>
      </c>
      <c r="N129" s="144" t="s">
        <v>1432</v>
      </c>
    </row>
    <row r="130" spans="1:14">
      <c r="A130" s="140" t="str">
        <f t="shared" ref="A130:A193" si="2">G130&amp;"-"&amp;TEXT(H130,"00")</f>
        <v>03942-00087-08</v>
      </c>
      <c r="B130" s="145" t="s">
        <v>6</v>
      </c>
      <c r="C130" s="175" t="s">
        <v>183</v>
      </c>
      <c r="D130" s="176" t="s">
        <v>1119</v>
      </c>
      <c r="E130" s="176" t="s">
        <v>1787</v>
      </c>
      <c r="F130" s="173">
        <v>55134</v>
      </c>
      <c r="G130" s="173" t="s">
        <v>184</v>
      </c>
      <c r="H130" s="174">
        <v>8</v>
      </c>
      <c r="I130" s="144" t="s">
        <v>423</v>
      </c>
      <c r="J130" s="144" t="s">
        <v>47</v>
      </c>
      <c r="K130" s="144" t="s">
        <v>47</v>
      </c>
      <c r="M130" s="177" t="s">
        <v>878</v>
      </c>
      <c r="N130" s="144" t="s">
        <v>1432</v>
      </c>
    </row>
    <row r="131" spans="1:14">
      <c r="A131" s="140" t="str">
        <f t="shared" si="2"/>
        <v>05501-00021-00</v>
      </c>
      <c r="C131" s="175" t="s">
        <v>27</v>
      </c>
      <c r="D131" s="176" t="s">
        <v>1230</v>
      </c>
      <c r="E131" s="176"/>
      <c r="G131" s="173" t="s">
        <v>1311</v>
      </c>
      <c r="H131" s="174">
        <v>0</v>
      </c>
      <c r="M131" s="177"/>
      <c r="N131" s="144" t="s">
        <v>1432</v>
      </c>
    </row>
    <row r="132" spans="1:14">
      <c r="A132" s="140" t="str">
        <f t="shared" si="2"/>
        <v>05501-00029-09</v>
      </c>
      <c r="C132" s="175" t="s">
        <v>1858</v>
      </c>
      <c r="D132" s="176" t="s">
        <v>1858</v>
      </c>
      <c r="E132" s="176" t="s">
        <v>1858</v>
      </c>
      <c r="F132" s="173" t="s">
        <v>1411</v>
      </c>
      <c r="G132" s="173" t="s">
        <v>1414</v>
      </c>
      <c r="H132" s="174">
        <v>9</v>
      </c>
      <c r="I132" s="144" t="s">
        <v>1416</v>
      </c>
      <c r="L132" s="143" t="s">
        <v>1418</v>
      </c>
      <c r="M132" s="177"/>
      <c r="N132" s="144" t="s">
        <v>1432</v>
      </c>
    </row>
    <row r="133" spans="1:14">
      <c r="A133" s="140" t="str">
        <f t="shared" si="2"/>
        <v>05501-00059-10</v>
      </c>
      <c r="C133" s="175" t="s">
        <v>36</v>
      </c>
      <c r="D133" s="176" t="s">
        <v>1230</v>
      </c>
      <c r="E133" s="176"/>
      <c r="F133" s="173" t="s">
        <v>1410</v>
      </c>
      <c r="G133" s="173" t="s">
        <v>1425</v>
      </c>
      <c r="H133" s="174">
        <v>10</v>
      </c>
      <c r="I133" s="144" t="s">
        <v>1426</v>
      </c>
      <c r="L133" s="143" t="s">
        <v>1431</v>
      </c>
      <c r="M133" s="177"/>
      <c r="N133" s="144" t="s">
        <v>1432</v>
      </c>
    </row>
    <row r="134" spans="1:14">
      <c r="A134" s="140" t="str">
        <f t="shared" si="2"/>
        <v>05501-00060-02</v>
      </c>
      <c r="C134" s="175" t="s">
        <v>245</v>
      </c>
      <c r="D134" s="176" t="s">
        <v>1230</v>
      </c>
      <c r="E134" s="176"/>
      <c r="F134" s="173" t="s">
        <v>1410</v>
      </c>
      <c r="G134" s="173" t="s">
        <v>1428</v>
      </c>
      <c r="H134" s="174">
        <v>2</v>
      </c>
      <c r="I134" s="144" t="s">
        <v>1429</v>
      </c>
      <c r="L134" s="143" t="s">
        <v>1430</v>
      </c>
      <c r="M134" s="177"/>
      <c r="N134" s="144" t="s">
        <v>1432</v>
      </c>
    </row>
    <row r="135" spans="1:14">
      <c r="A135" s="140" t="str">
        <f t="shared" si="2"/>
        <v>05501-00086-04</v>
      </c>
      <c r="C135" s="175" t="s">
        <v>36</v>
      </c>
      <c r="D135" s="176" t="s">
        <v>1230</v>
      </c>
      <c r="E135" s="176"/>
      <c r="F135" s="173" t="s">
        <v>1411</v>
      </c>
      <c r="G135" s="173" t="s">
        <v>1415</v>
      </c>
      <c r="H135" s="174">
        <v>4</v>
      </c>
      <c r="I135" s="144" t="s">
        <v>1417</v>
      </c>
      <c r="L135" s="143" t="s">
        <v>1418</v>
      </c>
      <c r="M135" s="177"/>
      <c r="N135" s="144" t="s">
        <v>1432</v>
      </c>
    </row>
    <row r="136" spans="1:14">
      <c r="A136" s="140" t="str">
        <f t="shared" si="2"/>
        <v>05501-00086-05</v>
      </c>
      <c r="C136" s="175" t="s">
        <v>36</v>
      </c>
      <c r="D136" s="176" t="s">
        <v>1230</v>
      </c>
      <c r="E136" s="176"/>
      <c r="F136" s="173" t="s">
        <v>1410</v>
      </c>
      <c r="G136" s="173" t="s">
        <v>1415</v>
      </c>
      <c r="H136" s="174">
        <v>5</v>
      </c>
      <c r="I136" s="144" t="s">
        <v>1427</v>
      </c>
      <c r="L136" s="143" t="s">
        <v>1431</v>
      </c>
      <c r="M136" s="177"/>
      <c r="N136" s="144" t="s">
        <v>1432</v>
      </c>
    </row>
    <row r="137" spans="1:14">
      <c r="A137" s="140" t="str">
        <f t="shared" si="2"/>
        <v>05542-00024-00</v>
      </c>
      <c r="C137" s="175" t="s">
        <v>27</v>
      </c>
      <c r="D137" s="176" t="s">
        <v>1119</v>
      </c>
      <c r="E137" s="176" t="s">
        <v>1787</v>
      </c>
      <c r="F137" s="173">
        <v>40538</v>
      </c>
      <c r="G137" s="173" t="s">
        <v>28</v>
      </c>
      <c r="H137" s="174">
        <v>0</v>
      </c>
      <c r="L137" s="178"/>
      <c r="M137" s="177"/>
      <c r="N137" s="144" t="s">
        <v>1432</v>
      </c>
    </row>
    <row r="138" spans="1:14">
      <c r="A138" s="140" t="str">
        <f t="shared" si="2"/>
        <v>05542-00024-01</v>
      </c>
      <c r="C138" s="175" t="s">
        <v>27</v>
      </c>
      <c r="D138" s="176" t="s">
        <v>1119</v>
      </c>
      <c r="E138" s="176" t="s">
        <v>1787</v>
      </c>
      <c r="F138" s="173">
        <v>40677</v>
      </c>
      <c r="G138" s="173" t="s">
        <v>28</v>
      </c>
      <c r="H138" s="174">
        <v>1</v>
      </c>
      <c r="I138" s="146"/>
      <c r="L138" s="178"/>
      <c r="M138" s="177" t="s">
        <v>2307</v>
      </c>
      <c r="N138" s="144" t="s">
        <v>1432</v>
      </c>
    </row>
    <row r="139" spans="1:14">
      <c r="A139" s="140" t="str">
        <f t="shared" si="2"/>
        <v>05542-00024-02</v>
      </c>
      <c r="C139" s="175" t="s">
        <v>27</v>
      </c>
      <c r="D139" s="176" t="s">
        <v>1119</v>
      </c>
      <c r="E139" s="176" t="s">
        <v>1787</v>
      </c>
      <c r="F139" s="173">
        <v>41043</v>
      </c>
      <c r="G139" s="173" t="s">
        <v>28</v>
      </c>
      <c r="H139" s="174">
        <v>2</v>
      </c>
      <c r="I139" s="146"/>
      <c r="L139" s="178"/>
      <c r="M139" s="177" t="s">
        <v>262</v>
      </c>
      <c r="N139" s="144" t="s">
        <v>1432</v>
      </c>
    </row>
    <row r="140" spans="1:14">
      <c r="A140" s="140" t="str">
        <f t="shared" si="2"/>
        <v>05542-00024-03</v>
      </c>
      <c r="C140" s="175" t="s">
        <v>27</v>
      </c>
      <c r="D140" s="176" t="s">
        <v>1119</v>
      </c>
      <c r="E140" s="176" t="s">
        <v>1787</v>
      </c>
      <c r="F140" s="173">
        <v>41131</v>
      </c>
      <c r="G140" s="173" t="s">
        <v>28</v>
      </c>
      <c r="H140" s="174">
        <v>3</v>
      </c>
      <c r="I140" s="146"/>
      <c r="L140" s="178"/>
      <c r="M140" s="177" t="s">
        <v>262</v>
      </c>
      <c r="N140" s="144" t="s">
        <v>1432</v>
      </c>
    </row>
    <row r="141" spans="1:14">
      <c r="A141" s="140" t="str">
        <f t="shared" si="2"/>
        <v>05542-00024-04</v>
      </c>
      <c r="C141" s="175" t="s">
        <v>27</v>
      </c>
      <c r="D141" s="176" t="s">
        <v>1119</v>
      </c>
      <c r="E141" s="176" t="s">
        <v>1787</v>
      </c>
      <c r="F141" s="173">
        <v>41447</v>
      </c>
      <c r="G141" s="173" t="s">
        <v>28</v>
      </c>
      <c r="H141" s="174">
        <v>4</v>
      </c>
      <c r="I141" s="146"/>
      <c r="L141" s="178"/>
      <c r="M141" s="177"/>
      <c r="N141" s="144" t="s">
        <v>1432</v>
      </c>
    </row>
    <row r="142" spans="1:14">
      <c r="A142" s="140" t="str">
        <f t="shared" si="2"/>
        <v>05542-00024-05</v>
      </c>
      <c r="C142" s="175" t="s">
        <v>27</v>
      </c>
      <c r="D142" s="176" t="s">
        <v>1119</v>
      </c>
      <c r="E142" s="176" t="s">
        <v>1787</v>
      </c>
      <c r="F142" s="173">
        <v>42850</v>
      </c>
      <c r="G142" s="173" t="s">
        <v>28</v>
      </c>
      <c r="H142" s="174">
        <v>5</v>
      </c>
      <c r="I142" s="146"/>
      <c r="L142" s="178"/>
      <c r="M142" s="177" t="s">
        <v>2307</v>
      </c>
      <c r="N142" s="144" t="s">
        <v>1432</v>
      </c>
    </row>
    <row r="143" spans="1:14">
      <c r="A143" s="140" t="str">
        <f t="shared" si="2"/>
        <v>05542-00024-06</v>
      </c>
      <c r="C143" s="175" t="s">
        <v>27</v>
      </c>
      <c r="D143" s="176" t="s">
        <v>1119</v>
      </c>
      <c r="E143" s="176" t="s">
        <v>1787</v>
      </c>
      <c r="F143" s="173">
        <v>43589</v>
      </c>
      <c r="G143" s="173" t="s">
        <v>28</v>
      </c>
      <c r="H143" s="174">
        <v>6</v>
      </c>
      <c r="I143" s="146"/>
      <c r="L143" s="178"/>
      <c r="M143" s="177" t="s">
        <v>262</v>
      </c>
      <c r="N143" s="144" t="s">
        <v>1432</v>
      </c>
    </row>
    <row r="144" spans="1:14">
      <c r="A144" s="140" t="str">
        <f t="shared" si="2"/>
        <v>05542-00024-07</v>
      </c>
      <c r="C144" s="175" t="s">
        <v>27</v>
      </c>
      <c r="D144" s="176" t="s">
        <v>1119</v>
      </c>
      <c r="E144" s="176" t="s">
        <v>1787</v>
      </c>
      <c r="F144" s="173">
        <v>55511</v>
      </c>
      <c r="G144" s="173" t="s">
        <v>28</v>
      </c>
      <c r="H144" s="174">
        <v>7</v>
      </c>
      <c r="I144" s="144" t="s">
        <v>263</v>
      </c>
      <c r="L144" s="178"/>
      <c r="M144" s="177"/>
      <c r="N144" s="144" t="s">
        <v>1432</v>
      </c>
    </row>
    <row r="145" spans="1:14">
      <c r="A145" s="140" t="str">
        <f t="shared" si="2"/>
        <v>05542-00025-00</v>
      </c>
      <c r="C145" s="175" t="s">
        <v>144</v>
      </c>
      <c r="D145" s="176" t="s">
        <v>1119</v>
      </c>
      <c r="E145" s="176" t="s">
        <v>1787</v>
      </c>
      <c r="F145" s="173">
        <v>40652</v>
      </c>
      <c r="G145" s="173" t="s">
        <v>145</v>
      </c>
      <c r="H145" s="174">
        <v>0</v>
      </c>
      <c r="I145" s="155"/>
      <c r="L145" s="178" t="s">
        <v>1793</v>
      </c>
      <c r="M145" s="177" t="s">
        <v>2307</v>
      </c>
      <c r="N145" s="144" t="s">
        <v>1432</v>
      </c>
    </row>
    <row r="146" spans="1:14">
      <c r="A146" s="140" t="str">
        <f t="shared" si="2"/>
        <v>05542-00025-01</v>
      </c>
      <c r="C146" s="175" t="s">
        <v>144</v>
      </c>
      <c r="D146" s="176" t="s">
        <v>1119</v>
      </c>
      <c r="E146" s="176" t="s">
        <v>1787</v>
      </c>
      <c r="F146" s="173">
        <v>41447</v>
      </c>
      <c r="G146" s="173" t="s">
        <v>145</v>
      </c>
      <c r="H146" s="174">
        <v>1</v>
      </c>
      <c r="I146" s="155"/>
      <c r="L146" s="178"/>
      <c r="M146" s="177" t="s">
        <v>2307</v>
      </c>
      <c r="N146" s="144" t="s">
        <v>1432</v>
      </c>
    </row>
    <row r="147" spans="1:14">
      <c r="A147" s="140" t="str">
        <f t="shared" si="2"/>
        <v>05542-00025-02</v>
      </c>
      <c r="C147" s="175" t="s">
        <v>144</v>
      </c>
      <c r="D147" s="176" t="s">
        <v>1119</v>
      </c>
      <c r="E147" s="176" t="s">
        <v>1787</v>
      </c>
      <c r="F147" s="173">
        <v>42065</v>
      </c>
      <c r="G147" s="173" t="s">
        <v>145</v>
      </c>
      <c r="H147" s="174">
        <v>2</v>
      </c>
      <c r="I147" s="155"/>
      <c r="L147" s="178"/>
      <c r="M147" s="177" t="s">
        <v>2308</v>
      </c>
      <c r="N147" s="144" t="s">
        <v>1432</v>
      </c>
    </row>
    <row r="148" spans="1:14">
      <c r="A148" s="140" t="str">
        <f t="shared" si="2"/>
        <v>05542-00025-03</v>
      </c>
      <c r="C148" s="175" t="s">
        <v>144</v>
      </c>
      <c r="D148" s="176" t="s">
        <v>1119</v>
      </c>
      <c r="E148" s="176" t="s">
        <v>1787</v>
      </c>
      <c r="F148" s="173">
        <v>42659</v>
      </c>
      <c r="G148" s="173" t="s">
        <v>145</v>
      </c>
      <c r="H148" s="174">
        <v>3</v>
      </c>
      <c r="I148" s="155"/>
      <c r="L148" s="178"/>
      <c r="M148" s="177" t="s">
        <v>2309</v>
      </c>
      <c r="N148" s="144" t="s">
        <v>1432</v>
      </c>
    </row>
    <row r="149" spans="1:14">
      <c r="A149" s="140" t="str">
        <f t="shared" si="2"/>
        <v>05542-00025-04</v>
      </c>
      <c r="C149" s="175" t="s">
        <v>144</v>
      </c>
      <c r="D149" s="176" t="s">
        <v>1119</v>
      </c>
      <c r="E149" s="176" t="s">
        <v>1787</v>
      </c>
      <c r="F149" s="173">
        <v>43589</v>
      </c>
      <c r="G149" s="173" t="s">
        <v>145</v>
      </c>
      <c r="H149" s="174">
        <v>4</v>
      </c>
      <c r="I149" s="155"/>
      <c r="L149" s="178"/>
      <c r="M149" s="177" t="s">
        <v>2310</v>
      </c>
      <c r="N149" s="144" t="s">
        <v>1432</v>
      </c>
    </row>
    <row r="150" spans="1:14">
      <c r="A150" s="140" t="str">
        <f t="shared" si="2"/>
        <v>05542-00025-05</v>
      </c>
      <c r="C150" s="175" t="s">
        <v>144</v>
      </c>
      <c r="D150" s="176" t="s">
        <v>1119</v>
      </c>
      <c r="E150" s="176" t="s">
        <v>1787</v>
      </c>
      <c r="F150" s="173">
        <v>43748</v>
      </c>
      <c r="G150" s="173" t="s">
        <v>145</v>
      </c>
      <c r="H150" s="174">
        <v>5</v>
      </c>
      <c r="I150" s="155"/>
      <c r="L150" s="178"/>
      <c r="M150" s="177" t="s">
        <v>2310</v>
      </c>
      <c r="N150" s="144" t="s">
        <v>1432</v>
      </c>
    </row>
    <row r="151" spans="1:14">
      <c r="A151" s="140" t="str">
        <f t="shared" si="2"/>
        <v>05542-00025-06</v>
      </c>
      <c r="C151" s="175" t="s">
        <v>144</v>
      </c>
      <c r="D151" s="176" t="s">
        <v>1119</v>
      </c>
      <c r="E151" s="176" t="s">
        <v>1787</v>
      </c>
      <c r="F151" s="173">
        <v>47467</v>
      </c>
      <c r="G151" s="173" t="s">
        <v>145</v>
      </c>
      <c r="H151" s="174">
        <v>6</v>
      </c>
      <c r="I151" s="155"/>
      <c r="L151" s="178"/>
      <c r="M151" s="177"/>
      <c r="N151" s="144" t="s">
        <v>1432</v>
      </c>
    </row>
    <row r="152" spans="1:14">
      <c r="A152" s="140" t="str">
        <f t="shared" si="2"/>
        <v>05542-00025-07</v>
      </c>
      <c r="B152" s="145" t="s">
        <v>10</v>
      </c>
      <c r="C152" s="175" t="s">
        <v>144</v>
      </c>
      <c r="D152" s="176" t="s">
        <v>1119</v>
      </c>
      <c r="E152" s="176" t="s">
        <v>1787</v>
      </c>
      <c r="F152" s="173">
        <v>55511</v>
      </c>
      <c r="G152" s="173" t="s">
        <v>145</v>
      </c>
      <c r="H152" s="174">
        <v>7</v>
      </c>
      <c r="I152" s="155" t="s">
        <v>290</v>
      </c>
      <c r="J152" s="144" t="s">
        <v>47</v>
      </c>
      <c r="K152" s="144" t="s">
        <v>47</v>
      </c>
      <c r="M152" s="177"/>
      <c r="N152" s="144" t="s">
        <v>1432</v>
      </c>
    </row>
    <row r="153" spans="1:14">
      <c r="A153" s="140" t="str">
        <f t="shared" si="2"/>
        <v>05542-00083-00</v>
      </c>
      <c r="C153" s="175" t="s">
        <v>147</v>
      </c>
      <c r="D153" s="176" t="s">
        <v>1119</v>
      </c>
      <c r="E153" s="176" t="s">
        <v>1787</v>
      </c>
      <c r="F153" s="173">
        <v>42481</v>
      </c>
      <c r="G153" s="173" t="s">
        <v>148</v>
      </c>
      <c r="H153" s="174">
        <v>0</v>
      </c>
      <c r="I153" s="155"/>
      <c r="L153" s="178" t="s">
        <v>1794</v>
      </c>
      <c r="M153" s="177" t="s">
        <v>503</v>
      </c>
      <c r="N153" s="144" t="s">
        <v>1432</v>
      </c>
    </row>
    <row r="154" spans="1:14">
      <c r="A154" s="140" t="str">
        <f t="shared" si="2"/>
        <v>05542-00083-01</v>
      </c>
      <c r="C154" s="175" t="s">
        <v>147</v>
      </c>
      <c r="D154" s="176" t="s">
        <v>1119</v>
      </c>
      <c r="E154" s="176" t="s">
        <v>1787</v>
      </c>
      <c r="F154" s="173">
        <v>43589</v>
      </c>
      <c r="G154" s="173" t="s">
        <v>148</v>
      </c>
      <c r="H154" s="174">
        <v>1</v>
      </c>
      <c r="I154" s="155"/>
      <c r="L154" s="178"/>
      <c r="M154" s="177" t="s">
        <v>503</v>
      </c>
      <c r="N154" s="144" t="s">
        <v>1432</v>
      </c>
    </row>
    <row r="155" spans="1:14">
      <c r="A155" s="140" t="str">
        <f t="shared" si="2"/>
        <v>05542-00083-02</v>
      </c>
      <c r="C155" s="175" t="s">
        <v>147</v>
      </c>
      <c r="D155" s="176" t="s">
        <v>1119</v>
      </c>
      <c r="E155" s="176" t="s">
        <v>1787</v>
      </c>
      <c r="F155" s="173">
        <v>43748</v>
      </c>
      <c r="G155" s="173" t="s">
        <v>148</v>
      </c>
      <c r="H155" s="174">
        <v>2</v>
      </c>
      <c r="I155" s="155"/>
      <c r="L155" s="178"/>
      <c r="M155" s="177" t="s">
        <v>503</v>
      </c>
      <c r="N155" s="144" t="s">
        <v>1432</v>
      </c>
    </row>
    <row r="156" spans="1:14">
      <c r="A156" s="140" t="str">
        <f t="shared" si="2"/>
        <v>05542-00083-03</v>
      </c>
      <c r="B156" s="145" t="s">
        <v>10</v>
      </c>
      <c r="C156" s="175" t="s">
        <v>147</v>
      </c>
      <c r="D156" s="176" t="s">
        <v>1119</v>
      </c>
      <c r="E156" s="176" t="s">
        <v>1787</v>
      </c>
      <c r="F156" s="173">
        <v>55511</v>
      </c>
      <c r="G156" s="173" t="s">
        <v>148</v>
      </c>
      <c r="H156" s="174">
        <v>3</v>
      </c>
      <c r="I156" s="155" t="s">
        <v>298</v>
      </c>
      <c r="J156" s="144" t="s">
        <v>398</v>
      </c>
      <c r="K156" s="144" t="s">
        <v>399</v>
      </c>
      <c r="M156" s="177"/>
      <c r="N156" s="144" t="s">
        <v>1432</v>
      </c>
    </row>
    <row r="157" spans="1:14">
      <c r="A157" s="140" t="str">
        <f t="shared" si="2"/>
        <v>05542-00114-00</v>
      </c>
      <c r="C157" s="175" t="s">
        <v>27</v>
      </c>
      <c r="D157" s="176" t="s">
        <v>1119</v>
      </c>
      <c r="E157" s="176" t="s">
        <v>1787</v>
      </c>
      <c r="F157" s="173">
        <v>46235</v>
      </c>
      <c r="G157" s="173" t="s">
        <v>30</v>
      </c>
      <c r="H157" s="174">
        <v>0</v>
      </c>
      <c r="L157" s="178"/>
      <c r="M157" s="177" t="s">
        <v>262</v>
      </c>
      <c r="N157" s="144" t="s">
        <v>1432</v>
      </c>
    </row>
    <row r="158" spans="1:14">
      <c r="A158" s="140" t="str">
        <f t="shared" si="2"/>
        <v>05542-00114-01</v>
      </c>
      <c r="C158" s="175" t="s">
        <v>27</v>
      </c>
      <c r="D158" s="176" t="s">
        <v>1119</v>
      </c>
      <c r="E158" s="176" t="s">
        <v>1787</v>
      </c>
      <c r="F158" s="173">
        <v>46554</v>
      </c>
      <c r="G158" s="173" t="s">
        <v>30</v>
      </c>
      <c r="H158" s="174">
        <v>1</v>
      </c>
      <c r="L158" s="178"/>
      <c r="M158" s="177" t="s">
        <v>2307</v>
      </c>
      <c r="N158" s="144" t="s">
        <v>1432</v>
      </c>
    </row>
    <row r="159" spans="1:14">
      <c r="A159" s="140" t="str">
        <f t="shared" si="2"/>
        <v>05542-00114-02</v>
      </c>
      <c r="C159" s="175" t="s">
        <v>27</v>
      </c>
      <c r="D159" s="176" t="s">
        <v>1119</v>
      </c>
      <c r="E159" s="176" t="s">
        <v>1787</v>
      </c>
      <c r="F159" s="173">
        <v>47519</v>
      </c>
      <c r="G159" s="173" t="s">
        <v>30</v>
      </c>
      <c r="H159" s="174">
        <v>2</v>
      </c>
      <c r="I159" s="146"/>
      <c r="L159" s="178"/>
      <c r="M159" s="177"/>
      <c r="N159" s="144" t="s">
        <v>1432</v>
      </c>
    </row>
    <row r="160" spans="1:14">
      <c r="A160" s="140" t="str">
        <f t="shared" si="2"/>
        <v>05542-00114-03</v>
      </c>
      <c r="C160" s="175" t="s">
        <v>27</v>
      </c>
      <c r="D160" s="176" t="s">
        <v>1119</v>
      </c>
      <c r="E160" s="176" t="s">
        <v>1787</v>
      </c>
      <c r="F160" s="173">
        <v>50466</v>
      </c>
      <c r="G160" s="173" t="s">
        <v>30</v>
      </c>
      <c r="H160" s="174">
        <v>3</v>
      </c>
      <c r="I160" s="146"/>
      <c r="L160" s="178"/>
      <c r="M160" s="177"/>
      <c r="N160" s="144" t="s">
        <v>1432</v>
      </c>
    </row>
    <row r="161" spans="1:14">
      <c r="A161" s="140" t="str">
        <f t="shared" si="2"/>
        <v>05542-00114-04</v>
      </c>
      <c r="C161" s="175" t="s">
        <v>27</v>
      </c>
      <c r="D161" s="176" t="s">
        <v>1119</v>
      </c>
      <c r="E161" s="176" t="s">
        <v>1787</v>
      </c>
      <c r="F161" s="173">
        <v>55511</v>
      </c>
      <c r="G161" s="173" t="s">
        <v>30</v>
      </c>
      <c r="H161" s="174">
        <v>4</v>
      </c>
      <c r="I161" s="155" t="s">
        <v>264</v>
      </c>
      <c r="L161" s="178"/>
      <c r="M161" s="177"/>
      <c r="N161" s="144" t="s">
        <v>1432</v>
      </c>
    </row>
    <row r="162" spans="1:14">
      <c r="A162" s="140" t="str">
        <f t="shared" si="2"/>
        <v>05542-00143-00</v>
      </c>
      <c r="C162" s="175" t="s">
        <v>147</v>
      </c>
      <c r="D162" s="176" t="s">
        <v>1119</v>
      </c>
      <c r="E162" s="176" t="s">
        <v>1787</v>
      </c>
      <c r="F162" s="173">
        <v>46235</v>
      </c>
      <c r="G162" s="173" t="s">
        <v>150</v>
      </c>
      <c r="H162" s="174">
        <v>0</v>
      </c>
      <c r="I162" s="155"/>
      <c r="L162" s="178" t="s">
        <v>400</v>
      </c>
      <c r="M162" s="177" t="s">
        <v>503</v>
      </c>
      <c r="N162" s="144" t="s">
        <v>1432</v>
      </c>
    </row>
    <row r="163" spans="1:14">
      <c r="A163" s="140" t="str">
        <f t="shared" si="2"/>
        <v>05542-00143-01</v>
      </c>
      <c r="C163" s="175" t="s">
        <v>147</v>
      </c>
      <c r="D163" s="176" t="s">
        <v>1119</v>
      </c>
      <c r="E163" s="176" t="s">
        <v>1787</v>
      </c>
      <c r="F163" s="173">
        <v>46656</v>
      </c>
      <c r="G163" s="173" t="s">
        <v>150</v>
      </c>
      <c r="H163" s="174">
        <v>1</v>
      </c>
      <c r="I163" s="155"/>
      <c r="L163" s="178"/>
      <c r="M163" s="177" t="s">
        <v>503</v>
      </c>
      <c r="N163" s="144" t="s">
        <v>1432</v>
      </c>
    </row>
    <row r="164" spans="1:14">
      <c r="A164" s="140" t="str">
        <f t="shared" si="2"/>
        <v>05542-00143-02</v>
      </c>
      <c r="C164" s="175" t="s">
        <v>147</v>
      </c>
      <c r="D164" s="176" t="s">
        <v>1119</v>
      </c>
      <c r="E164" s="176" t="s">
        <v>1787</v>
      </c>
      <c r="F164" s="173">
        <v>46839</v>
      </c>
      <c r="G164" s="173" t="s">
        <v>150</v>
      </c>
      <c r="H164" s="174">
        <v>2</v>
      </c>
      <c r="I164" s="155"/>
      <c r="L164" s="178"/>
      <c r="M164" s="177" t="s">
        <v>503</v>
      </c>
      <c r="N164" s="144" t="s">
        <v>1432</v>
      </c>
    </row>
    <row r="165" spans="1:14">
      <c r="A165" s="140" t="str">
        <f t="shared" si="2"/>
        <v>05542-00143-03</v>
      </c>
      <c r="C165" s="175" t="s">
        <v>147</v>
      </c>
      <c r="D165" s="176" t="s">
        <v>1119</v>
      </c>
      <c r="E165" s="176" t="s">
        <v>1787</v>
      </c>
      <c r="F165" s="173">
        <v>47086</v>
      </c>
      <c r="G165" s="173" t="s">
        <v>150</v>
      </c>
      <c r="H165" s="174">
        <v>3</v>
      </c>
      <c r="I165" s="155"/>
      <c r="L165" s="178"/>
      <c r="M165" s="177" t="s">
        <v>503</v>
      </c>
      <c r="N165" s="144" t="s">
        <v>1432</v>
      </c>
    </row>
    <row r="166" spans="1:14">
      <c r="A166" s="140" t="str">
        <f t="shared" si="2"/>
        <v>05542-00143-04</v>
      </c>
      <c r="C166" s="175" t="s">
        <v>147</v>
      </c>
      <c r="D166" s="176" t="s">
        <v>1119</v>
      </c>
      <c r="E166" s="176" t="s">
        <v>1787</v>
      </c>
      <c r="F166" s="173">
        <v>47519</v>
      </c>
      <c r="G166" s="173" t="s">
        <v>150</v>
      </c>
      <c r="H166" s="174">
        <v>4</v>
      </c>
      <c r="I166" s="155"/>
      <c r="L166" s="178"/>
      <c r="M166" s="177"/>
      <c r="N166" s="144" t="s">
        <v>1432</v>
      </c>
    </row>
    <row r="167" spans="1:14">
      <c r="A167" s="140" t="str">
        <f t="shared" si="2"/>
        <v>05542-00143-05</v>
      </c>
      <c r="C167" s="175" t="s">
        <v>147</v>
      </c>
      <c r="D167" s="176" t="s">
        <v>1119</v>
      </c>
      <c r="E167" s="176" t="s">
        <v>1787</v>
      </c>
      <c r="F167" s="173">
        <v>47975</v>
      </c>
      <c r="G167" s="173" t="s">
        <v>150</v>
      </c>
      <c r="H167" s="174">
        <v>5</v>
      </c>
      <c r="I167" s="155"/>
      <c r="L167" s="178"/>
      <c r="M167" s="177" t="s">
        <v>503</v>
      </c>
      <c r="N167" s="144" t="s">
        <v>1432</v>
      </c>
    </row>
    <row r="168" spans="1:14">
      <c r="A168" s="140" t="str">
        <f t="shared" si="2"/>
        <v>05542-00143-06</v>
      </c>
      <c r="B168" s="145" t="s">
        <v>6</v>
      </c>
      <c r="C168" s="175" t="s">
        <v>147</v>
      </c>
      <c r="D168" s="176" t="s">
        <v>1119</v>
      </c>
      <c r="E168" s="176" t="s">
        <v>1787</v>
      </c>
      <c r="F168" s="173">
        <v>55511</v>
      </c>
      <c r="G168" s="173" t="s">
        <v>150</v>
      </c>
      <c r="H168" s="174">
        <v>6</v>
      </c>
      <c r="I168" s="155" t="s">
        <v>318</v>
      </c>
      <c r="M168" s="177"/>
      <c r="N168" s="144" t="s">
        <v>1432</v>
      </c>
    </row>
    <row r="169" spans="1:14">
      <c r="A169" s="140" t="str">
        <f t="shared" si="2"/>
        <v>05542-00147-00</v>
      </c>
      <c r="C169" s="175" t="s">
        <v>27</v>
      </c>
      <c r="D169" s="176" t="s">
        <v>1119</v>
      </c>
      <c r="E169" s="176" t="s">
        <v>1787</v>
      </c>
      <c r="F169" s="173">
        <v>46656</v>
      </c>
      <c r="G169" s="173" t="s">
        <v>32</v>
      </c>
      <c r="H169" s="174">
        <v>0</v>
      </c>
      <c r="L169" s="178"/>
      <c r="M169" s="177" t="s">
        <v>2307</v>
      </c>
      <c r="N169" s="144" t="s">
        <v>1432</v>
      </c>
    </row>
    <row r="170" spans="1:14">
      <c r="A170" s="140" t="str">
        <f t="shared" si="2"/>
        <v>05542-00147-01</v>
      </c>
      <c r="C170" s="175" t="s">
        <v>27</v>
      </c>
      <c r="D170" s="176" t="s">
        <v>1119</v>
      </c>
      <c r="E170" s="176" t="s">
        <v>1787</v>
      </c>
      <c r="F170" s="173">
        <v>46839</v>
      </c>
      <c r="G170" s="173" t="s">
        <v>32</v>
      </c>
      <c r="H170" s="174">
        <v>1</v>
      </c>
      <c r="I170" s="146"/>
      <c r="L170" s="178"/>
      <c r="M170" s="177" t="s">
        <v>2311</v>
      </c>
      <c r="N170" s="144" t="s">
        <v>1432</v>
      </c>
    </row>
    <row r="171" spans="1:14">
      <c r="A171" s="140" t="str">
        <f t="shared" si="2"/>
        <v>05542-00147-02</v>
      </c>
      <c r="C171" s="175" t="s">
        <v>27</v>
      </c>
      <c r="D171" s="176" t="s">
        <v>1119</v>
      </c>
      <c r="E171" s="176" t="s">
        <v>1787</v>
      </c>
      <c r="F171" s="173">
        <v>47519</v>
      </c>
      <c r="G171" s="173" t="s">
        <v>32</v>
      </c>
      <c r="H171" s="174">
        <v>2</v>
      </c>
      <c r="I171" s="146"/>
      <c r="L171" s="178"/>
      <c r="M171" s="177"/>
      <c r="N171" s="144" t="s">
        <v>1432</v>
      </c>
    </row>
    <row r="172" spans="1:14">
      <c r="A172" s="140" t="str">
        <f t="shared" si="2"/>
        <v>05542-00147-03</v>
      </c>
      <c r="C172" s="175" t="s">
        <v>27</v>
      </c>
      <c r="D172" s="176" t="s">
        <v>1119</v>
      </c>
      <c r="E172" s="176" t="s">
        <v>1787</v>
      </c>
      <c r="F172" s="173">
        <v>48000</v>
      </c>
      <c r="G172" s="173" t="s">
        <v>32</v>
      </c>
      <c r="H172" s="174">
        <v>3</v>
      </c>
      <c r="I172" s="146"/>
      <c r="L172" s="178"/>
      <c r="M172" s="177" t="s">
        <v>2307</v>
      </c>
      <c r="N172" s="144" t="s">
        <v>1432</v>
      </c>
    </row>
    <row r="173" spans="1:14">
      <c r="A173" s="140" t="str">
        <f t="shared" si="2"/>
        <v>05542-00147-04</v>
      </c>
      <c r="C173" s="175" t="s">
        <v>27</v>
      </c>
      <c r="D173" s="176" t="s">
        <v>1119</v>
      </c>
      <c r="E173" s="176" t="s">
        <v>1787</v>
      </c>
      <c r="F173" s="173">
        <v>50466</v>
      </c>
      <c r="G173" s="173" t="s">
        <v>32</v>
      </c>
      <c r="H173" s="174">
        <v>4</v>
      </c>
      <c r="I173" s="146"/>
      <c r="L173" s="178"/>
      <c r="M173" s="177"/>
      <c r="N173" s="144" t="s">
        <v>1432</v>
      </c>
    </row>
    <row r="174" spans="1:14">
      <c r="A174" s="140" t="str">
        <f t="shared" si="2"/>
        <v>05542-00147-05</v>
      </c>
      <c r="C174" s="175" t="s">
        <v>27</v>
      </c>
      <c r="D174" s="176" t="s">
        <v>1119</v>
      </c>
      <c r="E174" s="176" t="s">
        <v>1787</v>
      </c>
      <c r="F174" s="173">
        <v>55511</v>
      </c>
      <c r="G174" s="173" t="s">
        <v>32</v>
      </c>
      <c r="H174" s="174">
        <v>5</v>
      </c>
      <c r="I174" s="155" t="s">
        <v>265</v>
      </c>
      <c r="L174" s="178"/>
      <c r="M174" s="177"/>
      <c r="N174" s="144" t="s">
        <v>1432</v>
      </c>
    </row>
    <row r="175" spans="1:14">
      <c r="A175" s="140" t="str">
        <f t="shared" si="2"/>
        <v>05542-00173-00</v>
      </c>
      <c r="C175" s="175" t="s">
        <v>36</v>
      </c>
      <c r="D175" s="176" t="s">
        <v>1119</v>
      </c>
      <c r="E175" s="176" t="s">
        <v>1787</v>
      </c>
      <c r="F175" s="173">
        <v>48185</v>
      </c>
      <c r="G175" s="173" t="s">
        <v>37</v>
      </c>
      <c r="H175" s="174">
        <v>0</v>
      </c>
      <c r="L175" s="178" t="s">
        <v>2089</v>
      </c>
      <c r="M175" s="177" t="s">
        <v>267</v>
      </c>
      <c r="N175" s="144" t="s">
        <v>1432</v>
      </c>
    </row>
    <row r="176" spans="1:14">
      <c r="A176" s="140" t="str">
        <f t="shared" si="2"/>
        <v>05542-00173-01</v>
      </c>
      <c r="C176" s="175" t="s">
        <v>36</v>
      </c>
      <c r="D176" s="176" t="s">
        <v>1119</v>
      </c>
      <c r="E176" s="176" t="s">
        <v>1787</v>
      </c>
      <c r="F176" s="173">
        <v>49568</v>
      </c>
      <c r="G176" s="173" t="s">
        <v>37</v>
      </c>
      <c r="H176" s="174">
        <v>1</v>
      </c>
      <c r="I176" s="146" t="s">
        <v>2087</v>
      </c>
      <c r="L176" s="178" t="s">
        <v>2088</v>
      </c>
      <c r="M176" s="177" t="s">
        <v>267</v>
      </c>
      <c r="N176" s="144" t="s">
        <v>1432</v>
      </c>
    </row>
    <row r="177" spans="1:15">
      <c r="A177" s="140" t="str">
        <f t="shared" si="2"/>
        <v>05542-00173-02</v>
      </c>
      <c r="C177" s="175" t="s">
        <v>36</v>
      </c>
      <c r="D177" s="176" t="s">
        <v>1119</v>
      </c>
      <c r="E177" s="176" t="s">
        <v>1787</v>
      </c>
      <c r="F177" s="173">
        <v>50197</v>
      </c>
      <c r="G177" s="173" t="s">
        <v>37</v>
      </c>
      <c r="H177" s="174">
        <v>2</v>
      </c>
      <c r="I177" s="146" t="s">
        <v>2086</v>
      </c>
      <c r="L177" s="178" t="s">
        <v>2088</v>
      </c>
      <c r="M177" s="177" t="s">
        <v>267</v>
      </c>
      <c r="N177" s="144" t="s">
        <v>1432</v>
      </c>
    </row>
    <row r="178" spans="1:15">
      <c r="A178" s="140" t="str">
        <f t="shared" si="2"/>
        <v>05542-00173-03</v>
      </c>
      <c r="C178" s="175" t="s">
        <v>36</v>
      </c>
      <c r="D178" s="176" t="s">
        <v>1119</v>
      </c>
      <c r="E178" s="176" t="s">
        <v>1787</v>
      </c>
      <c r="F178" s="173">
        <v>50888</v>
      </c>
      <c r="G178" s="173" t="s">
        <v>37</v>
      </c>
      <c r="H178" s="174">
        <v>3</v>
      </c>
      <c r="I178" s="146" t="s">
        <v>263</v>
      </c>
      <c r="L178" s="178" t="s">
        <v>2088</v>
      </c>
      <c r="M178" s="177" t="s">
        <v>267</v>
      </c>
      <c r="N178" s="144" t="s">
        <v>1432</v>
      </c>
      <c r="O178" s="150"/>
    </row>
    <row r="179" spans="1:15">
      <c r="A179" s="140" t="str">
        <f t="shared" si="2"/>
        <v>05542-00173-04</v>
      </c>
      <c r="C179" s="175" t="s">
        <v>36</v>
      </c>
      <c r="D179" s="176" t="s">
        <v>1119</v>
      </c>
      <c r="E179" s="176" t="s">
        <v>1787</v>
      </c>
      <c r="F179" s="173">
        <v>51119</v>
      </c>
      <c r="G179" s="173" t="s">
        <v>37</v>
      </c>
      <c r="H179" s="174">
        <v>4</v>
      </c>
      <c r="I179" s="146" t="s">
        <v>2084</v>
      </c>
      <c r="L179" s="179" t="s">
        <v>2090</v>
      </c>
      <c r="M179" s="177" t="s">
        <v>267</v>
      </c>
      <c r="N179" s="144" t="s">
        <v>1432</v>
      </c>
      <c r="O179" s="150"/>
    </row>
    <row r="180" spans="1:15">
      <c r="A180" s="140" t="str">
        <f t="shared" si="2"/>
        <v>05542-00173-05</v>
      </c>
      <c r="C180" s="175" t="s">
        <v>36</v>
      </c>
      <c r="D180" s="176" t="s">
        <v>1119</v>
      </c>
      <c r="E180" s="176" t="s">
        <v>1787</v>
      </c>
      <c r="F180" s="173">
        <v>51427</v>
      </c>
      <c r="G180" s="173" t="s">
        <v>37</v>
      </c>
      <c r="H180" s="174">
        <v>5</v>
      </c>
      <c r="I180" s="146" t="s">
        <v>2085</v>
      </c>
      <c r="L180" s="178" t="s">
        <v>2091</v>
      </c>
      <c r="M180" s="177" t="s">
        <v>267</v>
      </c>
      <c r="N180" s="144" t="s">
        <v>1432</v>
      </c>
      <c r="O180" s="150"/>
    </row>
    <row r="181" spans="1:15">
      <c r="A181" s="140" t="str">
        <f t="shared" si="2"/>
        <v>05542-00173-06</v>
      </c>
      <c r="C181" s="175" t="s">
        <v>36</v>
      </c>
      <c r="D181" s="176" t="s">
        <v>1119</v>
      </c>
      <c r="E181" s="176" t="s">
        <v>1787</v>
      </c>
      <c r="F181" s="173">
        <v>51642</v>
      </c>
      <c r="G181" s="173" t="s">
        <v>37</v>
      </c>
      <c r="H181" s="174">
        <v>6</v>
      </c>
      <c r="I181" s="146" t="s">
        <v>1199</v>
      </c>
      <c r="L181" s="178" t="s">
        <v>2092</v>
      </c>
      <c r="M181" s="177" t="s">
        <v>267</v>
      </c>
      <c r="N181" s="144" t="s">
        <v>1432</v>
      </c>
    </row>
    <row r="182" spans="1:15">
      <c r="A182" s="140" t="str">
        <f t="shared" si="2"/>
        <v>05542-00173-07</v>
      </c>
      <c r="C182" s="175" t="s">
        <v>36</v>
      </c>
      <c r="D182" s="176" t="s">
        <v>1119</v>
      </c>
      <c r="E182" s="176" t="s">
        <v>1787</v>
      </c>
      <c r="F182" s="173">
        <v>55511</v>
      </c>
      <c r="G182" s="173" t="s">
        <v>37</v>
      </c>
      <c r="H182" s="174">
        <v>7</v>
      </c>
      <c r="I182" s="144" t="s">
        <v>268</v>
      </c>
      <c r="L182" s="178" t="s">
        <v>2093</v>
      </c>
      <c r="M182" s="177" t="s">
        <v>267</v>
      </c>
      <c r="N182" s="144" t="s">
        <v>1432</v>
      </c>
    </row>
    <row r="183" spans="1:15" ht="54">
      <c r="A183" s="140" t="str">
        <f t="shared" si="2"/>
        <v>05542-00173-08</v>
      </c>
      <c r="C183" s="172" t="s">
        <v>36</v>
      </c>
      <c r="D183" s="162" t="s">
        <v>1119</v>
      </c>
      <c r="E183" s="162" t="s">
        <v>1787</v>
      </c>
      <c r="F183" s="173" t="s">
        <v>2082</v>
      </c>
      <c r="G183" s="173" t="s">
        <v>37</v>
      </c>
      <c r="H183" s="174">
        <v>8</v>
      </c>
      <c r="I183" s="144" t="s">
        <v>2083</v>
      </c>
      <c r="L183" s="156" t="s">
        <v>2094</v>
      </c>
    </row>
    <row r="184" spans="1:15">
      <c r="A184" s="140" t="str">
        <f t="shared" si="2"/>
        <v>05542-00173-09</v>
      </c>
      <c r="C184" s="172" t="s">
        <v>36</v>
      </c>
      <c r="D184" s="162" t="s">
        <v>1119</v>
      </c>
      <c r="E184" s="162" t="s">
        <v>1787</v>
      </c>
      <c r="F184" s="173" t="s">
        <v>2080</v>
      </c>
      <c r="G184" s="173" t="s">
        <v>37</v>
      </c>
      <c r="H184" s="174">
        <v>9</v>
      </c>
      <c r="I184" s="144" t="s">
        <v>2081</v>
      </c>
      <c r="L184" s="143" t="s">
        <v>2095</v>
      </c>
    </row>
    <row r="185" spans="1:15">
      <c r="A185" s="140" t="str">
        <f t="shared" si="2"/>
        <v>05542-00189-00</v>
      </c>
      <c r="C185" s="175" t="s">
        <v>245</v>
      </c>
      <c r="D185" s="176" t="s">
        <v>1119</v>
      </c>
      <c r="E185" s="176" t="s">
        <v>1787</v>
      </c>
      <c r="F185" s="173" t="s">
        <v>1717</v>
      </c>
      <c r="G185" s="173" t="s">
        <v>1242</v>
      </c>
      <c r="H185" s="174">
        <v>0</v>
      </c>
      <c r="I185" s="144" t="s">
        <v>1588</v>
      </c>
      <c r="L185" s="143" t="s">
        <v>1710</v>
      </c>
      <c r="M185" s="177" t="s">
        <v>1855</v>
      </c>
      <c r="N185" s="144" t="s">
        <v>47</v>
      </c>
    </row>
    <row r="186" spans="1:15">
      <c r="A186" s="140" t="str">
        <f t="shared" si="2"/>
        <v>05542-00189-01</v>
      </c>
      <c r="C186" s="175" t="s">
        <v>245</v>
      </c>
      <c r="D186" s="176" t="s">
        <v>1119</v>
      </c>
      <c r="E186" s="176" t="s">
        <v>1787</v>
      </c>
      <c r="F186" s="173" t="s">
        <v>1709</v>
      </c>
      <c r="G186" s="173" t="s">
        <v>1716</v>
      </c>
      <c r="H186" s="174">
        <v>1</v>
      </c>
      <c r="I186" s="144" t="s">
        <v>673</v>
      </c>
      <c r="L186" s="143" t="s">
        <v>1711</v>
      </c>
      <c r="M186" s="177" t="s">
        <v>1855</v>
      </c>
      <c r="N186" s="144" t="s">
        <v>47</v>
      </c>
    </row>
    <row r="187" spans="1:15">
      <c r="A187" s="140" t="str">
        <f t="shared" si="2"/>
        <v>05542-00198-00</v>
      </c>
      <c r="C187" s="175" t="s">
        <v>245</v>
      </c>
      <c r="D187" s="176" t="s">
        <v>1119</v>
      </c>
      <c r="E187" s="176" t="s">
        <v>1787</v>
      </c>
      <c r="F187" s="173" t="s">
        <v>1717</v>
      </c>
      <c r="G187" s="173" t="s">
        <v>1719</v>
      </c>
      <c r="H187" s="174">
        <v>0</v>
      </c>
      <c r="I187" s="144" t="s">
        <v>1588</v>
      </c>
      <c r="L187" s="143" t="s">
        <v>1710</v>
      </c>
      <c r="M187" s="177" t="s">
        <v>1855</v>
      </c>
      <c r="N187" s="144" t="s">
        <v>47</v>
      </c>
    </row>
    <row r="188" spans="1:15">
      <c r="A188" s="140" t="str">
        <f t="shared" si="2"/>
        <v>05542-00198-01</v>
      </c>
      <c r="C188" s="175" t="s">
        <v>245</v>
      </c>
      <c r="D188" s="176" t="s">
        <v>1119</v>
      </c>
      <c r="E188" s="176" t="s">
        <v>1787</v>
      </c>
      <c r="F188" s="173" t="s">
        <v>1709</v>
      </c>
      <c r="G188" s="173" t="s">
        <v>1719</v>
      </c>
      <c r="H188" s="174">
        <v>1</v>
      </c>
      <c r="I188" s="144" t="s">
        <v>673</v>
      </c>
      <c r="L188" s="143" t="s">
        <v>1711</v>
      </c>
      <c r="M188" s="177" t="s">
        <v>1855</v>
      </c>
      <c r="N188" s="144" t="s">
        <v>47</v>
      </c>
    </row>
    <row r="189" spans="1:15">
      <c r="A189" s="140" t="str">
        <f t="shared" si="2"/>
        <v>05542-00326-00</v>
      </c>
      <c r="C189" s="175" t="s">
        <v>27</v>
      </c>
      <c r="D189" s="176" t="s">
        <v>1119</v>
      </c>
      <c r="E189" s="176" t="s">
        <v>1787</v>
      </c>
      <c r="F189" s="173">
        <v>49584</v>
      </c>
      <c r="G189" s="173" t="s">
        <v>34</v>
      </c>
      <c r="H189" s="174">
        <v>0</v>
      </c>
      <c r="L189" s="178"/>
      <c r="M189" s="177" t="s">
        <v>2307</v>
      </c>
      <c r="N189" s="144" t="s">
        <v>1432</v>
      </c>
    </row>
    <row r="190" spans="1:15">
      <c r="A190" s="140" t="str">
        <f t="shared" si="2"/>
        <v>05542-00326-01</v>
      </c>
      <c r="C190" s="175" t="s">
        <v>27</v>
      </c>
      <c r="D190" s="176" t="s">
        <v>1119</v>
      </c>
      <c r="E190" s="176" t="s">
        <v>1787</v>
      </c>
      <c r="F190" s="173">
        <v>50466</v>
      </c>
      <c r="G190" s="173" t="s">
        <v>34</v>
      </c>
      <c r="H190" s="174">
        <v>1</v>
      </c>
      <c r="I190" s="146"/>
      <c r="L190" s="178"/>
      <c r="M190" s="177"/>
      <c r="N190" s="144" t="s">
        <v>1432</v>
      </c>
    </row>
    <row r="191" spans="1:15">
      <c r="A191" s="140" t="str">
        <f t="shared" si="2"/>
        <v>05542-00326-02</v>
      </c>
      <c r="C191" s="175" t="s">
        <v>27</v>
      </c>
      <c r="D191" s="176" t="s">
        <v>1119</v>
      </c>
      <c r="E191" s="176" t="s">
        <v>1787</v>
      </c>
      <c r="F191" s="173">
        <v>51486</v>
      </c>
      <c r="G191" s="173" t="s">
        <v>34</v>
      </c>
      <c r="H191" s="174">
        <v>2</v>
      </c>
      <c r="I191" s="146"/>
      <c r="L191" s="178"/>
      <c r="M191" s="177" t="s">
        <v>2307</v>
      </c>
      <c r="N191" s="144" t="s">
        <v>1432</v>
      </c>
    </row>
    <row r="192" spans="1:15">
      <c r="A192" s="140" t="str">
        <f t="shared" si="2"/>
        <v>05542-00326-03</v>
      </c>
      <c r="C192" s="175" t="s">
        <v>27</v>
      </c>
      <c r="D192" s="176" t="s">
        <v>1119</v>
      </c>
      <c r="E192" s="176" t="s">
        <v>1787</v>
      </c>
      <c r="F192" s="173">
        <v>54464</v>
      </c>
      <c r="G192" s="173" t="s">
        <v>34</v>
      </c>
      <c r="H192" s="174">
        <v>3</v>
      </c>
      <c r="I192" s="146" t="s">
        <v>1160</v>
      </c>
      <c r="L192" s="180" t="s">
        <v>1157</v>
      </c>
      <c r="M192" s="177" t="s">
        <v>262</v>
      </c>
      <c r="N192" s="144" t="s">
        <v>1432</v>
      </c>
    </row>
    <row r="193" spans="1:15">
      <c r="A193" s="140" t="str">
        <f t="shared" si="2"/>
        <v>05542-00326-04</v>
      </c>
      <c r="C193" s="175" t="s">
        <v>27</v>
      </c>
      <c r="D193" s="176" t="s">
        <v>1119</v>
      </c>
      <c r="E193" s="176" t="s">
        <v>1787</v>
      </c>
      <c r="F193" s="173">
        <v>55511</v>
      </c>
      <c r="G193" s="173" t="s">
        <v>34</v>
      </c>
      <c r="H193" s="174">
        <v>4</v>
      </c>
      <c r="I193" s="155" t="s">
        <v>266</v>
      </c>
      <c r="L193" s="178"/>
      <c r="M193" s="177" t="s">
        <v>2307</v>
      </c>
      <c r="N193" s="144" t="s">
        <v>1432</v>
      </c>
    </row>
    <row r="194" spans="1:15">
      <c r="A194" s="140" t="str">
        <f t="shared" ref="A194:A257" si="3">G194&amp;"-"&amp;TEXT(H194,"00")</f>
        <v>05542-00411-00</v>
      </c>
      <c r="C194" s="175" t="s">
        <v>36</v>
      </c>
      <c r="D194" s="176" t="s">
        <v>1119</v>
      </c>
      <c r="E194" s="176" t="s">
        <v>1787</v>
      </c>
      <c r="F194" s="173">
        <v>52642</v>
      </c>
      <c r="G194" s="173" t="s">
        <v>39</v>
      </c>
      <c r="H194" s="174">
        <v>0</v>
      </c>
      <c r="I194" s="144" t="s">
        <v>373</v>
      </c>
      <c r="L194" s="178" t="s">
        <v>2101</v>
      </c>
      <c r="M194" s="177"/>
      <c r="N194" s="144" t="s">
        <v>1432</v>
      </c>
    </row>
    <row r="195" spans="1:15">
      <c r="A195" s="140" t="str">
        <f t="shared" si="3"/>
        <v>05542-00411-01</v>
      </c>
      <c r="C195" s="175" t="s">
        <v>36</v>
      </c>
      <c r="D195" s="176" t="s">
        <v>1119</v>
      </c>
      <c r="E195" s="176" t="s">
        <v>1787</v>
      </c>
      <c r="F195" s="173">
        <v>53256</v>
      </c>
      <c r="G195" s="173" t="s">
        <v>39</v>
      </c>
      <c r="H195" s="174">
        <v>1</v>
      </c>
      <c r="I195" s="146" t="s">
        <v>2096</v>
      </c>
      <c r="L195" s="178" t="s">
        <v>2102</v>
      </c>
      <c r="M195" s="177" t="s">
        <v>267</v>
      </c>
      <c r="N195" s="144" t="s">
        <v>1432</v>
      </c>
    </row>
    <row r="196" spans="1:15">
      <c r="A196" s="140" t="str">
        <f t="shared" si="3"/>
        <v>05542-00411-02</v>
      </c>
      <c r="C196" s="175" t="s">
        <v>36</v>
      </c>
      <c r="D196" s="176" t="s">
        <v>1119</v>
      </c>
      <c r="E196" s="176" t="s">
        <v>1787</v>
      </c>
      <c r="F196" s="173">
        <v>53346</v>
      </c>
      <c r="G196" s="173" t="s">
        <v>39</v>
      </c>
      <c r="H196" s="174">
        <v>2</v>
      </c>
      <c r="I196" s="146" t="s">
        <v>1158</v>
      </c>
      <c r="L196" s="178" t="s">
        <v>2103</v>
      </c>
      <c r="M196" s="177" t="s">
        <v>267</v>
      </c>
      <c r="N196" s="144" t="s">
        <v>1432</v>
      </c>
    </row>
    <row r="197" spans="1:15">
      <c r="A197" s="140" t="str">
        <f t="shared" si="3"/>
        <v>05542-00411-03</v>
      </c>
      <c r="C197" s="175" t="s">
        <v>36</v>
      </c>
      <c r="D197" s="176" t="s">
        <v>1119</v>
      </c>
      <c r="E197" s="176" t="s">
        <v>1787</v>
      </c>
      <c r="F197" s="173">
        <v>53838</v>
      </c>
      <c r="G197" s="173" t="s">
        <v>39</v>
      </c>
      <c r="H197" s="174">
        <v>3</v>
      </c>
      <c r="I197" s="146" t="s">
        <v>2097</v>
      </c>
      <c r="L197" s="178" t="s">
        <v>2105</v>
      </c>
      <c r="M197" s="177" t="s">
        <v>267</v>
      </c>
      <c r="N197" s="144" t="s">
        <v>1432</v>
      </c>
    </row>
    <row r="198" spans="1:15">
      <c r="A198" s="140" t="str">
        <f t="shared" si="3"/>
        <v>05542-00411-04</v>
      </c>
      <c r="C198" s="175" t="s">
        <v>36</v>
      </c>
      <c r="D198" s="176" t="s">
        <v>1119</v>
      </c>
      <c r="E198" s="176" t="s">
        <v>1787</v>
      </c>
      <c r="F198" s="173">
        <v>54536</v>
      </c>
      <c r="G198" s="173" t="s">
        <v>39</v>
      </c>
      <c r="H198" s="174">
        <v>4</v>
      </c>
      <c r="I198" s="146" t="s">
        <v>1165</v>
      </c>
      <c r="L198" s="178" t="s">
        <v>2106</v>
      </c>
      <c r="M198" s="177" t="s">
        <v>267</v>
      </c>
      <c r="N198" s="144" t="s">
        <v>1432</v>
      </c>
    </row>
    <row r="199" spans="1:15">
      <c r="A199" s="140" t="str">
        <f t="shared" si="3"/>
        <v>05542-00411-05</v>
      </c>
      <c r="C199" s="175" t="s">
        <v>36</v>
      </c>
      <c r="D199" s="176" t="s">
        <v>1119</v>
      </c>
      <c r="E199" s="176" t="s">
        <v>1787</v>
      </c>
      <c r="F199" s="173">
        <v>54790</v>
      </c>
      <c r="G199" s="173" t="s">
        <v>39</v>
      </c>
      <c r="H199" s="174">
        <v>5</v>
      </c>
      <c r="I199" s="146" t="s">
        <v>2100</v>
      </c>
      <c r="L199" s="178" t="s">
        <v>2093</v>
      </c>
      <c r="M199" s="177" t="s">
        <v>267</v>
      </c>
      <c r="N199" s="144" t="s">
        <v>1432</v>
      </c>
      <c r="O199" s="150"/>
    </row>
    <row r="200" spans="1:15">
      <c r="A200" s="140" t="str">
        <f t="shared" si="3"/>
        <v>05542-00411-06</v>
      </c>
      <c r="C200" s="175" t="s">
        <v>36</v>
      </c>
      <c r="D200" s="176" t="s">
        <v>1119</v>
      </c>
      <c r="E200" s="176" t="s">
        <v>1787</v>
      </c>
      <c r="F200" s="173">
        <v>55857</v>
      </c>
      <c r="G200" s="173" t="s">
        <v>39</v>
      </c>
      <c r="H200" s="174">
        <v>6</v>
      </c>
      <c r="I200" s="146" t="s">
        <v>2099</v>
      </c>
      <c r="L200" s="178" t="s">
        <v>2104</v>
      </c>
      <c r="M200" s="177" t="s">
        <v>267</v>
      </c>
      <c r="N200" s="144" t="s">
        <v>1432</v>
      </c>
    </row>
    <row r="201" spans="1:15" ht="27">
      <c r="A201" s="140" t="str">
        <f t="shared" si="3"/>
        <v>05542-00411-07</v>
      </c>
      <c r="C201" s="175" t="s">
        <v>36</v>
      </c>
      <c r="D201" s="176" t="s">
        <v>1119</v>
      </c>
      <c r="E201" s="176" t="s">
        <v>1787</v>
      </c>
      <c r="F201" s="173">
        <v>60239</v>
      </c>
      <c r="G201" s="173" t="s">
        <v>39</v>
      </c>
      <c r="H201" s="174">
        <v>7</v>
      </c>
      <c r="I201" s="146" t="s">
        <v>2098</v>
      </c>
      <c r="L201" s="179" t="s">
        <v>2107</v>
      </c>
      <c r="M201" s="177" t="s">
        <v>267</v>
      </c>
      <c r="N201" s="144" t="s">
        <v>1432</v>
      </c>
    </row>
    <row r="202" spans="1:15">
      <c r="A202" s="140" t="str">
        <f t="shared" si="3"/>
        <v>05542-00411-08</v>
      </c>
      <c r="C202" s="175" t="s">
        <v>36</v>
      </c>
      <c r="D202" s="176" t="s">
        <v>1119</v>
      </c>
      <c r="E202" s="176" t="s">
        <v>1787</v>
      </c>
      <c r="F202" s="173" t="s">
        <v>1395</v>
      </c>
      <c r="G202" s="173" t="s">
        <v>39</v>
      </c>
      <c r="H202" s="174">
        <v>8</v>
      </c>
      <c r="I202" s="144" t="s">
        <v>264</v>
      </c>
      <c r="L202" s="144" t="s">
        <v>2108</v>
      </c>
      <c r="M202" s="177" t="s">
        <v>267</v>
      </c>
      <c r="N202" s="144" t="s">
        <v>1432</v>
      </c>
    </row>
    <row r="203" spans="1:15" ht="40.5">
      <c r="A203" s="140" t="str">
        <f t="shared" si="3"/>
        <v>05542-00411-09</v>
      </c>
      <c r="C203" s="175" t="s">
        <v>36</v>
      </c>
      <c r="D203" s="176" t="s">
        <v>1119</v>
      </c>
      <c r="E203" s="176" t="s">
        <v>1787</v>
      </c>
      <c r="F203" s="173" t="s">
        <v>1411</v>
      </c>
      <c r="G203" s="173" t="s">
        <v>39</v>
      </c>
      <c r="H203" s="174">
        <v>9</v>
      </c>
      <c r="I203" s="144" t="s">
        <v>1412</v>
      </c>
      <c r="L203" s="156" t="s">
        <v>2109</v>
      </c>
      <c r="M203" s="177"/>
      <c r="N203" s="144" t="s">
        <v>47</v>
      </c>
    </row>
    <row r="204" spans="1:15">
      <c r="A204" s="140" t="str">
        <f t="shared" si="3"/>
        <v>05542-00411-10</v>
      </c>
      <c r="C204" s="175" t="s">
        <v>36</v>
      </c>
      <c r="D204" s="176" t="s">
        <v>1119</v>
      </c>
      <c r="E204" s="176" t="s">
        <v>1787</v>
      </c>
      <c r="F204" s="173" t="s">
        <v>1410</v>
      </c>
      <c r="G204" s="173" t="s">
        <v>39</v>
      </c>
      <c r="H204" s="174">
        <v>10</v>
      </c>
      <c r="I204" s="144" t="s">
        <v>1419</v>
      </c>
      <c r="L204" s="143" t="s">
        <v>2110</v>
      </c>
      <c r="M204" s="177"/>
      <c r="N204" s="144" t="s">
        <v>1433</v>
      </c>
    </row>
    <row r="205" spans="1:15">
      <c r="A205" s="140" t="str">
        <f t="shared" si="3"/>
        <v>05542-00412-00</v>
      </c>
      <c r="C205" s="175" t="s">
        <v>36</v>
      </c>
      <c r="D205" s="176" t="s">
        <v>1119</v>
      </c>
      <c r="E205" s="176" t="s">
        <v>1787</v>
      </c>
      <c r="F205" s="173">
        <v>61312</v>
      </c>
      <c r="G205" s="173" t="s">
        <v>41</v>
      </c>
      <c r="H205" s="174">
        <v>0</v>
      </c>
      <c r="L205" s="178" t="s">
        <v>2114</v>
      </c>
      <c r="M205" s="177" t="s">
        <v>267</v>
      </c>
      <c r="N205" s="144" t="s">
        <v>1432</v>
      </c>
    </row>
    <row r="206" spans="1:15">
      <c r="A206" s="140" t="str">
        <f t="shared" si="3"/>
        <v>05542-00412-01</v>
      </c>
      <c r="C206" s="175" t="s">
        <v>36</v>
      </c>
      <c r="D206" s="176" t="s">
        <v>1119</v>
      </c>
      <c r="E206" s="176" t="s">
        <v>1787</v>
      </c>
      <c r="F206" s="173">
        <v>61591</v>
      </c>
      <c r="G206" s="173" t="s">
        <v>41</v>
      </c>
      <c r="H206" s="174">
        <v>1</v>
      </c>
      <c r="I206" s="146" t="s">
        <v>673</v>
      </c>
      <c r="L206" s="178" t="s">
        <v>2114</v>
      </c>
      <c r="M206" s="177" t="s">
        <v>267</v>
      </c>
      <c r="N206" s="144" t="s">
        <v>1432</v>
      </c>
    </row>
    <row r="207" spans="1:15">
      <c r="A207" s="140" t="str">
        <f t="shared" si="3"/>
        <v>05542-00412-02</v>
      </c>
      <c r="C207" s="175" t="s">
        <v>36</v>
      </c>
      <c r="D207" s="176" t="s">
        <v>1119</v>
      </c>
      <c r="E207" s="176" t="s">
        <v>1787</v>
      </c>
      <c r="F207" s="173">
        <v>62717</v>
      </c>
      <c r="G207" s="173" t="s">
        <v>41</v>
      </c>
      <c r="H207" s="174">
        <v>2</v>
      </c>
      <c r="I207" s="146" t="s">
        <v>269</v>
      </c>
      <c r="L207" s="178" t="s">
        <v>2115</v>
      </c>
      <c r="M207" s="177" t="s">
        <v>267</v>
      </c>
      <c r="N207" s="144" t="s">
        <v>1432</v>
      </c>
    </row>
    <row r="208" spans="1:15" ht="40.5">
      <c r="A208" s="140" t="str">
        <f t="shared" si="3"/>
        <v>05542-00412-03</v>
      </c>
      <c r="C208" s="175" t="s">
        <v>36</v>
      </c>
      <c r="D208" s="176" t="s">
        <v>1119</v>
      </c>
      <c r="E208" s="176" t="s">
        <v>1787</v>
      </c>
      <c r="F208" s="173" t="s">
        <v>1411</v>
      </c>
      <c r="G208" s="173" t="s">
        <v>41</v>
      </c>
      <c r="H208" s="174">
        <v>3</v>
      </c>
      <c r="I208" s="144" t="s">
        <v>1413</v>
      </c>
      <c r="L208" s="156" t="s">
        <v>2113</v>
      </c>
      <c r="M208" s="177"/>
      <c r="N208" s="144" t="s">
        <v>47</v>
      </c>
    </row>
    <row r="209" spans="1:14">
      <c r="A209" s="140" t="str">
        <f t="shared" si="3"/>
        <v>05542-00412-04</v>
      </c>
      <c r="C209" s="175" t="s">
        <v>36</v>
      </c>
      <c r="D209" s="176" t="s">
        <v>1119</v>
      </c>
      <c r="E209" s="176" t="s">
        <v>1787</v>
      </c>
      <c r="F209" s="173" t="s">
        <v>1410</v>
      </c>
      <c r="G209" s="173" t="s">
        <v>41</v>
      </c>
      <c r="H209" s="174">
        <v>4</v>
      </c>
      <c r="I209" s="144" t="s">
        <v>1420</v>
      </c>
      <c r="L209" s="143" t="s">
        <v>2110</v>
      </c>
      <c r="M209" s="177"/>
      <c r="N209" s="144" t="s">
        <v>47</v>
      </c>
    </row>
    <row r="210" spans="1:14">
      <c r="A210" s="140" t="str">
        <f t="shared" si="3"/>
        <v>05542-00425-00</v>
      </c>
      <c r="C210" s="175" t="s">
        <v>147</v>
      </c>
      <c r="D210" s="176" t="s">
        <v>1119</v>
      </c>
      <c r="E210" s="176" t="s">
        <v>1787</v>
      </c>
      <c r="F210" s="173">
        <v>53811</v>
      </c>
      <c r="G210" s="173" t="s">
        <v>152</v>
      </c>
      <c r="H210" s="174">
        <v>0</v>
      </c>
      <c r="I210" s="155"/>
      <c r="L210" s="178" t="s">
        <v>401</v>
      </c>
      <c r="M210" s="177" t="s">
        <v>503</v>
      </c>
      <c r="N210" s="144" t="s">
        <v>1432</v>
      </c>
    </row>
    <row r="211" spans="1:14">
      <c r="A211" s="140" t="str">
        <f t="shared" si="3"/>
        <v>05542-00425-01</v>
      </c>
      <c r="C211" s="175" t="s">
        <v>147</v>
      </c>
      <c r="D211" s="176" t="s">
        <v>1119</v>
      </c>
      <c r="E211" s="176" t="s">
        <v>1787</v>
      </c>
      <c r="F211" s="173">
        <v>54464</v>
      </c>
      <c r="G211" s="173" t="s">
        <v>152</v>
      </c>
      <c r="H211" s="174">
        <v>1</v>
      </c>
      <c r="I211" s="155" t="s">
        <v>1161</v>
      </c>
      <c r="L211" s="180" t="s">
        <v>1157</v>
      </c>
      <c r="M211" s="177" t="s">
        <v>503</v>
      </c>
      <c r="N211" s="144" t="s">
        <v>1432</v>
      </c>
    </row>
    <row r="212" spans="1:14">
      <c r="A212" s="140" t="str">
        <f t="shared" si="3"/>
        <v>05542-00425-02</v>
      </c>
      <c r="B212" s="145" t="s">
        <v>6</v>
      </c>
      <c r="C212" s="175" t="s">
        <v>147</v>
      </c>
      <c r="D212" s="176" t="s">
        <v>1119</v>
      </c>
      <c r="E212" s="176" t="s">
        <v>1787</v>
      </c>
      <c r="F212" s="173">
        <v>55511</v>
      </c>
      <c r="G212" s="173" t="s">
        <v>152</v>
      </c>
      <c r="H212" s="174">
        <v>2</v>
      </c>
      <c r="I212" s="155" t="s">
        <v>402</v>
      </c>
      <c r="M212" s="177" t="s">
        <v>503</v>
      </c>
      <c r="N212" s="144" t="s">
        <v>1432</v>
      </c>
    </row>
    <row r="213" spans="1:14">
      <c r="A213" s="140" t="str">
        <f t="shared" si="3"/>
        <v>05542-00549-00</v>
      </c>
      <c r="C213" s="175" t="s">
        <v>245</v>
      </c>
      <c r="D213" s="176" t="s">
        <v>1119</v>
      </c>
      <c r="E213" s="176" t="s">
        <v>1787</v>
      </c>
      <c r="F213" s="173">
        <v>55438</v>
      </c>
      <c r="G213" s="173" t="s">
        <v>246</v>
      </c>
      <c r="H213" s="174">
        <v>0</v>
      </c>
      <c r="I213" s="143"/>
      <c r="J213" s="143"/>
      <c r="K213" s="143"/>
      <c r="L213" s="143" t="s">
        <v>187</v>
      </c>
      <c r="M213" s="177" t="s">
        <v>1855</v>
      </c>
      <c r="N213" s="144" t="s">
        <v>1432</v>
      </c>
    </row>
    <row r="214" spans="1:14">
      <c r="A214" s="140" t="str">
        <f t="shared" si="3"/>
        <v>05542-00549-01</v>
      </c>
      <c r="B214" s="145" t="s">
        <v>10</v>
      </c>
      <c r="C214" s="175" t="s">
        <v>245</v>
      </c>
      <c r="D214" s="176" t="s">
        <v>1119</v>
      </c>
      <c r="E214" s="176" t="s">
        <v>1787</v>
      </c>
      <c r="F214" s="173">
        <v>60282</v>
      </c>
      <c r="G214" s="173" t="s">
        <v>246</v>
      </c>
      <c r="H214" s="174">
        <v>1</v>
      </c>
      <c r="I214" s="143" t="s">
        <v>360</v>
      </c>
      <c r="J214" s="181" t="s">
        <v>47</v>
      </c>
      <c r="K214" s="181" t="s">
        <v>47</v>
      </c>
      <c r="M214" s="177" t="s">
        <v>1855</v>
      </c>
      <c r="N214" s="144" t="s">
        <v>1432</v>
      </c>
    </row>
    <row r="215" spans="1:14">
      <c r="A215" s="140" t="str">
        <f t="shared" si="3"/>
        <v>05542-00549-02</v>
      </c>
      <c r="C215" s="175" t="s">
        <v>245</v>
      </c>
      <c r="D215" s="176" t="s">
        <v>1119</v>
      </c>
      <c r="E215" s="176" t="s">
        <v>1787</v>
      </c>
      <c r="F215" s="173">
        <v>62540</v>
      </c>
      <c r="G215" s="173" t="s">
        <v>246</v>
      </c>
      <c r="H215" s="174">
        <v>2</v>
      </c>
      <c r="M215" s="177"/>
      <c r="N215" s="144" t="s">
        <v>1432</v>
      </c>
    </row>
    <row r="216" spans="1:14">
      <c r="A216" s="140" t="str">
        <f t="shared" si="3"/>
        <v>05542-00549-03</v>
      </c>
      <c r="C216" s="175" t="s">
        <v>245</v>
      </c>
      <c r="D216" s="176" t="s">
        <v>1119</v>
      </c>
      <c r="E216" s="176" t="s">
        <v>1787</v>
      </c>
      <c r="F216" s="173">
        <v>62765</v>
      </c>
      <c r="G216" s="173" t="s">
        <v>246</v>
      </c>
      <c r="H216" s="174">
        <v>3</v>
      </c>
      <c r="M216" s="177"/>
      <c r="N216" s="144" t="s">
        <v>1432</v>
      </c>
    </row>
    <row r="217" spans="1:14">
      <c r="A217" s="140" t="str">
        <f t="shared" si="3"/>
        <v>05542-00549-05</v>
      </c>
      <c r="C217" s="175" t="s">
        <v>245</v>
      </c>
      <c r="D217" s="176" t="s">
        <v>1119</v>
      </c>
      <c r="E217" s="176" t="s">
        <v>1787</v>
      </c>
      <c r="F217" s="173" t="s">
        <v>1410</v>
      </c>
      <c r="G217" s="173" t="s">
        <v>246</v>
      </c>
      <c r="H217" s="174">
        <v>5</v>
      </c>
      <c r="I217" s="144" t="s">
        <v>1424</v>
      </c>
      <c r="L217" s="143" t="s">
        <v>1431</v>
      </c>
      <c r="M217" s="177"/>
      <c r="N217" s="144" t="s">
        <v>47</v>
      </c>
    </row>
    <row r="218" spans="1:14">
      <c r="A218" s="140" t="str">
        <f t="shared" si="3"/>
        <v>05542-00559-00</v>
      </c>
      <c r="C218" s="175" t="s">
        <v>245</v>
      </c>
      <c r="D218" s="176" t="s">
        <v>1119</v>
      </c>
      <c r="E218" s="176" t="s">
        <v>1787</v>
      </c>
      <c r="F218" s="173">
        <v>61312</v>
      </c>
      <c r="G218" s="173" t="s">
        <v>475</v>
      </c>
      <c r="H218" s="174">
        <v>0</v>
      </c>
      <c r="I218" s="143"/>
      <c r="J218" s="181"/>
      <c r="K218" s="181"/>
      <c r="L218" s="143" t="s">
        <v>1482</v>
      </c>
      <c r="M218" s="177" t="s">
        <v>1855</v>
      </c>
      <c r="N218" s="144" t="s">
        <v>1432</v>
      </c>
    </row>
    <row r="219" spans="1:14">
      <c r="A219" s="140" t="str">
        <f t="shared" si="3"/>
        <v>05542-00559-01</v>
      </c>
      <c r="C219" s="175" t="s">
        <v>245</v>
      </c>
      <c r="D219" s="176" t="s">
        <v>1119</v>
      </c>
      <c r="E219" s="176" t="s">
        <v>1787</v>
      </c>
      <c r="F219" s="173">
        <v>61591</v>
      </c>
      <c r="G219" s="173" t="s">
        <v>475</v>
      </c>
      <c r="H219" s="174">
        <v>1</v>
      </c>
      <c r="I219" s="143"/>
      <c r="J219" s="181"/>
      <c r="K219" s="181"/>
      <c r="M219" s="177" t="s">
        <v>1855</v>
      </c>
      <c r="N219" s="144" t="s">
        <v>1432</v>
      </c>
    </row>
    <row r="220" spans="1:14">
      <c r="A220" s="140" t="str">
        <f t="shared" si="3"/>
        <v>05542-00559-02</v>
      </c>
      <c r="C220" s="175" t="s">
        <v>245</v>
      </c>
      <c r="D220" s="176" t="s">
        <v>1119</v>
      </c>
      <c r="E220" s="176" t="s">
        <v>1787</v>
      </c>
      <c r="F220" s="173">
        <v>62444</v>
      </c>
      <c r="G220" s="173" t="s">
        <v>475</v>
      </c>
      <c r="H220" s="174">
        <v>2</v>
      </c>
      <c r="I220" s="143"/>
      <c r="J220" s="181"/>
      <c r="K220" s="181"/>
      <c r="M220" s="177" t="s">
        <v>1855</v>
      </c>
      <c r="N220" s="144" t="s">
        <v>1432</v>
      </c>
    </row>
    <row r="221" spans="1:14">
      <c r="A221" s="140" t="str">
        <f t="shared" si="3"/>
        <v>05542-00559-03</v>
      </c>
      <c r="C221" s="175" t="s">
        <v>245</v>
      </c>
      <c r="D221" s="176" t="s">
        <v>1119</v>
      </c>
      <c r="E221" s="176" t="s">
        <v>1787</v>
      </c>
      <c r="F221" s="173">
        <v>62540</v>
      </c>
      <c r="G221" s="173" t="s">
        <v>475</v>
      </c>
      <c r="H221" s="174">
        <v>3</v>
      </c>
      <c r="I221" s="143"/>
      <c r="J221" s="181"/>
      <c r="K221" s="181"/>
      <c r="M221" s="177" t="s">
        <v>1855</v>
      </c>
      <c r="N221" s="144" t="s">
        <v>1432</v>
      </c>
    </row>
    <row r="222" spans="1:14">
      <c r="A222" s="140" t="str">
        <f t="shared" si="3"/>
        <v>05542-00559-04</v>
      </c>
      <c r="B222" s="145" t="s">
        <v>6</v>
      </c>
      <c r="C222" s="175" t="s">
        <v>245</v>
      </c>
      <c r="D222" s="176" t="s">
        <v>1119</v>
      </c>
      <c r="E222" s="176" t="s">
        <v>1787</v>
      </c>
      <c r="F222" s="173">
        <v>62765</v>
      </c>
      <c r="G222" s="173" t="s">
        <v>475</v>
      </c>
      <c r="H222" s="174">
        <v>4</v>
      </c>
      <c r="I222" s="143" t="s">
        <v>433</v>
      </c>
      <c r="J222" s="181" t="s">
        <v>47</v>
      </c>
      <c r="K222" s="181" t="s">
        <v>47</v>
      </c>
      <c r="M222" s="177" t="s">
        <v>1855</v>
      </c>
      <c r="N222" s="144" t="s">
        <v>1432</v>
      </c>
    </row>
    <row r="223" spans="1:14">
      <c r="A223" s="140" t="str">
        <f t="shared" si="3"/>
        <v>05542-00559-06</v>
      </c>
      <c r="C223" s="175" t="s">
        <v>245</v>
      </c>
      <c r="D223" s="176" t="s">
        <v>1119</v>
      </c>
      <c r="E223" s="176" t="s">
        <v>1787</v>
      </c>
      <c r="F223" s="173" t="s">
        <v>1410</v>
      </c>
      <c r="G223" s="173" t="s">
        <v>475</v>
      </c>
      <c r="H223" s="174">
        <v>6</v>
      </c>
      <c r="I223" s="144" t="s">
        <v>1422</v>
      </c>
      <c r="L223" s="143" t="s">
        <v>1431</v>
      </c>
      <c r="M223" s="177"/>
      <c r="N223" s="144" t="s">
        <v>1433</v>
      </c>
    </row>
    <row r="224" spans="1:14">
      <c r="A224" s="140" t="str">
        <f t="shared" si="3"/>
        <v>05542-00639-00</v>
      </c>
      <c r="B224" s="145" t="s">
        <v>10</v>
      </c>
      <c r="C224" s="175" t="s">
        <v>245</v>
      </c>
      <c r="D224" s="176" t="s">
        <v>1119</v>
      </c>
      <c r="E224" s="176" t="s">
        <v>1787</v>
      </c>
      <c r="F224" s="173">
        <v>60286</v>
      </c>
      <c r="G224" s="173" t="s">
        <v>247</v>
      </c>
      <c r="H224" s="174">
        <v>0</v>
      </c>
      <c r="I224" s="143" t="s">
        <v>360</v>
      </c>
      <c r="J224" s="181" t="s">
        <v>47</v>
      </c>
      <c r="K224" s="181" t="s">
        <v>47</v>
      </c>
      <c r="M224" s="177" t="s">
        <v>1855</v>
      </c>
      <c r="N224" s="144" t="s">
        <v>1432</v>
      </c>
    </row>
    <row r="225" spans="1:14">
      <c r="A225" s="140" t="str">
        <f t="shared" si="3"/>
        <v>05542-00639-01</v>
      </c>
      <c r="C225" s="175" t="s">
        <v>245</v>
      </c>
      <c r="D225" s="176" t="s">
        <v>1119</v>
      </c>
      <c r="E225" s="176" t="s">
        <v>1787</v>
      </c>
      <c r="F225" s="173">
        <v>60282</v>
      </c>
      <c r="G225" s="173" t="s">
        <v>247</v>
      </c>
      <c r="H225" s="174">
        <v>1</v>
      </c>
      <c r="I225" s="143"/>
      <c r="J225" s="181"/>
      <c r="K225" s="181"/>
      <c r="M225" s="177" t="s">
        <v>1855</v>
      </c>
      <c r="N225" s="144" t="s">
        <v>1432</v>
      </c>
    </row>
    <row r="226" spans="1:14">
      <c r="A226" s="140" t="str">
        <f t="shared" si="3"/>
        <v>05542-00639-02</v>
      </c>
      <c r="C226" s="175" t="s">
        <v>245</v>
      </c>
      <c r="D226" s="176" t="s">
        <v>1119</v>
      </c>
      <c r="E226" s="176" t="s">
        <v>1787</v>
      </c>
      <c r="F226" s="173">
        <v>62540</v>
      </c>
      <c r="G226" s="173" t="s">
        <v>247</v>
      </c>
      <c r="H226" s="174">
        <v>2</v>
      </c>
      <c r="I226" s="143"/>
      <c r="J226" s="181"/>
      <c r="K226" s="181"/>
      <c r="M226" s="177"/>
      <c r="N226" s="144" t="s">
        <v>1432</v>
      </c>
    </row>
    <row r="227" spans="1:14">
      <c r="A227" s="140" t="str">
        <f t="shared" si="3"/>
        <v>05542-00639-03</v>
      </c>
      <c r="C227" s="175" t="s">
        <v>245</v>
      </c>
      <c r="D227" s="176" t="s">
        <v>1119</v>
      </c>
      <c r="E227" s="176" t="s">
        <v>1787</v>
      </c>
      <c r="F227" s="173">
        <v>62765</v>
      </c>
      <c r="G227" s="173" t="s">
        <v>247</v>
      </c>
      <c r="H227" s="174">
        <v>3</v>
      </c>
      <c r="I227" s="143"/>
      <c r="J227" s="181"/>
      <c r="K227" s="181"/>
      <c r="M227" s="177"/>
      <c r="N227" s="144" t="s">
        <v>1432</v>
      </c>
    </row>
    <row r="228" spans="1:14">
      <c r="A228" s="140" t="str">
        <f t="shared" si="3"/>
        <v>05542-00639-05</v>
      </c>
      <c r="C228" s="175" t="s">
        <v>245</v>
      </c>
      <c r="D228" s="176" t="s">
        <v>1119</v>
      </c>
      <c r="E228" s="176" t="s">
        <v>1787</v>
      </c>
      <c r="F228" s="173" t="s">
        <v>1410</v>
      </c>
      <c r="G228" s="173" t="s">
        <v>247</v>
      </c>
      <c r="H228" s="174">
        <v>5</v>
      </c>
      <c r="I228" s="144" t="s">
        <v>1424</v>
      </c>
      <c r="L228" s="143" t="s">
        <v>1431</v>
      </c>
      <c r="M228" s="177"/>
      <c r="N228" s="144" t="s">
        <v>47</v>
      </c>
    </row>
    <row r="229" spans="1:14">
      <c r="A229" s="140" t="str">
        <f t="shared" si="3"/>
        <v>05542-00651-00</v>
      </c>
      <c r="B229" s="145" t="s">
        <v>6</v>
      </c>
      <c r="C229" s="175" t="s">
        <v>245</v>
      </c>
      <c r="D229" s="176" t="s">
        <v>1119</v>
      </c>
      <c r="E229" s="176" t="s">
        <v>1787</v>
      </c>
      <c r="F229" s="173">
        <v>61312</v>
      </c>
      <c r="G229" s="173" t="s">
        <v>476</v>
      </c>
      <c r="H229" s="174">
        <v>0</v>
      </c>
      <c r="I229" s="143" t="s">
        <v>433</v>
      </c>
      <c r="J229" s="181" t="s">
        <v>47</v>
      </c>
      <c r="K229" s="181" t="s">
        <v>47</v>
      </c>
      <c r="M229" s="177" t="s">
        <v>1855</v>
      </c>
      <c r="N229" s="144" t="s">
        <v>1432</v>
      </c>
    </row>
    <row r="230" spans="1:14">
      <c r="A230" s="140" t="str">
        <f t="shared" si="3"/>
        <v>05542-00651-01</v>
      </c>
      <c r="C230" s="175" t="s">
        <v>245</v>
      </c>
      <c r="D230" s="176" t="s">
        <v>1119</v>
      </c>
      <c r="E230" s="176" t="s">
        <v>1787</v>
      </c>
      <c r="F230" s="173">
        <v>61591</v>
      </c>
      <c r="G230" s="173" t="s">
        <v>476</v>
      </c>
      <c r="H230" s="174">
        <v>1</v>
      </c>
      <c r="M230" s="177" t="s">
        <v>1855</v>
      </c>
      <c r="N230" s="144" t="s">
        <v>1432</v>
      </c>
    </row>
    <row r="231" spans="1:14">
      <c r="A231" s="140" t="str">
        <f t="shared" si="3"/>
        <v>05542-00651-02</v>
      </c>
      <c r="C231" s="175" t="s">
        <v>245</v>
      </c>
      <c r="D231" s="176" t="s">
        <v>1119</v>
      </c>
      <c r="E231" s="176" t="s">
        <v>1787</v>
      </c>
      <c r="F231" s="173">
        <v>62444</v>
      </c>
      <c r="G231" s="173" t="s">
        <v>476</v>
      </c>
      <c r="H231" s="174">
        <v>2</v>
      </c>
      <c r="M231" s="177" t="s">
        <v>1855</v>
      </c>
      <c r="N231" s="144" t="s">
        <v>1432</v>
      </c>
    </row>
    <row r="232" spans="1:14">
      <c r="A232" s="140" t="str">
        <f t="shared" si="3"/>
        <v>05542-00651-03</v>
      </c>
      <c r="C232" s="175" t="s">
        <v>245</v>
      </c>
      <c r="D232" s="176" t="s">
        <v>1119</v>
      </c>
      <c r="E232" s="176" t="s">
        <v>1787</v>
      </c>
      <c r="F232" s="173">
        <v>62540</v>
      </c>
      <c r="G232" s="173" t="s">
        <v>476</v>
      </c>
      <c r="H232" s="174">
        <v>3</v>
      </c>
      <c r="M232" s="177" t="s">
        <v>1855</v>
      </c>
      <c r="N232" s="144" t="s">
        <v>1432</v>
      </c>
    </row>
    <row r="233" spans="1:14">
      <c r="A233" s="140" t="str">
        <f t="shared" si="3"/>
        <v>05542-00651-04</v>
      </c>
      <c r="C233" s="175" t="s">
        <v>245</v>
      </c>
      <c r="D233" s="176" t="s">
        <v>1119</v>
      </c>
      <c r="E233" s="176" t="s">
        <v>1787</v>
      </c>
      <c r="F233" s="173">
        <v>62765</v>
      </c>
      <c r="G233" s="173" t="s">
        <v>476</v>
      </c>
      <c r="H233" s="174">
        <v>4</v>
      </c>
      <c r="M233" s="177" t="s">
        <v>1855</v>
      </c>
      <c r="N233" s="144" t="s">
        <v>1432</v>
      </c>
    </row>
    <row r="234" spans="1:14">
      <c r="A234" s="140" t="str">
        <f t="shared" si="3"/>
        <v>05601-00120-00</v>
      </c>
      <c r="C234" s="175" t="s">
        <v>52</v>
      </c>
      <c r="D234" s="176" t="s">
        <v>1230</v>
      </c>
      <c r="E234" s="176"/>
      <c r="F234" s="173" t="s">
        <v>1302</v>
      </c>
      <c r="G234" s="173" t="s">
        <v>1309</v>
      </c>
      <c r="H234" s="174">
        <v>0</v>
      </c>
      <c r="I234" s="144" t="s">
        <v>1307</v>
      </c>
      <c r="M234" s="177"/>
      <c r="N234" s="144" t="s">
        <v>1432</v>
      </c>
    </row>
    <row r="235" spans="1:14">
      <c r="A235" s="140" t="str">
        <f t="shared" si="3"/>
        <v>05601-00120-01</v>
      </c>
      <c r="C235" s="175" t="s">
        <v>52</v>
      </c>
      <c r="D235" s="176" t="s">
        <v>1230</v>
      </c>
      <c r="E235" s="176"/>
      <c r="F235" s="173" t="s">
        <v>1303</v>
      </c>
      <c r="G235" s="173" t="s">
        <v>1309</v>
      </c>
      <c r="H235" s="174">
        <v>1</v>
      </c>
      <c r="I235" s="144" t="s">
        <v>1298</v>
      </c>
      <c r="M235" s="177"/>
      <c r="N235" s="144" t="s">
        <v>1432</v>
      </c>
    </row>
    <row r="236" spans="1:14">
      <c r="A236" s="140" t="str">
        <f t="shared" si="3"/>
        <v>05601-00120-02</v>
      </c>
      <c r="C236" s="175" t="s">
        <v>52</v>
      </c>
      <c r="D236" s="176" t="s">
        <v>1230</v>
      </c>
      <c r="E236" s="176"/>
      <c r="F236" s="173" t="s">
        <v>1304</v>
      </c>
      <c r="G236" s="173" t="s">
        <v>1309</v>
      </c>
      <c r="H236" s="174">
        <v>2</v>
      </c>
      <c r="I236" s="144" t="s">
        <v>1827</v>
      </c>
      <c r="M236" s="177"/>
      <c r="N236" s="144" t="s">
        <v>1432</v>
      </c>
    </row>
    <row r="237" spans="1:14">
      <c r="A237" s="140" t="str">
        <f t="shared" si="3"/>
        <v>05601-00120-03</v>
      </c>
      <c r="C237" s="175" t="s">
        <v>52</v>
      </c>
      <c r="D237" s="176" t="s">
        <v>1230</v>
      </c>
      <c r="E237" s="176"/>
      <c r="F237" s="173" t="s">
        <v>1305</v>
      </c>
      <c r="G237" s="173" t="s">
        <v>1309</v>
      </c>
      <c r="H237" s="174">
        <v>3</v>
      </c>
      <c r="I237" s="144" t="s">
        <v>1828</v>
      </c>
      <c r="M237" s="177"/>
      <c r="N237" s="144" t="s">
        <v>1432</v>
      </c>
    </row>
    <row r="238" spans="1:14">
      <c r="A238" s="140" t="str">
        <f t="shared" si="3"/>
        <v>05601-00120-04</v>
      </c>
      <c r="C238" s="175" t="s">
        <v>52</v>
      </c>
      <c r="D238" s="176" t="s">
        <v>1230</v>
      </c>
      <c r="E238" s="176"/>
      <c r="F238" s="173" t="s">
        <v>1310</v>
      </c>
      <c r="G238" s="173" t="s">
        <v>1309</v>
      </c>
      <c r="H238" s="174">
        <v>4</v>
      </c>
      <c r="I238" s="144" t="s">
        <v>1829</v>
      </c>
      <c r="M238" s="177"/>
      <c r="N238" s="144" t="s">
        <v>1432</v>
      </c>
    </row>
    <row r="239" spans="1:14">
      <c r="A239" s="140" t="str">
        <f t="shared" si="3"/>
        <v>05601-00120-05</v>
      </c>
      <c r="C239" s="175" t="s">
        <v>52</v>
      </c>
      <c r="D239" s="176" t="s">
        <v>1230</v>
      </c>
      <c r="E239" s="176"/>
      <c r="F239" s="173" t="s">
        <v>1306</v>
      </c>
      <c r="G239" s="173" t="s">
        <v>1309</v>
      </c>
      <c r="H239" s="174">
        <v>5</v>
      </c>
      <c r="I239" s="144" t="s">
        <v>1830</v>
      </c>
      <c r="M239" s="177"/>
      <c r="N239" s="144" t="s">
        <v>1432</v>
      </c>
    </row>
    <row r="240" spans="1:14">
      <c r="A240" s="140" t="str">
        <f t="shared" si="3"/>
        <v>05642-00015-00</v>
      </c>
      <c r="C240" s="175" t="s">
        <v>79</v>
      </c>
      <c r="D240" s="176" t="s">
        <v>1119</v>
      </c>
      <c r="E240" s="176" t="s">
        <v>1787</v>
      </c>
      <c r="F240" s="173">
        <v>41229</v>
      </c>
      <c r="G240" s="173" t="s">
        <v>80</v>
      </c>
      <c r="H240" s="174">
        <v>0</v>
      </c>
      <c r="L240" s="178" t="s">
        <v>187</v>
      </c>
      <c r="M240" s="177" t="s">
        <v>2312</v>
      </c>
      <c r="N240" s="144" t="s">
        <v>1432</v>
      </c>
    </row>
    <row r="241" spans="1:15">
      <c r="A241" s="140" t="str">
        <f t="shared" si="3"/>
        <v>05642-00015-01</v>
      </c>
      <c r="C241" s="175" t="s">
        <v>79</v>
      </c>
      <c r="D241" s="176" t="s">
        <v>1119</v>
      </c>
      <c r="E241" s="176" t="s">
        <v>1787</v>
      </c>
      <c r="F241" s="173">
        <v>42011</v>
      </c>
      <c r="G241" s="173" t="s">
        <v>80</v>
      </c>
      <c r="H241" s="174">
        <v>1</v>
      </c>
      <c r="M241" s="177" t="s">
        <v>2312</v>
      </c>
      <c r="N241" s="144" t="s">
        <v>1432</v>
      </c>
      <c r="O241" s="150"/>
    </row>
    <row r="242" spans="1:15">
      <c r="A242" s="140" t="str">
        <f t="shared" si="3"/>
        <v>05642-00015-02</v>
      </c>
      <c r="C242" s="175" t="s">
        <v>79</v>
      </c>
      <c r="D242" s="176" t="s">
        <v>1119</v>
      </c>
      <c r="E242" s="176" t="s">
        <v>1787</v>
      </c>
      <c r="F242" s="173">
        <v>42850</v>
      </c>
      <c r="G242" s="173" t="s">
        <v>80</v>
      </c>
      <c r="H242" s="174">
        <v>2</v>
      </c>
      <c r="M242" s="177" t="s">
        <v>2312</v>
      </c>
      <c r="N242" s="144" t="s">
        <v>1432</v>
      </c>
    </row>
    <row r="243" spans="1:15">
      <c r="A243" s="140" t="str">
        <f t="shared" si="3"/>
        <v>05642-00015-03</v>
      </c>
      <c r="C243" s="175" t="s">
        <v>79</v>
      </c>
      <c r="D243" s="176" t="s">
        <v>1119</v>
      </c>
      <c r="E243" s="176" t="s">
        <v>1787</v>
      </c>
      <c r="F243" s="173">
        <v>43589</v>
      </c>
      <c r="G243" s="173" t="s">
        <v>80</v>
      </c>
      <c r="H243" s="174">
        <v>3</v>
      </c>
      <c r="M243" s="177" t="s">
        <v>2313</v>
      </c>
      <c r="N243" s="144" t="s">
        <v>1432</v>
      </c>
    </row>
    <row r="244" spans="1:15">
      <c r="A244" s="140" t="str">
        <f t="shared" si="3"/>
        <v>05642-00015-04</v>
      </c>
      <c r="C244" s="175" t="s">
        <v>79</v>
      </c>
      <c r="D244" s="176" t="s">
        <v>1119</v>
      </c>
      <c r="E244" s="176" t="s">
        <v>1787</v>
      </c>
      <c r="F244" s="173">
        <v>43748</v>
      </c>
      <c r="G244" s="173" t="s">
        <v>80</v>
      </c>
      <c r="H244" s="174">
        <v>4</v>
      </c>
      <c r="I244" s="155" t="s">
        <v>312</v>
      </c>
      <c r="J244" s="144" t="s">
        <v>313</v>
      </c>
      <c r="K244" s="144" t="s">
        <v>314</v>
      </c>
      <c r="M244" s="177" t="s">
        <v>2313</v>
      </c>
      <c r="N244" s="144" t="s">
        <v>1432</v>
      </c>
    </row>
    <row r="245" spans="1:15">
      <c r="A245" s="140" t="str">
        <f t="shared" si="3"/>
        <v>05642-00075-00</v>
      </c>
      <c r="C245" s="175" t="s">
        <v>493</v>
      </c>
      <c r="D245" s="176" t="s">
        <v>1119</v>
      </c>
      <c r="E245" s="176" t="s">
        <v>1787</v>
      </c>
      <c r="F245" s="173">
        <v>62636</v>
      </c>
      <c r="G245" s="173" t="s">
        <v>1044</v>
      </c>
      <c r="H245" s="174">
        <v>0</v>
      </c>
      <c r="I245" s="144" t="s">
        <v>1045</v>
      </c>
      <c r="L245" s="178"/>
      <c r="M245" s="177" t="s">
        <v>505</v>
      </c>
      <c r="N245" s="144" t="s">
        <v>1432</v>
      </c>
    </row>
    <row r="246" spans="1:15">
      <c r="A246" s="140" t="str">
        <f t="shared" si="3"/>
        <v>05642-00108-00</v>
      </c>
      <c r="C246" s="175" t="s">
        <v>185</v>
      </c>
      <c r="D246" s="176" t="s">
        <v>1119</v>
      </c>
      <c r="E246" s="176" t="s">
        <v>1787</v>
      </c>
      <c r="F246" s="173">
        <v>40454</v>
      </c>
      <c r="G246" s="173" t="s">
        <v>186</v>
      </c>
      <c r="H246" s="174">
        <v>0</v>
      </c>
      <c r="L246" s="178" t="s">
        <v>187</v>
      </c>
      <c r="M246" s="177"/>
      <c r="N246" s="144" t="s">
        <v>1432</v>
      </c>
    </row>
    <row r="247" spans="1:15" ht="81">
      <c r="A247" s="140" t="str">
        <f t="shared" si="3"/>
        <v>05642-00108-01</v>
      </c>
      <c r="C247" s="175" t="s">
        <v>185</v>
      </c>
      <c r="D247" s="176" t="s">
        <v>1119</v>
      </c>
      <c r="E247" s="176" t="s">
        <v>1787</v>
      </c>
      <c r="F247" s="173">
        <v>42851</v>
      </c>
      <c r="G247" s="173" t="s">
        <v>186</v>
      </c>
      <c r="H247" s="174">
        <v>1</v>
      </c>
      <c r="L247" s="179" t="s">
        <v>1798</v>
      </c>
      <c r="M247" s="177" t="s">
        <v>509</v>
      </c>
      <c r="N247" s="144" t="s">
        <v>1432</v>
      </c>
    </row>
    <row r="248" spans="1:15">
      <c r="A248" s="140" t="str">
        <f t="shared" si="3"/>
        <v>05642-00108-02</v>
      </c>
      <c r="C248" s="175" t="s">
        <v>185</v>
      </c>
      <c r="D248" s="176" t="s">
        <v>1119</v>
      </c>
      <c r="E248" s="176" t="s">
        <v>1787</v>
      </c>
      <c r="F248" s="173">
        <v>43322</v>
      </c>
      <c r="G248" s="173" t="s">
        <v>186</v>
      </c>
      <c r="H248" s="174">
        <v>2</v>
      </c>
      <c r="L248" s="178" t="s">
        <v>1799</v>
      </c>
      <c r="M248" s="177" t="s">
        <v>509</v>
      </c>
      <c r="N248" s="144" t="s">
        <v>1432</v>
      </c>
    </row>
    <row r="249" spans="1:15" ht="40.5">
      <c r="A249" s="140" t="str">
        <f t="shared" si="3"/>
        <v>05642-00108-03</v>
      </c>
      <c r="C249" s="175" t="s">
        <v>185</v>
      </c>
      <c r="D249" s="176" t="s">
        <v>1119</v>
      </c>
      <c r="E249" s="176" t="s">
        <v>1787</v>
      </c>
      <c r="F249" s="173">
        <v>43497</v>
      </c>
      <c r="G249" s="173" t="s">
        <v>186</v>
      </c>
      <c r="H249" s="174">
        <v>3</v>
      </c>
      <c r="L249" s="179" t="s">
        <v>1800</v>
      </c>
      <c r="M249" s="177" t="s">
        <v>509</v>
      </c>
      <c r="N249" s="144" t="s">
        <v>1432</v>
      </c>
    </row>
    <row r="250" spans="1:15">
      <c r="A250" s="140" t="str">
        <f t="shared" si="3"/>
        <v>05642-00108-04</v>
      </c>
      <c r="C250" s="175" t="s">
        <v>185</v>
      </c>
      <c r="D250" s="176" t="s">
        <v>1119</v>
      </c>
      <c r="E250" s="176" t="s">
        <v>1787</v>
      </c>
      <c r="F250" s="173">
        <v>43589</v>
      </c>
      <c r="G250" s="173" t="s">
        <v>186</v>
      </c>
      <c r="H250" s="174">
        <v>4</v>
      </c>
      <c r="L250" s="178" t="s">
        <v>1801</v>
      </c>
      <c r="M250" s="177" t="s">
        <v>509</v>
      </c>
      <c r="N250" s="144" t="s">
        <v>1432</v>
      </c>
    </row>
    <row r="251" spans="1:15">
      <c r="A251" s="140" t="str">
        <f t="shared" si="3"/>
        <v>05642-00108-05</v>
      </c>
      <c r="C251" s="175" t="s">
        <v>185</v>
      </c>
      <c r="D251" s="176" t="s">
        <v>1119</v>
      </c>
      <c r="E251" s="176" t="s">
        <v>1787</v>
      </c>
      <c r="F251" s="173">
        <v>43748</v>
      </c>
      <c r="G251" s="173" t="s">
        <v>186</v>
      </c>
      <c r="H251" s="174">
        <v>5</v>
      </c>
      <c r="L251" s="178" t="s">
        <v>1802</v>
      </c>
      <c r="M251" s="177" t="s">
        <v>509</v>
      </c>
      <c r="N251" s="144" t="s">
        <v>1432</v>
      </c>
    </row>
    <row r="252" spans="1:15" ht="27">
      <c r="A252" s="140" t="str">
        <f t="shared" si="3"/>
        <v>05642-00108-06</v>
      </c>
      <c r="C252" s="175" t="s">
        <v>185</v>
      </c>
      <c r="D252" s="176" t="s">
        <v>1119</v>
      </c>
      <c r="E252" s="176" t="s">
        <v>1787</v>
      </c>
      <c r="F252" s="173">
        <v>44193</v>
      </c>
      <c r="G252" s="173" t="s">
        <v>186</v>
      </c>
      <c r="H252" s="174">
        <v>6</v>
      </c>
      <c r="L252" s="179" t="s">
        <v>1803</v>
      </c>
      <c r="M252" s="177" t="s">
        <v>509</v>
      </c>
      <c r="N252" s="144" t="s">
        <v>1432</v>
      </c>
    </row>
    <row r="253" spans="1:15">
      <c r="A253" s="140" t="str">
        <f t="shared" si="3"/>
        <v>05642-00108-07</v>
      </c>
      <c r="B253" s="145" t="s">
        <v>10</v>
      </c>
      <c r="C253" s="175" t="s">
        <v>185</v>
      </c>
      <c r="D253" s="176" t="s">
        <v>1119</v>
      </c>
      <c r="E253" s="176" t="s">
        <v>1787</v>
      </c>
      <c r="F253" s="173">
        <v>55511</v>
      </c>
      <c r="G253" s="173" t="s">
        <v>186</v>
      </c>
      <c r="H253" s="174">
        <v>7</v>
      </c>
      <c r="I253" s="144" t="s">
        <v>423</v>
      </c>
      <c r="J253" s="144" t="s">
        <v>425</v>
      </c>
      <c r="K253" s="150" t="s">
        <v>47</v>
      </c>
      <c r="L253" s="143" t="s">
        <v>1804</v>
      </c>
      <c r="M253" s="177" t="s">
        <v>509</v>
      </c>
      <c r="N253" s="144" t="s">
        <v>1432</v>
      </c>
    </row>
    <row r="254" spans="1:15">
      <c r="A254" s="140" t="str">
        <f t="shared" si="3"/>
        <v>05642-00207-00</v>
      </c>
      <c r="C254" s="175" t="s">
        <v>52</v>
      </c>
      <c r="D254" s="176" t="s">
        <v>1119</v>
      </c>
      <c r="E254" s="176" t="s">
        <v>1787</v>
      </c>
      <c r="F254" s="173">
        <v>41330</v>
      </c>
      <c r="G254" s="173" t="s">
        <v>58</v>
      </c>
      <c r="H254" s="174">
        <v>0</v>
      </c>
      <c r="J254" s="144" t="s">
        <v>294</v>
      </c>
      <c r="K254" s="144" t="s">
        <v>295</v>
      </c>
      <c r="L254" s="178" t="s">
        <v>296</v>
      </c>
      <c r="M254" s="177" t="s">
        <v>513</v>
      </c>
      <c r="N254" s="144" t="s">
        <v>1432</v>
      </c>
    </row>
    <row r="255" spans="1:15">
      <c r="A255" s="140" t="str">
        <f t="shared" si="3"/>
        <v>05642-00207-01</v>
      </c>
      <c r="C255" s="175" t="s">
        <v>52</v>
      </c>
      <c r="D255" s="176" t="s">
        <v>1119</v>
      </c>
      <c r="E255" s="176" t="s">
        <v>1787</v>
      </c>
      <c r="F255" s="173">
        <v>43796</v>
      </c>
      <c r="G255" s="173" t="s">
        <v>58</v>
      </c>
      <c r="H255" s="174">
        <v>1</v>
      </c>
      <c r="I255" s="146"/>
      <c r="J255" s="144" t="s">
        <v>294</v>
      </c>
      <c r="K255" s="144" t="s">
        <v>295</v>
      </c>
      <c r="L255" s="178"/>
      <c r="M255" s="177" t="s">
        <v>513</v>
      </c>
      <c r="N255" s="144" t="s">
        <v>1432</v>
      </c>
    </row>
    <row r="256" spans="1:15">
      <c r="A256" s="140" t="str">
        <f t="shared" si="3"/>
        <v>05642-00207-02</v>
      </c>
      <c r="C256" s="175" t="s">
        <v>52</v>
      </c>
      <c r="D256" s="176" t="s">
        <v>1119</v>
      </c>
      <c r="E256" s="176" t="s">
        <v>1787</v>
      </c>
      <c r="F256" s="173">
        <v>44946</v>
      </c>
      <c r="G256" s="173" t="s">
        <v>58</v>
      </c>
      <c r="H256" s="174">
        <v>2</v>
      </c>
      <c r="I256" s="144" t="s">
        <v>298</v>
      </c>
      <c r="J256" s="144" t="s">
        <v>294</v>
      </c>
      <c r="K256" s="144" t="s">
        <v>295</v>
      </c>
      <c r="M256" s="177" t="s">
        <v>513</v>
      </c>
      <c r="N256" s="144" t="s">
        <v>1432</v>
      </c>
    </row>
    <row r="257" spans="1:14">
      <c r="A257" s="140" t="str">
        <f t="shared" si="3"/>
        <v>05642-00231-00</v>
      </c>
      <c r="C257" s="175" t="s">
        <v>43</v>
      </c>
      <c r="D257" s="176" t="s">
        <v>1119</v>
      </c>
      <c r="E257" s="176" t="s">
        <v>1787</v>
      </c>
      <c r="F257" s="173">
        <v>42160</v>
      </c>
      <c r="G257" s="173" t="s">
        <v>44</v>
      </c>
      <c r="H257" s="174">
        <v>0</v>
      </c>
      <c r="L257" s="178"/>
      <c r="M257" s="177" t="s">
        <v>504</v>
      </c>
      <c r="N257" s="144" t="s">
        <v>1432</v>
      </c>
    </row>
    <row r="258" spans="1:14">
      <c r="A258" s="140" t="str">
        <f t="shared" ref="A258:A321" si="4">G258&amp;"-"&amp;TEXT(H258,"00")</f>
        <v>05642-00231-01</v>
      </c>
      <c r="C258" s="175" t="s">
        <v>43</v>
      </c>
      <c r="D258" s="176" t="s">
        <v>1119</v>
      </c>
      <c r="E258" s="176" t="s">
        <v>1787</v>
      </c>
      <c r="F258" s="173">
        <v>42065</v>
      </c>
      <c r="G258" s="173" t="s">
        <v>44</v>
      </c>
      <c r="H258" s="174">
        <v>1</v>
      </c>
      <c r="I258" s="146"/>
      <c r="L258" s="178"/>
      <c r="M258" s="177" t="s">
        <v>504</v>
      </c>
      <c r="N258" s="144" t="s">
        <v>1432</v>
      </c>
    </row>
    <row r="259" spans="1:14">
      <c r="A259" s="140" t="str">
        <f t="shared" si="4"/>
        <v>05642-00231-02</v>
      </c>
      <c r="C259" s="175" t="s">
        <v>43</v>
      </c>
      <c r="D259" s="176" t="s">
        <v>1119</v>
      </c>
      <c r="E259" s="176" t="s">
        <v>1787</v>
      </c>
      <c r="F259" s="173">
        <v>42491</v>
      </c>
      <c r="G259" s="173" t="s">
        <v>44</v>
      </c>
      <c r="H259" s="174">
        <v>2</v>
      </c>
      <c r="I259" s="146"/>
      <c r="L259" s="144" t="s">
        <v>42</v>
      </c>
      <c r="M259" s="177" t="s">
        <v>504</v>
      </c>
      <c r="N259" s="144" t="s">
        <v>1432</v>
      </c>
    </row>
    <row r="260" spans="1:14">
      <c r="A260" s="140" t="str">
        <f t="shared" si="4"/>
        <v>05642-00231-03</v>
      </c>
      <c r="C260" s="175" t="s">
        <v>43</v>
      </c>
      <c r="D260" s="176" t="s">
        <v>1119</v>
      </c>
      <c r="E260" s="176" t="s">
        <v>1787</v>
      </c>
      <c r="F260" s="173">
        <v>42850</v>
      </c>
      <c r="G260" s="173" t="s">
        <v>44</v>
      </c>
      <c r="H260" s="174">
        <v>3</v>
      </c>
      <c r="I260" s="146"/>
      <c r="L260" s="178"/>
      <c r="M260" s="177" t="s">
        <v>504</v>
      </c>
      <c r="N260" s="144" t="s">
        <v>1432</v>
      </c>
    </row>
    <row r="261" spans="1:14">
      <c r="A261" s="140" t="str">
        <f t="shared" si="4"/>
        <v>05642-00231-04</v>
      </c>
      <c r="C261" s="175" t="s">
        <v>43</v>
      </c>
      <c r="D261" s="176" t="s">
        <v>1119</v>
      </c>
      <c r="E261" s="176" t="s">
        <v>1787</v>
      </c>
      <c r="F261" s="173">
        <v>43183</v>
      </c>
      <c r="G261" s="173" t="s">
        <v>44</v>
      </c>
      <c r="H261" s="174">
        <v>4</v>
      </c>
      <c r="I261" s="146"/>
      <c r="L261" s="178"/>
      <c r="M261" s="177" t="s">
        <v>504</v>
      </c>
      <c r="N261" s="144" t="s">
        <v>1432</v>
      </c>
    </row>
    <row r="262" spans="1:14">
      <c r="A262" s="140" t="str">
        <f t="shared" si="4"/>
        <v>05642-00231-05</v>
      </c>
      <c r="C262" s="175" t="s">
        <v>43</v>
      </c>
      <c r="D262" s="176" t="s">
        <v>1119</v>
      </c>
      <c r="E262" s="176" t="s">
        <v>1787</v>
      </c>
      <c r="F262" s="173">
        <v>43589</v>
      </c>
      <c r="G262" s="173" t="s">
        <v>44</v>
      </c>
      <c r="H262" s="174">
        <v>5</v>
      </c>
      <c r="I262" s="144" t="s">
        <v>270</v>
      </c>
      <c r="J262" s="144" t="s">
        <v>272</v>
      </c>
      <c r="K262" s="150" t="s">
        <v>273</v>
      </c>
      <c r="L262" s="178"/>
      <c r="M262" s="177" t="s">
        <v>504</v>
      </c>
      <c r="N262" s="144" t="s">
        <v>1432</v>
      </c>
    </row>
    <row r="263" spans="1:14">
      <c r="A263" s="140" t="str">
        <f t="shared" si="4"/>
        <v>05642-00250-00</v>
      </c>
      <c r="C263" s="175" t="s">
        <v>52</v>
      </c>
      <c r="D263" s="176" t="s">
        <v>1119</v>
      </c>
      <c r="E263" s="176" t="s">
        <v>1787</v>
      </c>
      <c r="F263" s="173">
        <v>42834</v>
      </c>
      <c r="G263" s="173" t="s">
        <v>55</v>
      </c>
      <c r="H263" s="174">
        <v>0</v>
      </c>
      <c r="J263" s="144" t="s">
        <v>288</v>
      </c>
      <c r="K263" s="144" t="s">
        <v>289</v>
      </c>
      <c r="M263" s="177" t="s">
        <v>513</v>
      </c>
      <c r="N263" s="144" t="s">
        <v>1432</v>
      </c>
    </row>
    <row r="264" spans="1:14">
      <c r="A264" s="140" t="str">
        <f t="shared" si="4"/>
        <v>05642-00250-01</v>
      </c>
      <c r="C264" s="175" t="s">
        <v>52</v>
      </c>
      <c r="D264" s="176" t="s">
        <v>1119</v>
      </c>
      <c r="E264" s="176" t="s">
        <v>1787</v>
      </c>
      <c r="F264" s="173">
        <v>43461</v>
      </c>
      <c r="G264" s="173" t="s">
        <v>55</v>
      </c>
      <c r="H264" s="174">
        <v>1</v>
      </c>
      <c r="I264" s="146"/>
      <c r="J264" s="144" t="s">
        <v>288</v>
      </c>
      <c r="K264" s="144" t="s">
        <v>289</v>
      </c>
      <c r="L264" s="178"/>
      <c r="M264" s="177" t="s">
        <v>856</v>
      </c>
      <c r="N264" s="144" t="s">
        <v>1432</v>
      </c>
    </row>
    <row r="265" spans="1:14">
      <c r="A265" s="140" t="str">
        <f t="shared" si="4"/>
        <v>05642-00250-02</v>
      </c>
      <c r="C265" s="175" t="s">
        <v>52</v>
      </c>
      <c r="D265" s="176" t="s">
        <v>1119</v>
      </c>
      <c r="E265" s="176" t="s">
        <v>1787</v>
      </c>
      <c r="F265" s="173">
        <v>43796</v>
      </c>
      <c r="G265" s="173" t="s">
        <v>55</v>
      </c>
      <c r="H265" s="174">
        <v>2</v>
      </c>
      <c r="I265" s="146"/>
      <c r="J265" s="144" t="s">
        <v>288</v>
      </c>
      <c r="K265" s="144" t="s">
        <v>289</v>
      </c>
      <c r="L265" s="178"/>
      <c r="M265" s="177" t="s">
        <v>513</v>
      </c>
      <c r="N265" s="144" t="s">
        <v>1432</v>
      </c>
    </row>
    <row r="266" spans="1:14">
      <c r="A266" s="140" t="str">
        <f t="shared" si="4"/>
        <v>05642-00250-03</v>
      </c>
      <c r="C266" s="175" t="s">
        <v>52</v>
      </c>
      <c r="D266" s="176" t="s">
        <v>1119</v>
      </c>
      <c r="E266" s="176" t="s">
        <v>1787</v>
      </c>
      <c r="F266" s="173">
        <v>43815</v>
      </c>
      <c r="G266" s="173" t="s">
        <v>55</v>
      </c>
      <c r="H266" s="174">
        <v>3</v>
      </c>
      <c r="I266" s="146"/>
      <c r="J266" s="144" t="s">
        <v>288</v>
      </c>
      <c r="K266" s="144" t="s">
        <v>289</v>
      </c>
      <c r="L266" s="178"/>
      <c r="M266" s="177" t="s">
        <v>513</v>
      </c>
      <c r="N266" s="144" t="s">
        <v>1432</v>
      </c>
    </row>
    <row r="267" spans="1:14">
      <c r="A267" s="140" t="str">
        <f t="shared" si="4"/>
        <v>05642-00250-04</v>
      </c>
      <c r="C267" s="175" t="s">
        <v>52</v>
      </c>
      <c r="D267" s="176" t="s">
        <v>1119</v>
      </c>
      <c r="E267" s="176" t="s">
        <v>1787</v>
      </c>
      <c r="F267" s="173">
        <v>44946</v>
      </c>
      <c r="G267" s="173" t="s">
        <v>55</v>
      </c>
      <c r="H267" s="174">
        <v>4</v>
      </c>
      <c r="I267" s="146"/>
      <c r="J267" s="144" t="s">
        <v>288</v>
      </c>
      <c r="K267" s="144" t="s">
        <v>289</v>
      </c>
      <c r="L267" s="178"/>
      <c r="M267" s="177" t="s">
        <v>513</v>
      </c>
      <c r="N267" s="144" t="s">
        <v>1432</v>
      </c>
    </row>
    <row r="268" spans="1:14">
      <c r="A268" s="140" t="str">
        <f t="shared" si="4"/>
        <v>05642-00250-05</v>
      </c>
      <c r="C268" s="175" t="s">
        <v>52</v>
      </c>
      <c r="D268" s="176" t="s">
        <v>1119</v>
      </c>
      <c r="E268" s="176" t="s">
        <v>1787</v>
      </c>
      <c r="F268" s="173">
        <v>55511</v>
      </c>
      <c r="G268" s="173" t="s">
        <v>55</v>
      </c>
      <c r="H268" s="174">
        <v>5</v>
      </c>
      <c r="I268" s="144" t="s">
        <v>290</v>
      </c>
      <c r="J268" s="144" t="s">
        <v>291</v>
      </c>
      <c r="K268" s="144" t="s">
        <v>292</v>
      </c>
      <c r="L268" s="178"/>
      <c r="M268" s="177" t="s">
        <v>513</v>
      </c>
      <c r="N268" s="144" t="s">
        <v>1432</v>
      </c>
    </row>
    <row r="269" spans="1:14">
      <c r="A269" s="140" t="str">
        <f t="shared" si="4"/>
        <v>05642-00273-00</v>
      </c>
      <c r="B269" s="145" t="s">
        <v>10</v>
      </c>
      <c r="C269" s="175" t="s">
        <v>68</v>
      </c>
      <c r="D269" s="176" t="s">
        <v>1119</v>
      </c>
      <c r="E269" s="176" t="s">
        <v>1787</v>
      </c>
      <c r="F269" s="173">
        <v>43315</v>
      </c>
      <c r="G269" s="173" t="s">
        <v>69</v>
      </c>
      <c r="H269" s="174">
        <v>0</v>
      </c>
      <c r="J269" s="144" t="s">
        <v>301</v>
      </c>
      <c r="L269" s="178" t="s">
        <v>187</v>
      </c>
      <c r="M269" s="177"/>
      <c r="N269" s="144" t="s">
        <v>1432</v>
      </c>
    </row>
    <row r="270" spans="1:14">
      <c r="A270" s="140" t="str">
        <f t="shared" si="4"/>
        <v>05642-00273-01</v>
      </c>
      <c r="C270" s="175" t="s">
        <v>68</v>
      </c>
      <c r="D270" s="176" t="s">
        <v>1119</v>
      </c>
      <c r="E270" s="176" t="s">
        <v>1787</v>
      </c>
      <c r="F270" s="173">
        <v>45980</v>
      </c>
      <c r="G270" s="173" t="s">
        <v>69</v>
      </c>
      <c r="H270" s="174">
        <v>1</v>
      </c>
      <c r="L270" s="178"/>
      <c r="M270" s="177" t="s">
        <v>2314</v>
      </c>
      <c r="N270" s="144" t="s">
        <v>1432</v>
      </c>
    </row>
    <row r="271" spans="1:14">
      <c r="A271" s="140" t="str">
        <f t="shared" si="4"/>
        <v>05642-00273-02</v>
      </c>
      <c r="C271" s="175" t="s">
        <v>68</v>
      </c>
      <c r="D271" s="176" t="s">
        <v>1119</v>
      </c>
      <c r="E271" s="176" t="s">
        <v>1787</v>
      </c>
      <c r="F271" s="173">
        <v>46047</v>
      </c>
      <c r="G271" s="173" t="s">
        <v>69</v>
      </c>
      <c r="H271" s="174">
        <v>2</v>
      </c>
      <c r="L271" s="178"/>
      <c r="M271" s="177" t="s">
        <v>2314</v>
      </c>
      <c r="N271" s="144" t="s">
        <v>1432</v>
      </c>
    </row>
    <row r="272" spans="1:14">
      <c r="A272" s="140" t="str">
        <f t="shared" si="4"/>
        <v>05642-00273-03</v>
      </c>
      <c r="C272" s="175" t="s">
        <v>68</v>
      </c>
      <c r="D272" s="176" t="s">
        <v>1119</v>
      </c>
      <c r="E272" s="176" t="s">
        <v>1787</v>
      </c>
      <c r="F272" s="173">
        <v>46081</v>
      </c>
      <c r="G272" s="173" t="s">
        <v>69</v>
      </c>
      <c r="H272" s="174">
        <v>3</v>
      </c>
      <c r="L272" s="178"/>
      <c r="M272" s="177" t="s">
        <v>2314</v>
      </c>
      <c r="N272" s="144" t="s">
        <v>1432</v>
      </c>
    </row>
    <row r="273" spans="1:15">
      <c r="A273" s="140" t="str">
        <f t="shared" si="4"/>
        <v>05642-00273-04</v>
      </c>
      <c r="C273" s="175" t="s">
        <v>68</v>
      </c>
      <c r="D273" s="176" t="s">
        <v>1119</v>
      </c>
      <c r="E273" s="176" t="s">
        <v>1787</v>
      </c>
      <c r="F273" s="173">
        <v>50466</v>
      </c>
      <c r="G273" s="173" t="s">
        <v>69</v>
      </c>
      <c r="H273" s="174">
        <v>4</v>
      </c>
      <c r="I273" s="144" t="s">
        <v>302</v>
      </c>
      <c r="L273" s="178"/>
      <c r="M273" s="177"/>
      <c r="N273" s="144" t="s">
        <v>1432</v>
      </c>
    </row>
    <row r="274" spans="1:15">
      <c r="A274" s="140" t="str">
        <f t="shared" si="4"/>
        <v>05642-00273-05</v>
      </c>
      <c r="C274" s="175" t="s">
        <v>68</v>
      </c>
      <c r="D274" s="176" t="s">
        <v>1119</v>
      </c>
      <c r="E274" s="176" t="s">
        <v>1787</v>
      </c>
      <c r="F274" s="173">
        <v>55511</v>
      </c>
      <c r="G274" s="173" t="s">
        <v>69</v>
      </c>
      <c r="H274" s="174">
        <v>5</v>
      </c>
      <c r="I274" s="144" t="s">
        <v>303</v>
      </c>
      <c r="K274" s="150"/>
      <c r="M274" s="177" t="s">
        <v>812</v>
      </c>
      <c r="N274" s="144" t="s">
        <v>1432</v>
      </c>
    </row>
    <row r="275" spans="1:15">
      <c r="A275" s="140" t="str">
        <f t="shared" si="4"/>
        <v>05642-00275-00</v>
      </c>
      <c r="C275" s="175" t="s">
        <v>70</v>
      </c>
      <c r="D275" s="176" t="s">
        <v>1119</v>
      </c>
      <c r="E275" s="176" t="s">
        <v>78</v>
      </c>
      <c r="F275" s="173">
        <v>43315</v>
      </c>
      <c r="G275" s="173" t="s">
        <v>77</v>
      </c>
      <c r="H275" s="174">
        <v>0</v>
      </c>
      <c r="L275" s="179" t="s">
        <v>308</v>
      </c>
      <c r="M275" s="177"/>
      <c r="N275" s="144" t="s">
        <v>1432</v>
      </c>
    </row>
    <row r="276" spans="1:15">
      <c r="A276" s="140" t="str">
        <f t="shared" si="4"/>
        <v>05642-00275-01</v>
      </c>
      <c r="C276" s="175" t="s">
        <v>70</v>
      </c>
      <c r="D276" s="176" t="s">
        <v>1119</v>
      </c>
      <c r="E276" s="176" t="s">
        <v>78</v>
      </c>
      <c r="F276" s="173">
        <v>45980</v>
      </c>
      <c r="G276" s="173" t="s">
        <v>77</v>
      </c>
      <c r="H276" s="174">
        <v>1</v>
      </c>
      <c r="M276" s="177" t="s">
        <v>2314</v>
      </c>
      <c r="N276" s="144" t="s">
        <v>1432</v>
      </c>
    </row>
    <row r="277" spans="1:15">
      <c r="A277" s="140" t="str">
        <f t="shared" si="4"/>
        <v>05642-00275-02</v>
      </c>
      <c r="C277" s="175" t="s">
        <v>70</v>
      </c>
      <c r="D277" s="176" t="s">
        <v>1119</v>
      </c>
      <c r="E277" s="176" t="s">
        <v>78</v>
      </c>
      <c r="F277" s="173">
        <v>47449</v>
      </c>
      <c r="G277" s="173" t="s">
        <v>77</v>
      </c>
      <c r="H277" s="174">
        <v>2</v>
      </c>
      <c r="M277" s="177" t="s">
        <v>2315</v>
      </c>
      <c r="N277" s="144" t="s">
        <v>1432</v>
      </c>
    </row>
    <row r="278" spans="1:15">
      <c r="A278" s="140" t="str">
        <f t="shared" si="4"/>
        <v>05642-00275-03</v>
      </c>
      <c r="C278" s="175" t="s">
        <v>70</v>
      </c>
      <c r="D278" s="176" t="s">
        <v>1119</v>
      </c>
      <c r="E278" s="176" t="s">
        <v>78</v>
      </c>
      <c r="F278" s="173">
        <v>49659</v>
      </c>
      <c r="G278" s="173" t="s">
        <v>77</v>
      </c>
      <c r="H278" s="174">
        <v>3</v>
      </c>
      <c r="M278" s="177" t="s">
        <v>2314</v>
      </c>
      <c r="N278" s="144" t="s">
        <v>1432</v>
      </c>
    </row>
    <row r="279" spans="1:15">
      <c r="A279" s="140" t="str">
        <f t="shared" si="4"/>
        <v>05642-00275-04</v>
      </c>
      <c r="C279" s="175" t="s">
        <v>70</v>
      </c>
      <c r="D279" s="176" t="s">
        <v>1119</v>
      </c>
      <c r="E279" s="176" t="s">
        <v>78</v>
      </c>
      <c r="F279" s="173">
        <v>51803</v>
      </c>
      <c r="G279" s="173" t="s">
        <v>77</v>
      </c>
      <c r="H279" s="174">
        <v>4</v>
      </c>
      <c r="I279" s="144" t="s">
        <v>309</v>
      </c>
      <c r="K279" s="150"/>
      <c r="M279" s="177" t="s">
        <v>2314</v>
      </c>
      <c r="N279" s="144" t="s">
        <v>1432</v>
      </c>
      <c r="O279" s="150"/>
    </row>
    <row r="280" spans="1:15">
      <c r="A280" s="140" t="str">
        <f t="shared" si="4"/>
        <v>05642-00371-00</v>
      </c>
      <c r="C280" s="175" t="s">
        <v>45</v>
      </c>
      <c r="D280" s="176" t="s">
        <v>1119</v>
      </c>
      <c r="E280" s="176" t="s">
        <v>1787</v>
      </c>
      <c r="F280" s="173">
        <v>45524</v>
      </c>
      <c r="G280" s="173" t="s">
        <v>274</v>
      </c>
      <c r="H280" s="174">
        <v>0</v>
      </c>
      <c r="I280" s="144" t="s">
        <v>275</v>
      </c>
      <c r="J280" s="144" t="s">
        <v>277</v>
      </c>
      <c r="K280" s="150" t="s">
        <v>278</v>
      </c>
      <c r="L280" s="178"/>
      <c r="M280" s="177" t="s">
        <v>1867</v>
      </c>
      <c r="N280" s="144" t="s">
        <v>1432</v>
      </c>
    </row>
    <row r="281" spans="1:15">
      <c r="A281" s="140" t="str">
        <f t="shared" si="4"/>
        <v>05642-00371-01</v>
      </c>
      <c r="C281" s="175" t="s">
        <v>45</v>
      </c>
      <c r="D281" s="176" t="s">
        <v>1119</v>
      </c>
      <c r="E281" s="176" t="s">
        <v>1787</v>
      </c>
      <c r="F281" s="173">
        <v>46655</v>
      </c>
      <c r="G281" s="173" t="s">
        <v>274</v>
      </c>
      <c r="H281" s="174">
        <v>1</v>
      </c>
      <c r="I281" s="144" t="s">
        <v>279</v>
      </c>
      <c r="J281" s="144" t="s">
        <v>280</v>
      </c>
      <c r="K281" s="182" t="s">
        <v>281</v>
      </c>
      <c r="L281" s="178"/>
      <c r="M281" s="177" t="s">
        <v>2316</v>
      </c>
      <c r="N281" s="144" t="s">
        <v>1432</v>
      </c>
    </row>
    <row r="282" spans="1:15">
      <c r="A282" s="140" t="str">
        <f t="shared" si="4"/>
        <v>05642-00372-00</v>
      </c>
      <c r="C282" s="175" t="s">
        <v>79</v>
      </c>
      <c r="D282" s="176" t="s">
        <v>1119</v>
      </c>
      <c r="E282" s="176" t="s">
        <v>1787</v>
      </c>
      <c r="F282" s="173">
        <v>46010</v>
      </c>
      <c r="G282" s="173" t="s">
        <v>81</v>
      </c>
      <c r="H282" s="174">
        <v>0</v>
      </c>
      <c r="L282" s="178" t="s">
        <v>315</v>
      </c>
      <c r="M282" s="177" t="s">
        <v>505</v>
      </c>
      <c r="N282" s="144" t="s">
        <v>1432</v>
      </c>
    </row>
    <row r="283" spans="1:15">
      <c r="A283" s="140" t="str">
        <f t="shared" si="4"/>
        <v>05642-00372-01</v>
      </c>
      <c r="C283" s="175" t="s">
        <v>79</v>
      </c>
      <c r="D283" s="176" t="s">
        <v>1119</v>
      </c>
      <c r="E283" s="176" t="s">
        <v>1787</v>
      </c>
      <c r="F283" s="173">
        <v>46756</v>
      </c>
      <c r="G283" s="173" t="s">
        <v>81</v>
      </c>
      <c r="H283" s="174">
        <v>1</v>
      </c>
      <c r="M283" s="177" t="s">
        <v>505</v>
      </c>
      <c r="N283" s="144" t="s">
        <v>1432</v>
      </c>
    </row>
    <row r="284" spans="1:15">
      <c r="A284" s="140" t="str">
        <f t="shared" si="4"/>
        <v>05642-00372-02</v>
      </c>
      <c r="C284" s="175" t="s">
        <v>79</v>
      </c>
      <c r="D284" s="176" t="s">
        <v>1119</v>
      </c>
      <c r="E284" s="176" t="s">
        <v>1787</v>
      </c>
      <c r="F284" s="173">
        <v>47519</v>
      </c>
      <c r="G284" s="173" t="s">
        <v>81</v>
      </c>
      <c r="H284" s="174">
        <v>2</v>
      </c>
      <c r="M284" s="177"/>
      <c r="N284" s="144" t="s">
        <v>1432</v>
      </c>
    </row>
    <row r="285" spans="1:15">
      <c r="A285" s="140" t="str">
        <f t="shared" si="4"/>
        <v>05642-00372-03</v>
      </c>
      <c r="C285" s="175" t="s">
        <v>79</v>
      </c>
      <c r="D285" s="176" t="s">
        <v>1119</v>
      </c>
      <c r="E285" s="176" t="s">
        <v>1787</v>
      </c>
      <c r="F285" s="173">
        <v>47634</v>
      </c>
      <c r="G285" s="173" t="s">
        <v>81</v>
      </c>
      <c r="H285" s="174">
        <v>3</v>
      </c>
      <c r="M285" s="177" t="s">
        <v>505</v>
      </c>
      <c r="N285" s="144" t="s">
        <v>1432</v>
      </c>
    </row>
    <row r="286" spans="1:15">
      <c r="A286" s="140" t="str">
        <f t="shared" si="4"/>
        <v>05642-00372-04</v>
      </c>
      <c r="C286" s="175" t="s">
        <v>79</v>
      </c>
      <c r="D286" s="176" t="s">
        <v>1119</v>
      </c>
      <c r="E286" s="176" t="s">
        <v>1787</v>
      </c>
      <c r="F286" s="173">
        <v>47974</v>
      </c>
      <c r="G286" s="173" t="s">
        <v>81</v>
      </c>
      <c r="H286" s="174">
        <v>4</v>
      </c>
      <c r="M286" s="177" t="s">
        <v>505</v>
      </c>
      <c r="N286" s="144" t="s">
        <v>1432</v>
      </c>
      <c r="O286" s="150"/>
    </row>
    <row r="287" spans="1:15">
      <c r="A287" s="140" t="str">
        <f t="shared" si="4"/>
        <v>05642-00372-05</v>
      </c>
      <c r="C287" s="175" t="s">
        <v>79</v>
      </c>
      <c r="D287" s="176" t="s">
        <v>1119</v>
      </c>
      <c r="E287" s="176" t="s">
        <v>1787</v>
      </c>
      <c r="F287" s="173">
        <v>48741</v>
      </c>
      <c r="G287" s="173" t="s">
        <v>81</v>
      </c>
      <c r="H287" s="174">
        <v>5</v>
      </c>
      <c r="M287" s="177" t="s">
        <v>505</v>
      </c>
      <c r="N287" s="144" t="s">
        <v>1432</v>
      </c>
    </row>
    <row r="288" spans="1:15">
      <c r="A288" s="140" t="str">
        <f t="shared" si="4"/>
        <v>05642-00372-06</v>
      </c>
      <c r="C288" s="175" t="s">
        <v>79</v>
      </c>
      <c r="D288" s="176" t="s">
        <v>1119</v>
      </c>
      <c r="E288" s="176" t="s">
        <v>1787</v>
      </c>
      <c r="F288" s="173">
        <v>49695</v>
      </c>
      <c r="G288" s="173" t="s">
        <v>81</v>
      </c>
      <c r="H288" s="174">
        <v>6</v>
      </c>
      <c r="M288" s="177" t="s">
        <v>505</v>
      </c>
      <c r="N288" s="144" t="s">
        <v>1432</v>
      </c>
    </row>
    <row r="289" spans="1:14">
      <c r="A289" s="140" t="str">
        <f t="shared" si="4"/>
        <v>05642-00372-07</v>
      </c>
      <c r="C289" s="175" t="s">
        <v>79</v>
      </c>
      <c r="D289" s="176" t="s">
        <v>1119</v>
      </c>
      <c r="E289" s="176" t="s">
        <v>1787</v>
      </c>
      <c r="F289" s="173">
        <v>50466</v>
      </c>
      <c r="G289" s="173" t="s">
        <v>81</v>
      </c>
      <c r="H289" s="174">
        <v>7</v>
      </c>
      <c r="M289" s="177"/>
      <c r="N289" s="144" t="s">
        <v>1432</v>
      </c>
    </row>
    <row r="290" spans="1:14">
      <c r="A290" s="140" t="str">
        <f t="shared" si="4"/>
        <v>05642-00372-08</v>
      </c>
      <c r="C290" s="175" t="s">
        <v>79</v>
      </c>
      <c r="D290" s="176" t="s">
        <v>1119</v>
      </c>
      <c r="E290" s="176" t="s">
        <v>1787</v>
      </c>
      <c r="F290" s="173">
        <v>52576</v>
      </c>
      <c r="G290" s="173" t="s">
        <v>81</v>
      </c>
      <c r="H290" s="174">
        <v>8</v>
      </c>
      <c r="I290" s="144" t="s">
        <v>318</v>
      </c>
      <c r="J290" s="144" t="s">
        <v>319</v>
      </c>
      <c r="K290" s="182" t="s">
        <v>320</v>
      </c>
      <c r="M290" s="177" t="s">
        <v>505</v>
      </c>
      <c r="N290" s="144" t="s">
        <v>1432</v>
      </c>
    </row>
    <row r="291" spans="1:14">
      <c r="A291" s="140" t="str">
        <f t="shared" si="4"/>
        <v>05642-00373-00</v>
      </c>
      <c r="C291" s="175" t="s">
        <v>185</v>
      </c>
      <c r="D291" s="176" t="s">
        <v>1119</v>
      </c>
      <c r="E291" s="176" t="s">
        <v>1787</v>
      </c>
      <c r="F291" s="173">
        <v>46280</v>
      </c>
      <c r="G291" s="173" t="s">
        <v>188</v>
      </c>
      <c r="H291" s="174">
        <v>0</v>
      </c>
      <c r="K291" s="150"/>
      <c r="L291" s="178" t="s">
        <v>189</v>
      </c>
      <c r="M291" s="177" t="s">
        <v>509</v>
      </c>
      <c r="N291" s="144" t="s">
        <v>1432</v>
      </c>
    </row>
    <row r="292" spans="1:14">
      <c r="A292" s="140" t="str">
        <f t="shared" si="4"/>
        <v>05642-00373-01</v>
      </c>
      <c r="C292" s="175" t="s">
        <v>185</v>
      </c>
      <c r="D292" s="176" t="s">
        <v>1119</v>
      </c>
      <c r="E292" s="176" t="s">
        <v>1787</v>
      </c>
      <c r="F292" s="173">
        <v>46738</v>
      </c>
      <c r="G292" s="173" t="s">
        <v>188</v>
      </c>
      <c r="H292" s="174">
        <v>1</v>
      </c>
      <c r="K292" s="150"/>
      <c r="L292" s="178"/>
      <c r="M292" s="177" t="s">
        <v>509</v>
      </c>
      <c r="N292" s="144" t="s">
        <v>1432</v>
      </c>
    </row>
    <row r="293" spans="1:14">
      <c r="A293" s="140" t="str">
        <f t="shared" si="4"/>
        <v>05642-00373-02</v>
      </c>
      <c r="C293" s="175" t="s">
        <v>185</v>
      </c>
      <c r="D293" s="176" t="s">
        <v>1119</v>
      </c>
      <c r="E293" s="176" t="s">
        <v>1787</v>
      </c>
      <c r="F293" s="173">
        <v>47050</v>
      </c>
      <c r="G293" s="173" t="s">
        <v>188</v>
      </c>
      <c r="H293" s="174">
        <v>2</v>
      </c>
      <c r="K293" s="150"/>
      <c r="L293" s="178"/>
      <c r="M293" s="177" t="s">
        <v>509</v>
      </c>
      <c r="N293" s="144" t="s">
        <v>1432</v>
      </c>
    </row>
    <row r="294" spans="1:14">
      <c r="A294" s="140" t="str">
        <f t="shared" si="4"/>
        <v>05642-00373-03</v>
      </c>
      <c r="C294" s="175" t="s">
        <v>185</v>
      </c>
      <c r="D294" s="176" t="s">
        <v>1119</v>
      </c>
      <c r="E294" s="176" t="s">
        <v>1787</v>
      </c>
      <c r="F294" s="173">
        <v>47086</v>
      </c>
      <c r="G294" s="173" t="s">
        <v>188</v>
      </c>
      <c r="H294" s="174">
        <v>3</v>
      </c>
      <c r="K294" s="150"/>
      <c r="L294" s="178"/>
      <c r="M294" s="177" t="s">
        <v>509</v>
      </c>
      <c r="N294" s="144" t="s">
        <v>1432</v>
      </c>
    </row>
    <row r="295" spans="1:14">
      <c r="A295" s="140" t="str">
        <f t="shared" si="4"/>
        <v>05642-00373-04</v>
      </c>
      <c r="C295" s="175" t="s">
        <v>185</v>
      </c>
      <c r="D295" s="176" t="s">
        <v>1119</v>
      </c>
      <c r="E295" s="176" t="s">
        <v>1787</v>
      </c>
      <c r="F295" s="173">
        <v>47311</v>
      </c>
      <c r="G295" s="173" t="s">
        <v>188</v>
      </c>
      <c r="H295" s="174">
        <v>4</v>
      </c>
      <c r="K295" s="150"/>
      <c r="L295" s="178"/>
      <c r="M295" s="177" t="s">
        <v>509</v>
      </c>
      <c r="N295" s="144" t="s">
        <v>1432</v>
      </c>
    </row>
    <row r="296" spans="1:14">
      <c r="A296" s="140" t="str">
        <f t="shared" si="4"/>
        <v>05642-00373-05</v>
      </c>
      <c r="C296" s="175" t="s">
        <v>185</v>
      </c>
      <c r="D296" s="176" t="s">
        <v>1119</v>
      </c>
      <c r="E296" s="176" t="s">
        <v>1787</v>
      </c>
      <c r="F296" s="173">
        <v>47519</v>
      </c>
      <c r="G296" s="173" t="s">
        <v>188</v>
      </c>
      <c r="H296" s="174">
        <v>5</v>
      </c>
      <c r="K296" s="150"/>
      <c r="L296" s="178"/>
      <c r="M296" s="177"/>
      <c r="N296" s="144" t="s">
        <v>1432</v>
      </c>
    </row>
    <row r="297" spans="1:14">
      <c r="A297" s="140" t="str">
        <f t="shared" si="4"/>
        <v>05642-00373-06</v>
      </c>
      <c r="C297" s="175" t="s">
        <v>185</v>
      </c>
      <c r="D297" s="176" t="s">
        <v>1119</v>
      </c>
      <c r="E297" s="176" t="s">
        <v>1787</v>
      </c>
      <c r="F297" s="173">
        <v>50466</v>
      </c>
      <c r="G297" s="173" t="s">
        <v>188</v>
      </c>
      <c r="H297" s="174">
        <v>6</v>
      </c>
      <c r="K297" s="150"/>
      <c r="L297" s="178"/>
      <c r="M297" s="177"/>
      <c r="N297" s="144" t="s">
        <v>1432</v>
      </c>
    </row>
    <row r="298" spans="1:14">
      <c r="A298" s="140" t="str">
        <f t="shared" si="4"/>
        <v>05642-00373-07</v>
      </c>
      <c r="B298" s="145" t="s">
        <v>10</v>
      </c>
      <c r="C298" s="175" t="s">
        <v>185</v>
      </c>
      <c r="D298" s="176" t="s">
        <v>1119</v>
      </c>
      <c r="E298" s="176" t="s">
        <v>1787</v>
      </c>
      <c r="F298" s="173">
        <v>55511</v>
      </c>
      <c r="G298" s="173" t="s">
        <v>188</v>
      </c>
      <c r="H298" s="174">
        <v>7</v>
      </c>
      <c r="I298" s="144" t="s">
        <v>264</v>
      </c>
      <c r="J298" s="144" t="s">
        <v>47</v>
      </c>
      <c r="K298" s="182" t="s">
        <v>47</v>
      </c>
      <c r="M298" s="177"/>
      <c r="N298" s="144" t="s">
        <v>1432</v>
      </c>
    </row>
    <row r="299" spans="1:14">
      <c r="A299" s="140" t="str">
        <f t="shared" si="4"/>
        <v>05642-00374-00</v>
      </c>
      <c r="B299" s="145" t="s">
        <v>6</v>
      </c>
      <c r="C299" s="175" t="s">
        <v>156</v>
      </c>
      <c r="D299" s="176" t="s">
        <v>1119</v>
      </c>
      <c r="E299" s="176" t="s">
        <v>1787</v>
      </c>
      <c r="F299" s="173">
        <v>49405</v>
      </c>
      <c r="G299" s="173" t="s">
        <v>158</v>
      </c>
      <c r="H299" s="174">
        <v>0</v>
      </c>
      <c r="I299" s="155"/>
      <c r="J299" s="144" t="s">
        <v>47</v>
      </c>
      <c r="K299" s="150" t="s">
        <v>47</v>
      </c>
      <c r="L299" s="178"/>
      <c r="M299" s="177" t="s">
        <v>2317</v>
      </c>
      <c r="N299" s="144" t="s">
        <v>1432</v>
      </c>
    </row>
    <row r="300" spans="1:14">
      <c r="A300" s="140" t="str">
        <f t="shared" si="4"/>
        <v>05642-00417-00</v>
      </c>
      <c r="C300" s="175" t="s">
        <v>79</v>
      </c>
      <c r="D300" s="176" t="s">
        <v>1119</v>
      </c>
      <c r="E300" s="176" t="s">
        <v>1787</v>
      </c>
      <c r="F300" s="173">
        <v>46104</v>
      </c>
      <c r="G300" s="173" t="s">
        <v>84</v>
      </c>
      <c r="H300" s="174">
        <v>0</v>
      </c>
      <c r="L300" s="178" t="s">
        <v>321</v>
      </c>
      <c r="M300" s="177" t="s">
        <v>2312</v>
      </c>
      <c r="N300" s="144" t="s">
        <v>1432</v>
      </c>
    </row>
    <row r="301" spans="1:14">
      <c r="A301" s="140" t="str">
        <f t="shared" si="4"/>
        <v>05642-00417-01</v>
      </c>
      <c r="C301" s="175" t="s">
        <v>79</v>
      </c>
      <c r="D301" s="176" t="s">
        <v>1119</v>
      </c>
      <c r="E301" s="176" t="s">
        <v>1787</v>
      </c>
      <c r="F301" s="173">
        <v>46756</v>
      </c>
      <c r="G301" s="173" t="s">
        <v>84</v>
      </c>
      <c r="H301" s="174">
        <v>1</v>
      </c>
      <c r="M301" s="177" t="s">
        <v>2313</v>
      </c>
      <c r="N301" s="144" t="s">
        <v>1432</v>
      </c>
    </row>
    <row r="302" spans="1:14">
      <c r="A302" s="140" t="str">
        <f t="shared" si="4"/>
        <v>05642-00417-02</v>
      </c>
      <c r="C302" s="175" t="s">
        <v>79</v>
      </c>
      <c r="D302" s="176" t="s">
        <v>1119</v>
      </c>
      <c r="E302" s="176" t="s">
        <v>1787</v>
      </c>
      <c r="F302" s="173">
        <v>47519</v>
      </c>
      <c r="G302" s="173" t="s">
        <v>84</v>
      </c>
      <c r="H302" s="174">
        <v>2</v>
      </c>
      <c r="M302" s="177"/>
      <c r="N302" s="144" t="s">
        <v>1432</v>
      </c>
    </row>
    <row r="303" spans="1:14">
      <c r="A303" s="140" t="str">
        <f t="shared" si="4"/>
        <v>05642-00417-03</v>
      </c>
      <c r="C303" s="175" t="s">
        <v>79</v>
      </c>
      <c r="D303" s="176" t="s">
        <v>1119</v>
      </c>
      <c r="E303" s="176" t="s">
        <v>1787</v>
      </c>
      <c r="F303" s="173">
        <v>47634</v>
      </c>
      <c r="G303" s="173" t="s">
        <v>84</v>
      </c>
      <c r="H303" s="174">
        <v>3</v>
      </c>
      <c r="M303" s="177" t="s">
        <v>2312</v>
      </c>
      <c r="N303" s="144" t="s">
        <v>1432</v>
      </c>
    </row>
    <row r="304" spans="1:14">
      <c r="A304" s="140" t="str">
        <f t="shared" si="4"/>
        <v>05642-00417-04</v>
      </c>
      <c r="C304" s="175" t="s">
        <v>79</v>
      </c>
      <c r="D304" s="176" t="s">
        <v>1119</v>
      </c>
      <c r="E304" s="176" t="s">
        <v>1787</v>
      </c>
      <c r="F304" s="173">
        <v>49695</v>
      </c>
      <c r="G304" s="173" t="s">
        <v>84</v>
      </c>
      <c r="H304" s="174">
        <v>4</v>
      </c>
      <c r="M304" s="177" t="s">
        <v>2312</v>
      </c>
      <c r="N304" s="144" t="s">
        <v>1432</v>
      </c>
    </row>
    <row r="305" spans="1:14">
      <c r="A305" s="140" t="str">
        <f t="shared" si="4"/>
        <v>05642-00417-05</v>
      </c>
      <c r="C305" s="175" t="s">
        <v>79</v>
      </c>
      <c r="D305" s="176" t="s">
        <v>1119</v>
      </c>
      <c r="E305" s="176" t="s">
        <v>1787</v>
      </c>
      <c r="F305" s="173">
        <v>49853</v>
      </c>
      <c r="G305" s="173" t="s">
        <v>84</v>
      </c>
      <c r="H305" s="174">
        <v>5</v>
      </c>
      <c r="M305" s="177" t="s">
        <v>2312</v>
      </c>
      <c r="N305" s="144" t="s">
        <v>1432</v>
      </c>
    </row>
    <row r="306" spans="1:14">
      <c r="A306" s="140" t="str">
        <f t="shared" si="4"/>
        <v>05642-00417-06</v>
      </c>
      <c r="C306" s="175" t="s">
        <v>79</v>
      </c>
      <c r="D306" s="176" t="s">
        <v>1119</v>
      </c>
      <c r="E306" s="176" t="s">
        <v>1787</v>
      </c>
      <c r="F306" s="173">
        <v>50466</v>
      </c>
      <c r="G306" s="173" t="s">
        <v>84</v>
      </c>
      <c r="H306" s="174">
        <v>6</v>
      </c>
      <c r="M306" s="177"/>
      <c r="N306" s="144" t="s">
        <v>1432</v>
      </c>
    </row>
    <row r="307" spans="1:14">
      <c r="A307" s="140" t="str">
        <f t="shared" si="4"/>
        <v>05642-00417-07</v>
      </c>
      <c r="C307" s="175" t="s">
        <v>79</v>
      </c>
      <c r="D307" s="176" t="s">
        <v>1119</v>
      </c>
      <c r="E307" s="176" t="s">
        <v>1787</v>
      </c>
      <c r="F307" s="173">
        <v>52576</v>
      </c>
      <c r="G307" s="173" t="s">
        <v>84</v>
      </c>
      <c r="H307" s="174">
        <v>7</v>
      </c>
      <c r="I307" s="144" t="s">
        <v>324</v>
      </c>
      <c r="J307" s="144" t="s">
        <v>325</v>
      </c>
      <c r="K307" s="182" t="s">
        <v>326</v>
      </c>
      <c r="M307" s="177" t="s">
        <v>511</v>
      </c>
      <c r="N307" s="144" t="s">
        <v>1432</v>
      </c>
    </row>
    <row r="308" spans="1:14">
      <c r="A308" s="140" t="str">
        <f t="shared" si="4"/>
        <v>05642-00426-00</v>
      </c>
      <c r="C308" s="175" t="s">
        <v>70</v>
      </c>
      <c r="D308" s="176" t="s">
        <v>1119</v>
      </c>
      <c r="E308" s="176" t="s">
        <v>1787</v>
      </c>
      <c r="F308" s="173">
        <v>46309</v>
      </c>
      <c r="G308" s="173" t="s">
        <v>71</v>
      </c>
      <c r="H308" s="174">
        <v>0</v>
      </c>
      <c r="L308" s="179" t="s">
        <v>304</v>
      </c>
      <c r="M308" s="177" t="s">
        <v>2315</v>
      </c>
      <c r="N308" s="144" t="s">
        <v>1432</v>
      </c>
    </row>
    <row r="309" spans="1:14">
      <c r="A309" s="140" t="str">
        <f t="shared" si="4"/>
        <v>05642-00426-01</v>
      </c>
      <c r="C309" s="175" t="s">
        <v>70</v>
      </c>
      <c r="D309" s="176" t="s">
        <v>1119</v>
      </c>
      <c r="E309" s="176" t="s">
        <v>1787</v>
      </c>
      <c r="F309" s="173">
        <v>46860</v>
      </c>
      <c r="G309" s="173" t="s">
        <v>71</v>
      </c>
      <c r="H309" s="174">
        <v>1</v>
      </c>
      <c r="L309" s="178"/>
      <c r="M309" s="177" t="s">
        <v>2315</v>
      </c>
      <c r="N309" s="144" t="s">
        <v>1432</v>
      </c>
    </row>
    <row r="310" spans="1:14">
      <c r="A310" s="140" t="str">
        <f t="shared" si="4"/>
        <v>05642-00426-02</v>
      </c>
      <c r="C310" s="175" t="s">
        <v>70</v>
      </c>
      <c r="D310" s="176" t="s">
        <v>1119</v>
      </c>
      <c r="E310" s="176" t="s">
        <v>1787</v>
      </c>
      <c r="F310" s="173">
        <v>47449</v>
      </c>
      <c r="G310" s="173" t="s">
        <v>71</v>
      </c>
      <c r="H310" s="174">
        <v>2</v>
      </c>
      <c r="L310" s="178"/>
      <c r="M310" s="177" t="s">
        <v>2315</v>
      </c>
      <c r="N310" s="144" t="s">
        <v>1432</v>
      </c>
    </row>
    <row r="311" spans="1:14">
      <c r="A311" s="140" t="str">
        <f t="shared" si="4"/>
        <v>05642-00426-03</v>
      </c>
      <c r="C311" s="175" t="s">
        <v>70</v>
      </c>
      <c r="D311" s="176" t="s">
        <v>1119</v>
      </c>
      <c r="E311" s="176" t="s">
        <v>1787</v>
      </c>
      <c r="F311" s="173">
        <v>48284</v>
      </c>
      <c r="G311" s="173" t="s">
        <v>71</v>
      </c>
      <c r="H311" s="174">
        <v>3</v>
      </c>
      <c r="L311" s="178"/>
      <c r="M311" s="177" t="s">
        <v>2315</v>
      </c>
      <c r="N311" s="144" t="s">
        <v>1432</v>
      </c>
    </row>
    <row r="312" spans="1:14">
      <c r="A312" s="140" t="str">
        <f t="shared" si="4"/>
        <v>05642-00426-04</v>
      </c>
      <c r="C312" s="175" t="s">
        <v>70</v>
      </c>
      <c r="D312" s="176" t="s">
        <v>1119</v>
      </c>
      <c r="E312" s="176" t="s">
        <v>1787</v>
      </c>
      <c r="F312" s="173">
        <v>50466</v>
      </c>
      <c r="G312" s="173" t="s">
        <v>71</v>
      </c>
      <c r="H312" s="174">
        <v>4</v>
      </c>
      <c r="M312" s="177"/>
      <c r="N312" s="144" t="s">
        <v>1432</v>
      </c>
    </row>
    <row r="313" spans="1:14">
      <c r="A313" s="140" t="str">
        <f t="shared" si="4"/>
        <v>05642-00426-05</v>
      </c>
      <c r="C313" s="175" t="s">
        <v>70</v>
      </c>
      <c r="D313" s="176" t="s">
        <v>1119</v>
      </c>
      <c r="E313" s="176" t="s">
        <v>1787</v>
      </c>
      <c r="F313" s="173">
        <v>55511</v>
      </c>
      <c r="G313" s="173" t="s">
        <v>71</v>
      </c>
      <c r="H313" s="174">
        <v>5</v>
      </c>
      <c r="I313" s="144" t="s">
        <v>305</v>
      </c>
      <c r="K313" s="150"/>
      <c r="M313" s="177"/>
      <c r="N313" s="144" t="s">
        <v>1432</v>
      </c>
    </row>
    <row r="314" spans="1:14">
      <c r="A314" s="140" t="str">
        <f t="shared" si="4"/>
        <v>05642-00455-00</v>
      </c>
      <c r="C314" s="175" t="s">
        <v>79</v>
      </c>
      <c r="D314" s="176" t="s">
        <v>1119</v>
      </c>
      <c r="E314" s="176" t="s">
        <v>1787</v>
      </c>
      <c r="F314" s="173">
        <v>47366</v>
      </c>
      <c r="G314" s="173" t="s">
        <v>91</v>
      </c>
      <c r="H314" s="174">
        <v>0</v>
      </c>
      <c r="L314" s="178"/>
      <c r="M314" s="177"/>
      <c r="N314" s="144" t="s">
        <v>1432</v>
      </c>
    </row>
    <row r="315" spans="1:14">
      <c r="A315" s="140" t="str">
        <f t="shared" si="4"/>
        <v>05642-00455-01</v>
      </c>
      <c r="C315" s="175" t="s">
        <v>79</v>
      </c>
      <c r="D315" s="176" t="s">
        <v>1119</v>
      </c>
      <c r="E315" s="176" t="s">
        <v>1787</v>
      </c>
      <c r="F315" s="173">
        <v>47519</v>
      </c>
      <c r="G315" s="173" t="s">
        <v>91</v>
      </c>
      <c r="H315" s="174">
        <v>1</v>
      </c>
      <c r="M315" s="177"/>
      <c r="N315" s="144" t="s">
        <v>1432</v>
      </c>
    </row>
    <row r="316" spans="1:14">
      <c r="A316" s="140" t="str">
        <f t="shared" si="4"/>
        <v>05642-00455-02</v>
      </c>
      <c r="C316" s="175" t="s">
        <v>79</v>
      </c>
      <c r="D316" s="176" t="s">
        <v>1119</v>
      </c>
      <c r="E316" s="176" t="s">
        <v>1787</v>
      </c>
      <c r="F316" s="173">
        <v>47634</v>
      </c>
      <c r="G316" s="173" t="s">
        <v>91</v>
      </c>
      <c r="H316" s="174">
        <v>2</v>
      </c>
      <c r="M316" s="177"/>
      <c r="N316" s="144" t="s">
        <v>1432</v>
      </c>
    </row>
    <row r="317" spans="1:14">
      <c r="A317" s="140" t="str">
        <f t="shared" si="4"/>
        <v>05642-00455-03</v>
      </c>
      <c r="C317" s="175" t="s">
        <v>79</v>
      </c>
      <c r="D317" s="176" t="s">
        <v>1119</v>
      </c>
      <c r="E317" s="176" t="s">
        <v>1787</v>
      </c>
      <c r="F317" s="173">
        <v>47974</v>
      </c>
      <c r="G317" s="173" t="s">
        <v>91</v>
      </c>
      <c r="H317" s="174">
        <v>3</v>
      </c>
      <c r="M317" s="177"/>
      <c r="N317" s="144" t="s">
        <v>1432</v>
      </c>
    </row>
    <row r="318" spans="1:14">
      <c r="A318" s="140" t="str">
        <f t="shared" si="4"/>
        <v>05642-00455-04</v>
      </c>
      <c r="C318" s="175" t="s">
        <v>79</v>
      </c>
      <c r="D318" s="176" t="s">
        <v>1119</v>
      </c>
      <c r="E318" s="176" t="s">
        <v>1787</v>
      </c>
      <c r="F318" s="173">
        <v>49695</v>
      </c>
      <c r="G318" s="173" t="s">
        <v>91</v>
      </c>
      <c r="H318" s="174">
        <v>4</v>
      </c>
      <c r="M318" s="177" t="s">
        <v>505</v>
      </c>
      <c r="N318" s="144" t="s">
        <v>1432</v>
      </c>
    </row>
    <row r="319" spans="1:14">
      <c r="A319" s="140" t="str">
        <f t="shared" si="4"/>
        <v>05642-00455-05</v>
      </c>
      <c r="C319" s="175" t="s">
        <v>79</v>
      </c>
      <c r="D319" s="176" t="s">
        <v>1119</v>
      </c>
      <c r="E319" s="176" t="s">
        <v>1787</v>
      </c>
      <c r="F319" s="173">
        <v>49853</v>
      </c>
      <c r="G319" s="173" t="s">
        <v>91</v>
      </c>
      <c r="H319" s="174">
        <v>5</v>
      </c>
      <c r="M319" s="177"/>
      <c r="N319" s="144" t="s">
        <v>1432</v>
      </c>
    </row>
    <row r="320" spans="1:14">
      <c r="A320" s="140" t="str">
        <f t="shared" si="4"/>
        <v>05642-00455-06</v>
      </c>
      <c r="C320" s="175" t="s">
        <v>79</v>
      </c>
      <c r="D320" s="176" t="s">
        <v>1119</v>
      </c>
      <c r="E320" s="176" t="s">
        <v>1787</v>
      </c>
      <c r="F320" s="173">
        <v>50466</v>
      </c>
      <c r="G320" s="173" t="s">
        <v>91</v>
      </c>
      <c r="H320" s="174">
        <v>6</v>
      </c>
      <c r="M320" s="177"/>
      <c r="N320" s="144" t="s">
        <v>1432</v>
      </c>
    </row>
    <row r="321" spans="1:15">
      <c r="A321" s="140" t="str">
        <f t="shared" si="4"/>
        <v>05642-00455-07</v>
      </c>
      <c r="C321" s="175" t="s">
        <v>79</v>
      </c>
      <c r="D321" s="176" t="s">
        <v>1119</v>
      </c>
      <c r="E321" s="176" t="s">
        <v>1787</v>
      </c>
      <c r="F321" s="173">
        <v>52576</v>
      </c>
      <c r="G321" s="173" t="s">
        <v>91</v>
      </c>
      <c r="H321" s="174">
        <v>7</v>
      </c>
      <c r="I321" s="144" t="s">
        <v>334</v>
      </c>
      <c r="J321" s="144" t="s">
        <v>335</v>
      </c>
      <c r="K321" s="144" t="s">
        <v>336</v>
      </c>
      <c r="M321" s="177"/>
      <c r="N321" s="144" t="s">
        <v>1432</v>
      </c>
    </row>
    <row r="322" spans="1:15">
      <c r="A322" s="140" t="str">
        <f t="shared" ref="A322:A385" si="5">G322&amp;"-"&amp;TEXT(H322,"00")</f>
        <v>05642-00456-00</v>
      </c>
      <c r="C322" s="175" t="s">
        <v>79</v>
      </c>
      <c r="D322" s="176" t="s">
        <v>1119</v>
      </c>
      <c r="E322" s="176" t="s">
        <v>1787</v>
      </c>
      <c r="F322" s="173">
        <v>47366</v>
      </c>
      <c r="G322" s="173" t="s">
        <v>93</v>
      </c>
      <c r="H322" s="174">
        <v>0</v>
      </c>
      <c r="L322" s="178"/>
      <c r="M322" s="177"/>
      <c r="N322" s="144" t="s">
        <v>1432</v>
      </c>
    </row>
    <row r="323" spans="1:15">
      <c r="A323" s="140" t="str">
        <f t="shared" si="5"/>
        <v>05642-00456-01</v>
      </c>
      <c r="C323" s="175" t="s">
        <v>79</v>
      </c>
      <c r="D323" s="176" t="s">
        <v>1119</v>
      </c>
      <c r="E323" s="176" t="s">
        <v>1787</v>
      </c>
      <c r="F323" s="173">
        <v>47519</v>
      </c>
      <c r="G323" s="173" t="s">
        <v>93</v>
      </c>
      <c r="H323" s="174">
        <v>1</v>
      </c>
      <c r="M323" s="177"/>
      <c r="N323" s="144" t="s">
        <v>1432</v>
      </c>
    </row>
    <row r="324" spans="1:15">
      <c r="A324" s="140" t="str">
        <f t="shared" si="5"/>
        <v>05642-00456-02</v>
      </c>
      <c r="C324" s="175" t="s">
        <v>79</v>
      </c>
      <c r="D324" s="176" t="s">
        <v>1119</v>
      </c>
      <c r="E324" s="176" t="s">
        <v>1787</v>
      </c>
      <c r="F324" s="173">
        <v>47634</v>
      </c>
      <c r="G324" s="173" t="s">
        <v>93</v>
      </c>
      <c r="H324" s="174">
        <v>2</v>
      </c>
      <c r="M324" s="177"/>
      <c r="N324" s="144" t="s">
        <v>1432</v>
      </c>
    </row>
    <row r="325" spans="1:15">
      <c r="A325" s="140" t="str">
        <f t="shared" si="5"/>
        <v>05642-00456-03</v>
      </c>
      <c r="C325" s="175" t="s">
        <v>79</v>
      </c>
      <c r="D325" s="176" t="s">
        <v>1119</v>
      </c>
      <c r="E325" s="176" t="s">
        <v>1787</v>
      </c>
      <c r="F325" s="173">
        <v>49695</v>
      </c>
      <c r="G325" s="173" t="s">
        <v>93</v>
      </c>
      <c r="H325" s="174">
        <v>3</v>
      </c>
      <c r="M325" s="177"/>
      <c r="N325" s="144" t="s">
        <v>1432</v>
      </c>
    </row>
    <row r="326" spans="1:15">
      <c r="A326" s="140" t="str">
        <f t="shared" si="5"/>
        <v>05642-00456-04</v>
      </c>
      <c r="C326" s="175" t="s">
        <v>79</v>
      </c>
      <c r="D326" s="176" t="s">
        <v>1119</v>
      </c>
      <c r="E326" s="176" t="s">
        <v>1787</v>
      </c>
      <c r="F326" s="173">
        <v>49853</v>
      </c>
      <c r="G326" s="173" t="s">
        <v>93</v>
      </c>
      <c r="H326" s="174">
        <v>4</v>
      </c>
      <c r="M326" s="177"/>
      <c r="N326" s="144" t="s">
        <v>1432</v>
      </c>
    </row>
    <row r="327" spans="1:15">
      <c r="A327" s="140" t="str">
        <f t="shared" si="5"/>
        <v>05642-00456-05</v>
      </c>
      <c r="C327" s="175" t="s">
        <v>79</v>
      </c>
      <c r="D327" s="176" t="s">
        <v>1119</v>
      </c>
      <c r="E327" s="176" t="s">
        <v>1787</v>
      </c>
      <c r="F327" s="173">
        <v>50466</v>
      </c>
      <c r="G327" s="173" t="s">
        <v>93</v>
      </c>
      <c r="H327" s="174">
        <v>5</v>
      </c>
      <c r="M327" s="177"/>
      <c r="N327" s="144" t="s">
        <v>1432</v>
      </c>
    </row>
    <row r="328" spans="1:15">
      <c r="A328" s="140" t="str">
        <f t="shared" si="5"/>
        <v>05642-00456-06</v>
      </c>
      <c r="C328" s="175" t="s">
        <v>79</v>
      </c>
      <c r="D328" s="176" t="s">
        <v>1119</v>
      </c>
      <c r="E328" s="176" t="s">
        <v>1787</v>
      </c>
      <c r="F328" s="173">
        <v>52576</v>
      </c>
      <c r="G328" s="173" t="s">
        <v>93</v>
      </c>
      <c r="H328" s="174">
        <v>6</v>
      </c>
      <c r="I328" s="144" t="s">
        <v>339</v>
      </c>
      <c r="J328" s="144" t="s">
        <v>340</v>
      </c>
      <c r="K328" s="144" t="s">
        <v>341</v>
      </c>
      <c r="M328" s="177"/>
      <c r="N328" s="144" t="s">
        <v>1432</v>
      </c>
    </row>
    <row r="329" spans="1:15">
      <c r="A329" s="140" t="str">
        <f t="shared" si="5"/>
        <v>05642-00457-00</v>
      </c>
      <c r="C329" s="175" t="s">
        <v>185</v>
      </c>
      <c r="D329" s="176" t="s">
        <v>1119</v>
      </c>
      <c r="E329" s="176" t="s">
        <v>1787</v>
      </c>
      <c r="F329" s="173">
        <v>47466</v>
      </c>
      <c r="G329" s="173" t="s">
        <v>196</v>
      </c>
      <c r="H329" s="174">
        <v>0</v>
      </c>
      <c r="K329" s="182"/>
      <c r="L329" s="178"/>
      <c r="M329" s="177"/>
      <c r="N329" s="144" t="s">
        <v>1432</v>
      </c>
    </row>
    <row r="330" spans="1:15">
      <c r="A330" s="140" t="str">
        <f t="shared" si="5"/>
        <v>05642-00457-01</v>
      </c>
      <c r="B330" s="145" t="s">
        <v>90</v>
      </c>
      <c r="C330" s="175" t="s">
        <v>185</v>
      </c>
      <c r="D330" s="176" t="s">
        <v>1119</v>
      </c>
      <c r="E330" s="176" t="s">
        <v>1787</v>
      </c>
      <c r="F330" s="173">
        <v>47519</v>
      </c>
      <c r="G330" s="173" t="s">
        <v>196</v>
      </c>
      <c r="H330" s="174">
        <v>1</v>
      </c>
      <c r="I330" s="144" t="s">
        <v>430</v>
      </c>
      <c r="J330" s="144" t="s">
        <v>47</v>
      </c>
      <c r="K330" s="144" t="s">
        <v>47</v>
      </c>
      <c r="L330" s="178"/>
      <c r="M330" s="177"/>
      <c r="N330" s="144" t="s">
        <v>1432</v>
      </c>
    </row>
    <row r="331" spans="1:15">
      <c r="A331" s="140" t="str">
        <f t="shared" si="5"/>
        <v>05642-00483-00</v>
      </c>
      <c r="C331" s="175" t="s">
        <v>79</v>
      </c>
      <c r="D331" s="176" t="s">
        <v>1119</v>
      </c>
      <c r="E331" s="176" t="s">
        <v>1787</v>
      </c>
      <c r="F331" s="173">
        <v>49650</v>
      </c>
      <c r="G331" s="173" t="s">
        <v>86</v>
      </c>
      <c r="H331" s="174">
        <v>0</v>
      </c>
      <c r="L331" s="178" t="s">
        <v>87</v>
      </c>
      <c r="M331" s="177" t="s">
        <v>505</v>
      </c>
      <c r="N331" s="144" t="s">
        <v>1432</v>
      </c>
    </row>
    <row r="332" spans="1:15">
      <c r="A332" s="140" t="str">
        <f t="shared" si="5"/>
        <v>05642-00483-01</v>
      </c>
      <c r="C332" s="175" t="s">
        <v>79</v>
      </c>
      <c r="D332" s="176" t="s">
        <v>1119</v>
      </c>
      <c r="E332" s="176" t="s">
        <v>1787</v>
      </c>
      <c r="F332" s="173">
        <v>49695</v>
      </c>
      <c r="G332" s="173" t="s">
        <v>86</v>
      </c>
      <c r="H332" s="174">
        <v>1</v>
      </c>
      <c r="M332" s="177" t="s">
        <v>505</v>
      </c>
      <c r="N332" s="144" t="s">
        <v>1432</v>
      </c>
    </row>
    <row r="333" spans="1:15">
      <c r="A333" s="140" t="str">
        <f t="shared" si="5"/>
        <v>05642-00483-02</v>
      </c>
      <c r="C333" s="175" t="s">
        <v>79</v>
      </c>
      <c r="D333" s="176" t="s">
        <v>1119</v>
      </c>
      <c r="E333" s="176" t="s">
        <v>1787</v>
      </c>
      <c r="F333" s="173">
        <v>50466</v>
      </c>
      <c r="G333" s="173" t="s">
        <v>86</v>
      </c>
      <c r="H333" s="174">
        <v>2</v>
      </c>
      <c r="M333" s="177" t="s">
        <v>505</v>
      </c>
      <c r="N333" s="144" t="s">
        <v>1432</v>
      </c>
    </row>
    <row r="334" spans="1:15">
      <c r="A334" s="140" t="str">
        <f t="shared" si="5"/>
        <v>05642-00483-03</v>
      </c>
      <c r="C334" s="175" t="s">
        <v>79</v>
      </c>
      <c r="D334" s="176" t="s">
        <v>1119</v>
      </c>
      <c r="E334" s="176" t="s">
        <v>1787</v>
      </c>
      <c r="F334" s="173">
        <v>51873</v>
      </c>
      <c r="G334" s="173" t="s">
        <v>86</v>
      </c>
      <c r="H334" s="174">
        <v>3</v>
      </c>
      <c r="M334" s="177" t="s">
        <v>505</v>
      </c>
      <c r="N334" s="144" t="s">
        <v>1432</v>
      </c>
      <c r="O334" s="150"/>
    </row>
    <row r="335" spans="1:15">
      <c r="A335" s="140" t="str">
        <f t="shared" si="5"/>
        <v>05642-00483-04</v>
      </c>
      <c r="C335" s="175" t="s">
        <v>79</v>
      </c>
      <c r="D335" s="176" t="s">
        <v>1119</v>
      </c>
      <c r="E335" s="176" t="s">
        <v>1787</v>
      </c>
      <c r="F335" s="173">
        <v>52576</v>
      </c>
      <c r="G335" s="173" t="s">
        <v>86</v>
      </c>
      <c r="H335" s="174">
        <v>4</v>
      </c>
      <c r="M335" s="177" t="s">
        <v>505</v>
      </c>
      <c r="N335" s="144" t="s">
        <v>1432</v>
      </c>
    </row>
    <row r="336" spans="1:15">
      <c r="A336" s="140" t="str">
        <f t="shared" si="5"/>
        <v>05642-00483-05</v>
      </c>
      <c r="C336" s="175" t="s">
        <v>79</v>
      </c>
      <c r="D336" s="176" t="s">
        <v>1119</v>
      </c>
      <c r="E336" s="176" t="s">
        <v>1787</v>
      </c>
      <c r="F336" s="173">
        <v>53292</v>
      </c>
      <c r="G336" s="173" t="s">
        <v>86</v>
      </c>
      <c r="H336" s="174">
        <v>5</v>
      </c>
      <c r="I336" s="144" t="s">
        <v>327</v>
      </c>
      <c r="J336" s="144" t="s">
        <v>328</v>
      </c>
      <c r="K336" s="182" t="s">
        <v>329</v>
      </c>
      <c r="M336" s="177" t="s">
        <v>505</v>
      </c>
      <c r="N336" s="144" t="s">
        <v>1432</v>
      </c>
    </row>
    <row r="337" spans="1:15">
      <c r="A337" s="140" t="str">
        <f t="shared" si="5"/>
        <v>05642-00484-00</v>
      </c>
      <c r="C337" s="175" t="s">
        <v>185</v>
      </c>
      <c r="D337" s="176" t="s">
        <v>1119</v>
      </c>
      <c r="E337" s="176" t="s">
        <v>1787</v>
      </c>
      <c r="F337" s="173">
        <v>49197</v>
      </c>
      <c r="G337" s="173" t="s">
        <v>192</v>
      </c>
      <c r="H337" s="174">
        <v>0</v>
      </c>
      <c r="K337" s="182"/>
      <c r="L337" s="178" t="s">
        <v>193</v>
      </c>
      <c r="M337" s="177" t="s">
        <v>509</v>
      </c>
      <c r="N337" s="144" t="s">
        <v>1432</v>
      </c>
    </row>
    <row r="338" spans="1:15">
      <c r="A338" s="140" t="str">
        <f t="shared" si="5"/>
        <v>05642-00484-01</v>
      </c>
      <c r="C338" s="175" t="s">
        <v>185</v>
      </c>
      <c r="D338" s="176" t="s">
        <v>1119</v>
      </c>
      <c r="E338" s="176" t="s">
        <v>1787</v>
      </c>
      <c r="F338" s="173">
        <v>50119</v>
      </c>
      <c r="G338" s="173" t="s">
        <v>192</v>
      </c>
      <c r="H338" s="174">
        <v>1</v>
      </c>
      <c r="K338" s="182"/>
      <c r="L338" s="178"/>
      <c r="M338" s="177" t="s">
        <v>509</v>
      </c>
      <c r="N338" s="144" t="s">
        <v>1432</v>
      </c>
    </row>
    <row r="339" spans="1:15">
      <c r="A339" s="140" t="str">
        <f t="shared" si="5"/>
        <v>05642-00484-02</v>
      </c>
      <c r="C339" s="175" t="s">
        <v>185</v>
      </c>
      <c r="D339" s="176" t="s">
        <v>1119</v>
      </c>
      <c r="E339" s="176" t="s">
        <v>1787</v>
      </c>
      <c r="F339" s="173">
        <v>50466</v>
      </c>
      <c r="G339" s="173" t="s">
        <v>192</v>
      </c>
      <c r="H339" s="174">
        <v>2</v>
      </c>
      <c r="K339" s="182"/>
      <c r="L339" s="178"/>
      <c r="M339" s="177"/>
      <c r="N339" s="144" t="s">
        <v>1432</v>
      </c>
    </row>
    <row r="340" spans="1:15">
      <c r="A340" s="140" t="str">
        <f t="shared" si="5"/>
        <v>05642-00484-03</v>
      </c>
      <c r="C340" s="175" t="s">
        <v>185</v>
      </c>
      <c r="D340" s="176" t="s">
        <v>1119</v>
      </c>
      <c r="E340" s="176" t="s">
        <v>1787</v>
      </c>
      <c r="F340" s="173">
        <v>51498</v>
      </c>
      <c r="G340" s="173" t="s">
        <v>192</v>
      </c>
      <c r="H340" s="174">
        <v>3</v>
      </c>
      <c r="K340" s="182"/>
      <c r="L340" s="178"/>
      <c r="M340" s="177" t="s">
        <v>509</v>
      </c>
      <c r="N340" s="144" t="s">
        <v>1432</v>
      </c>
    </row>
    <row r="341" spans="1:15">
      <c r="A341" s="140" t="str">
        <f t="shared" si="5"/>
        <v>05642-00484-04</v>
      </c>
      <c r="C341" s="175" t="s">
        <v>185</v>
      </c>
      <c r="D341" s="176" t="s">
        <v>1119</v>
      </c>
      <c r="E341" s="176" t="s">
        <v>1787</v>
      </c>
      <c r="F341" s="173">
        <v>53299</v>
      </c>
      <c r="G341" s="173" t="s">
        <v>192</v>
      </c>
      <c r="H341" s="174">
        <v>4</v>
      </c>
      <c r="K341" s="182"/>
      <c r="L341" s="178"/>
      <c r="M341" s="177" t="s">
        <v>509</v>
      </c>
      <c r="N341" s="144" t="s">
        <v>1432</v>
      </c>
    </row>
    <row r="342" spans="1:15">
      <c r="A342" s="140" t="str">
        <f t="shared" si="5"/>
        <v>05642-00484-05</v>
      </c>
      <c r="C342" s="175" t="s">
        <v>185</v>
      </c>
      <c r="D342" s="176" t="s">
        <v>1119</v>
      </c>
      <c r="E342" s="176" t="s">
        <v>1787</v>
      </c>
      <c r="F342" s="173">
        <v>53722</v>
      </c>
      <c r="G342" s="173" t="s">
        <v>192</v>
      </c>
      <c r="H342" s="174">
        <v>5</v>
      </c>
      <c r="K342" s="182"/>
      <c r="L342" s="178"/>
      <c r="M342" s="177" t="s">
        <v>509</v>
      </c>
      <c r="N342" s="144" t="s">
        <v>1432</v>
      </c>
    </row>
    <row r="343" spans="1:15">
      <c r="A343" s="140" t="str">
        <f t="shared" si="5"/>
        <v>05642-00484-06</v>
      </c>
      <c r="C343" s="175" t="s">
        <v>185</v>
      </c>
      <c r="D343" s="176" t="s">
        <v>1119</v>
      </c>
      <c r="E343" s="176" t="s">
        <v>1787</v>
      </c>
      <c r="F343" s="173">
        <v>54790</v>
      </c>
      <c r="G343" s="173" t="s">
        <v>192</v>
      </c>
      <c r="H343" s="174">
        <v>6</v>
      </c>
      <c r="K343" s="182"/>
      <c r="L343" s="178"/>
      <c r="M343" s="177" t="s">
        <v>509</v>
      </c>
      <c r="N343" s="144" t="s">
        <v>1432</v>
      </c>
      <c r="O343" s="150"/>
    </row>
    <row r="344" spans="1:15">
      <c r="A344" s="140" t="str">
        <f t="shared" si="5"/>
        <v>05642-00484-07</v>
      </c>
      <c r="B344" s="145" t="s">
        <v>6</v>
      </c>
      <c r="C344" s="175" t="s">
        <v>185</v>
      </c>
      <c r="D344" s="176" t="s">
        <v>1119</v>
      </c>
      <c r="E344" s="176" t="s">
        <v>1787</v>
      </c>
      <c r="F344" s="173">
        <v>55581</v>
      </c>
      <c r="G344" s="173" t="s">
        <v>192</v>
      </c>
      <c r="H344" s="174">
        <v>7</v>
      </c>
      <c r="I344" s="144" t="s">
        <v>427</v>
      </c>
      <c r="J344" s="144" t="s">
        <v>47</v>
      </c>
      <c r="K344" s="182" t="s">
        <v>47</v>
      </c>
      <c r="M344" s="177" t="s">
        <v>509</v>
      </c>
      <c r="N344" s="144" t="s">
        <v>1432</v>
      </c>
    </row>
    <row r="345" spans="1:15">
      <c r="A345" s="140" t="str">
        <f t="shared" si="5"/>
        <v>05642-00505-00</v>
      </c>
      <c r="C345" s="175" t="s">
        <v>99</v>
      </c>
      <c r="D345" s="176" t="s">
        <v>1119</v>
      </c>
      <c r="E345" s="176" t="s">
        <v>1787</v>
      </c>
      <c r="F345" s="173">
        <v>49039</v>
      </c>
      <c r="G345" s="173" t="s">
        <v>100</v>
      </c>
      <c r="H345" s="174">
        <v>0</v>
      </c>
      <c r="L345" s="178" t="s">
        <v>187</v>
      </c>
      <c r="M345" s="177" t="s">
        <v>879</v>
      </c>
      <c r="N345" s="144" t="s">
        <v>1432</v>
      </c>
    </row>
    <row r="346" spans="1:15">
      <c r="A346" s="140" t="str">
        <f t="shared" si="5"/>
        <v>05642-00505-01</v>
      </c>
      <c r="C346" s="175" t="s">
        <v>99</v>
      </c>
      <c r="D346" s="176" t="s">
        <v>1119</v>
      </c>
      <c r="E346" s="176" t="s">
        <v>1787</v>
      </c>
      <c r="F346" s="173">
        <v>50119</v>
      </c>
      <c r="G346" s="173" t="s">
        <v>100</v>
      </c>
      <c r="H346" s="174">
        <v>1</v>
      </c>
      <c r="M346" s="177" t="s">
        <v>879</v>
      </c>
      <c r="N346" s="144" t="s">
        <v>1432</v>
      </c>
    </row>
    <row r="347" spans="1:15">
      <c r="A347" s="140" t="str">
        <f t="shared" si="5"/>
        <v>05642-00505-02</v>
      </c>
      <c r="C347" s="175" t="s">
        <v>99</v>
      </c>
      <c r="D347" s="176" t="s">
        <v>1119</v>
      </c>
      <c r="E347" s="176" t="s">
        <v>1787</v>
      </c>
      <c r="F347" s="173">
        <v>50466</v>
      </c>
      <c r="G347" s="173" t="s">
        <v>100</v>
      </c>
      <c r="H347" s="174">
        <v>2</v>
      </c>
      <c r="M347" s="177"/>
      <c r="N347" s="144" t="s">
        <v>1432</v>
      </c>
    </row>
    <row r="348" spans="1:15">
      <c r="A348" s="140" t="str">
        <f t="shared" si="5"/>
        <v>05642-00505-03</v>
      </c>
      <c r="C348" s="175" t="s">
        <v>99</v>
      </c>
      <c r="D348" s="176" t="s">
        <v>1119</v>
      </c>
      <c r="E348" s="176" t="s">
        <v>1787</v>
      </c>
      <c r="F348" s="173">
        <v>51354</v>
      </c>
      <c r="G348" s="173" t="s">
        <v>100</v>
      </c>
      <c r="H348" s="174">
        <v>3</v>
      </c>
      <c r="M348" s="177"/>
      <c r="N348" s="144" t="s">
        <v>1432</v>
      </c>
      <c r="O348" s="150"/>
    </row>
    <row r="349" spans="1:15">
      <c r="A349" s="140" t="str">
        <f t="shared" si="5"/>
        <v>05642-00505-04</v>
      </c>
      <c r="C349" s="175" t="s">
        <v>99</v>
      </c>
      <c r="D349" s="176" t="s">
        <v>1119</v>
      </c>
      <c r="E349" s="176" t="s">
        <v>1787</v>
      </c>
      <c r="F349" s="173">
        <v>55511</v>
      </c>
      <c r="G349" s="173" t="s">
        <v>100</v>
      </c>
      <c r="H349" s="174">
        <v>4</v>
      </c>
      <c r="I349" s="144" t="s">
        <v>270</v>
      </c>
      <c r="K349" s="182"/>
      <c r="M349" s="177"/>
      <c r="N349" s="144" t="s">
        <v>1432</v>
      </c>
    </row>
    <row r="350" spans="1:15">
      <c r="A350" s="140" t="str">
        <f t="shared" si="5"/>
        <v>05642-00505-05</v>
      </c>
      <c r="C350" s="175" t="s">
        <v>99</v>
      </c>
      <c r="D350" s="176" t="s">
        <v>1119</v>
      </c>
      <c r="E350" s="176" t="s">
        <v>1787</v>
      </c>
      <c r="F350" s="173">
        <v>63315</v>
      </c>
      <c r="G350" s="173" t="s">
        <v>1231</v>
      </c>
      <c r="H350" s="174">
        <v>5</v>
      </c>
      <c r="I350" s="144" t="s">
        <v>1246</v>
      </c>
      <c r="L350" s="143" t="s">
        <v>1253</v>
      </c>
      <c r="M350" s="177"/>
      <c r="N350" s="144" t="s">
        <v>1432</v>
      </c>
    </row>
    <row r="351" spans="1:15">
      <c r="A351" s="140" t="str">
        <f t="shared" si="5"/>
        <v>05642-00552-00</v>
      </c>
      <c r="B351" s="145" t="s">
        <v>49</v>
      </c>
      <c r="C351" s="175" t="s">
        <v>50</v>
      </c>
      <c r="D351" s="176" t="s">
        <v>1119</v>
      </c>
      <c r="E351" s="176" t="s">
        <v>1787</v>
      </c>
      <c r="F351" s="173">
        <v>49026</v>
      </c>
      <c r="G351" s="173" t="s">
        <v>51</v>
      </c>
      <c r="H351" s="174">
        <v>0</v>
      </c>
      <c r="I351" s="144" t="s">
        <v>282</v>
      </c>
      <c r="J351" s="144" t="s">
        <v>47</v>
      </c>
      <c r="K351" s="182" t="s">
        <v>283</v>
      </c>
      <c r="L351" s="178"/>
      <c r="M351" s="177"/>
      <c r="N351" s="144" t="s">
        <v>1432</v>
      </c>
    </row>
    <row r="352" spans="1:15">
      <c r="A352" s="140" t="str">
        <f t="shared" si="5"/>
        <v>05642-00558-00</v>
      </c>
      <c r="C352" s="175" t="s">
        <v>70</v>
      </c>
      <c r="D352" s="176" t="s">
        <v>1119</v>
      </c>
      <c r="E352" s="176" t="s">
        <v>1787</v>
      </c>
      <c r="F352" s="173">
        <v>49525</v>
      </c>
      <c r="G352" s="173" t="s">
        <v>73</v>
      </c>
      <c r="H352" s="174">
        <v>0</v>
      </c>
      <c r="L352" s="179" t="s">
        <v>35</v>
      </c>
      <c r="M352" s="177" t="s">
        <v>2315</v>
      </c>
      <c r="N352" s="144" t="s">
        <v>1432</v>
      </c>
    </row>
    <row r="353" spans="1:15">
      <c r="A353" s="140" t="str">
        <f t="shared" si="5"/>
        <v>05642-00558-01</v>
      </c>
      <c r="C353" s="175" t="s">
        <v>70</v>
      </c>
      <c r="D353" s="176" t="s">
        <v>1119</v>
      </c>
      <c r="E353" s="176" t="s">
        <v>1787</v>
      </c>
      <c r="F353" s="173">
        <v>50366</v>
      </c>
      <c r="G353" s="173" t="s">
        <v>73</v>
      </c>
      <c r="H353" s="174">
        <v>1</v>
      </c>
      <c r="L353" s="178"/>
      <c r="M353" s="177" t="s">
        <v>2318</v>
      </c>
      <c r="N353" s="144" t="s">
        <v>1432</v>
      </c>
    </row>
    <row r="354" spans="1:15">
      <c r="A354" s="140" t="str">
        <f t="shared" si="5"/>
        <v>05642-00558-02</v>
      </c>
      <c r="C354" s="175" t="s">
        <v>70</v>
      </c>
      <c r="D354" s="176" t="s">
        <v>1119</v>
      </c>
      <c r="E354" s="176" t="s">
        <v>1787</v>
      </c>
      <c r="F354" s="173">
        <v>50466</v>
      </c>
      <c r="G354" s="173" t="s">
        <v>73</v>
      </c>
      <c r="H354" s="174">
        <v>2</v>
      </c>
      <c r="L354" s="178"/>
      <c r="M354" s="177"/>
      <c r="N354" s="144" t="s">
        <v>1432</v>
      </c>
    </row>
    <row r="355" spans="1:15">
      <c r="A355" s="140" t="str">
        <f t="shared" si="5"/>
        <v>05642-00558-03</v>
      </c>
      <c r="C355" s="175" t="s">
        <v>70</v>
      </c>
      <c r="D355" s="176" t="s">
        <v>1119</v>
      </c>
      <c r="E355" s="176" t="s">
        <v>1787</v>
      </c>
      <c r="F355" s="173">
        <v>55511</v>
      </c>
      <c r="G355" s="173" t="s">
        <v>73</v>
      </c>
      <c r="H355" s="174">
        <v>3</v>
      </c>
      <c r="I355" s="144" t="s">
        <v>306</v>
      </c>
      <c r="K355" s="150"/>
      <c r="M355" s="177"/>
      <c r="N355" s="144" t="s">
        <v>1432</v>
      </c>
    </row>
    <row r="356" spans="1:15">
      <c r="A356" s="140" t="str">
        <f t="shared" si="5"/>
        <v>05642-00570-00</v>
      </c>
      <c r="C356" s="175" t="s">
        <v>185</v>
      </c>
      <c r="D356" s="176" t="s">
        <v>1119</v>
      </c>
      <c r="E356" s="176" t="s">
        <v>1787</v>
      </c>
      <c r="F356" s="173">
        <v>49853</v>
      </c>
      <c r="G356" s="173" t="s">
        <v>190</v>
      </c>
      <c r="H356" s="174">
        <v>0</v>
      </c>
      <c r="K356" s="182"/>
      <c r="L356" s="178"/>
      <c r="M356" s="177"/>
      <c r="N356" s="144" t="s">
        <v>1432</v>
      </c>
    </row>
    <row r="357" spans="1:15">
      <c r="A357" s="140" t="str">
        <f t="shared" si="5"/>
        <v>05642-00570-01</v>
      </c>
      <c r="C357" s="175" t="s">
        <v>185</v>
      </c>
      <c r="D357" s="176" t="s">
        <v>1119</v>
      </c>
      <c r="E357" s="176" t="s">
        <v>1787</v>
      </c>
      <c r="F357" s="173">
        <v>50466</v>
      </c>
      <c r="G357" s="173" t="s">
        <v>190</v>
      </c>
      <c r="H357" s="174">
        <v>1</v>
      </c>
      <c r="K357" s="182"/>
      <c r="L357" s="178"/>
      <c r="M357" s="177"/>
      <c r="N357" s="144" t="s">
        <v>1432</v>
      </c>
    </row>
    <row r="358" spans="1:15">
      <c r="A358" s="140" t="str">
        <f t="shared" si="5"/>
        <v>05642-00570-02</v>
      </c>
      <c r="B358" s="145" t="s">
        <v>10</v>
      </c>
      <c r="C358" s="175" t="s">
        <v>185</v>
      </c>
      <c r="D358" s="176" t="s">
        <v>1119</v>
      </c>
      <c r="E358" s="176" t="s">
        <v>1787</v>
      </c>
      <c r="F358" s="173">
        <v>55511</v>
      </c>
      <c r="G358" s="173" t="s">
        <v>190</v>
      </c>
      <c r="H358" s="174">
        <v>2</v>
      </c>
      <c r="I358" s="144" t="s">
        <v>426</v>
      </c>
      <c r="J358" s="144" t="s">
        <v>47</v>
      </c>
      <c r="K358" s="182" t="s">
        <v>47</v>
      </c>
      <c r="L358" s="178"/>
      <c r="M358" s="177"/>
      <c r="N358" s="144" t="s">
        <v>1432</v>
      </c>
    </row>
    <row r="359" spans="1:15">
      <c r="A359" s="140" t="str">
        <f t="shared" si="5"/>
        <v>05642-00573-00</v>
      </c>
      <c r="C359" s="175" t="s">
        <v>79</v>
      </c>
      <c r="D359" s="176" t="s">
        <v>1119</v>
      </c>
      <c r="E359" s="176" t="s">
        <v>1787</v>
      </c>
      <c r="F359" s="173">
        <v>49853</v>
      </c>
      <c r="G359" s="173" t="s">
        <v>95</v>
      </c>
      <c r="H359" s="174">
        <v>0</v>
      </c>
      <c r="L359" s="178"/>
      <c r="M359" s="177" t="s">
        <v>505</v>
      </c>
      <c r="N359" s="144" t="s">
        <v>1432</v>
      </c>
    </row>
    <row r="360" spans="1:15">
      <c r="A360" s="140" t="str">
        <f t="shared" si="5"/>
        <v>05642-00573-01</v>
      </c>
      <c r="C360" s="175" t="s">
        <v>79</v>
      </c>
      <c r="D360" s="176" t="s">
        <v>1119</v>
      </c>
      <c r="E360" s="176" t="s">
        <v>1787</v>
      </c>
      <c r="F360" s="173">
        <v>50466</v>
      </c>
      <c r="G360" s="173" t="s">
        <v>95</v>
      </c>
      <c r="H360" s="174">
        <v>1</v>
      </c>
      <c r="M360" s="177" t="s">
        <v>505</v>
      </c>
      <c r="N360" s="144" t="s">
        <v>1432</v>
      </c>
    </row>
    <row r="361" spans="1:15">
      <c r="A361" s="140" t="str">
        <f t="shared" si="5"/>
        <v>05642-00573-02</v>
      </c>
      <c r="C361" s="175" t="s">
        <v>79</v>
      </c>
      <c r="D361" s="176" t="s">
        <v>1119</v>
      </c>
      <c r="E361" s="176" t="s">
        <v>1787</v>
      </c>
      <c r="F361" s="173">
        <v>52576</v>
      </c>
      <c r="G361" s="173" t="s">
        <v>95</v>
      </c>
      <c r="H361" s="174">
        <v>2</v>
      </c>
      <c r="I361" s="144" t="s">
        <v>344</v>
      </c>
      <c r="J361" s="144" t="s">
        <v>345</v>
      </c>
      <c r="K361" s="182" t="s">
        <v>346</v>
      </c>
      <c r="M361" s="177" t="s">
        <v>505</v>
      </c>
      <c r="N361" s="144" t="s">
        <v>1432</v>
      </c>
    </row>
    <row r="362" spans="1:15">
      <c r="A362" s="140" t="str">
        <f t="shared" si="5"/>
        <v>05642-00575-00</v>
      </c>
      <c r="C362" s="175" t="s">
        <v>79</v>
      </c>
      <c r="D362" s="176" t="s">
        <v>1119</v>
      </c>
      <c r="E362" s="176" t="s">
        <v>1787</v>
      </c>
      <c r="F362" s="173">
        <v>49853</v>
      </c>
      <c r="G362" s="173" t="s">
        <v>97</v>
      </c>
      <c r="H362" s="174">
        <v>0</v>
      </c>
      <c r="L362" s="178"/>
      <c r="M362" s="177"/>
      <c r="N362" s="144" t="s">
        <v>1432</v>
      </c>
    </row>
    <row r="363" spans="1:15">
      <c r="A363" s="140" t="str">
        <f t="shared" si="5"/>
        <v>05642-00575-01</v>
      </c>
      <c r="C363" s="175" t="s">
        <v>79</v>
      </c>
      <c r="D363" s="176" t="s">
        <v>1119</v>
      </c>
      <c r="E363" s="176" t="s">
        <v>1787</v>
      </c>
      <c r="F363" s="173">
        <v>50466</v>
      </c>
      <c r="G363" s="173" t="s">
        <v>97</v>
      </c>
      <c r="H363" s="174">
        <v>1</v>
      </c>
      <c r="M363" s="177"/>
      <c r="N363" s="144" t="s">
        <v>1432</v>
      </c>
    </row>
    <row r="364" spans="1:15">
      <c r="A364" s="140" t="str">
        <f t="shared" si="5"/>
        <v>05642-00575-02</v>
      </c>
      <c r="C364" s="175" t="s">
        <v>79</v>
      </c>
      <c r="D364" s="176" t="s">
        <v>1119</v>
      </c>
      <c r="E364" s="176" t="s">
        <v>1787</v>
      </c>
      <c r="F364" s="173">
        <v>52576</v>
      </c>
      <c r="G364" s="173" t="s">
        <v>97</v>
      </c>
      <c r="H364" s="174">
        <v>2</v>
      </c>
      <c r="I364" s="144" t="s">
        <v>348</v>
      </c>
      <c r="J364" s="144" t="s">
        <v>349</v>
      </c>
      <c r="K364" s="182" t="s">
        <v>350</v>
      </c>
      <c r="M364" s="177"/>
      <c r="N364" s="144" t="s">
        <v>1432</v>
      </c>
    </row>
    <row r="365" spans="1:15">
      <c r="A365" s="140" t="str">
        <f t="shared" si="5"/>
        <v>05642-00576-00</v>
      </c>
      <c r="C365" s="175" t="s">
        <v>185</v>
      </c>
      <c r="D365" s="176" t="s">
        <v>1119</v>
      </c>
      <c r="E365" s="176" t="s">
        <v>1787</v>
      </c>
      <c r="F365" s="173">
        <v>49853</v>
      </c>
      <c r="G365" s="173" t="s">
        <v>194</v>
      </c>
      <c r="H365" s="174">
        <v>0</v>
      </c>
      <c r="K365" s="182"/>
      <c r="L365" s="178"/>
      <c r="M365" s="177"/>
      <c r="N365" s="144" t="s">
        <v>1432</v>
      </c>
    </row>
    <row r="366" spans="1:15">
      <c r="A366" s="140" t="str">
        <f t="shared" si="5"/>
        <v>05642-00576-01</v>
      </c>
      <c r="B366" s="145" t="s">
        <v>10</v>
      </c>
      <c r="C366" s="175" t="s">
        <v>185</v>
      </c>
      <c r="D366" s="176" t="s">
        <v>1119</v>
      </c>
      <c r="E366" s="176" t="s">
        <v>1787</v>
      </c>
      <c r="F366" s="173">
        <v>50466</v>
      </c>
      <c r="G366" s="173" t="s">
        <v>194</v>
      </c>
      <c r="H366" s="174">
        <v>1</v>
      </c>
      <c r="I366" s="144" t="s">
        <v>428</v>
      </c>
      <c r="K366" s="182"/>
      <c r="L366" s="178"/>
      <c r="M366" s="177"/>
      <c r="N366" s="144" t="s">
        <v>1432</v>
      </c>
    </row>
    <row r="367" spans="1:15">
      <c r="A367" s="140" t="str">
        <f t="shared" si="5"/>
        <v>05642-00585-00</v>
      </c>
      <c r="C367" s="175" t="s">
        <v>52</v>
      </c>
      <c r="D367" s="176" t="s">
        <v>1119</v>
      </c>
      <c r="E367" s="176" t="s">
        <v>1787</v>
      </c>
      <c r="F367" s="173">
        <v>50770</v>
      </c>
      <c r="G367" s="173" t="s">
        <v>66</v>
      </c>
      <c r="H367" s="174">
        <v>0</v>
      </c>
      <c r="I367" s="144" t="s">
        <v>299</v>
      </c>
      <c r="L367" s="178"/>
      <c r="M367" s="177" t="s">
        <v>513</v>
      </c>
      <c r="N367" s="144" t="s">
        <v>1432</v>
      </c>
    </row>
    <row r="368" spans="1:15">
      <c r="A368" s="140" t="str">
        <f t="shared" si="5"/>
        <v>05642-00586-00</v>
      </c>
      <c r="C368" s="175" t="s">
        <v>70</v>
      </c>
      <c r="D368" s="176" t="s">
        <v>1119</v>
      </c>
      <c r="E368" s="176" t="s">
        <v>1787</v>
      </c>
      <c r="F368" s="173">
        <v>51075</v>
      </c>
      <c r="G368" s="173" t="s">
        <v>75</v>
      </c>
      <c r="H368" s="174">
        <v>0</v>
      </c>
      <c r="L368" s="179" t="s">
        <v>76</v>
      </c>
      <c r="M368" s="177" t="s">
        <v>2315</v>
      </c>
      <c r="N368" s="144" t="s">
        <v>1432</v>
      </c>
      <c r="O368" s="150"/>
    </row>
    <row r="369" spans="1:15">
      <c r="A369" s="140" t="str">
        <f t="shared" si="5"/>
        <v>05642-00586-01</v>
      </c>
      <c r="C369" s="175" t="s">
        <v>70</v>
      </c>
      <c r="D369" s="176" t="s">
        <v>1119</v>
      </c>
      <c r="E369" s="176" t="s">
        <v>1787</v>
      </c>
      <c r="F369" s="173">
        <v>51458</v>
      </c>
      <c r="G369" s="173" t="s">
        <v>75</v>
      </c>
      <c r="H369" s="174">
        <v>1</v>
      </c>
      <c r="M369" s="177" t="s">
        <v>2315</v>
      </c>
      <c r="N369" s="144" t="s">
        <v>1432</v>
      </c>
      <c r="O369" s="150"/>
    </row>
    <row r="370" spans="1:15">
      <c r="A370" s="140" t="str">
        <f t="shared" si="5"/>
        <v>05642-00586-02</v>
      </c>
      <c r="C370" s="175" t="s">
        <v>70</v>
      </c>
      <c r="D370" s="176" t="s">
        <v>1119</v>
      </c>
      <c r="E370" s="176" t="s">
        <v>1787</v>
      </c>
      <c r="F370" s="173">
        <v>51668</v>
      </c>
      <c r="G370" s="173" t="s">
        <v>75</v>
      </c>
      <c r="H370" s="174">
        <v>2</v>
      </c>
      <c r="M370" s="177" t="s">
        <v>2318</v>
      </c>
      <c r="N370" s="144" t="s">
        <v>1432</v>
      </c>
    </row>
    <row r="371" spans="1:15">
      <c r="A371" s="140" t="str">
        <f t="shared" si="5"/>
        <v>05642-00586-03</v>
      </c>
      <c r="C371" s="175" t="s">
        <v>70</v>
      </c>
      <c r="D371" s="176" t="s">
        <v>1119</v>
      </c>
      <c r="E371" s="176" t="s">
        <v>1787</v>
      </c>
      <c r="F371" s="173">
        <v>52411</v>
      </c>
      <c r="G371" s="173" t="s">
        <v>75</v>
      </c>
      <c r="H371" s="174">
        <v>3</v>
      </c>
      <c r="M371" s="177" t="s">
        <v>2318</v>
      </c>
      <c r="N371" s="144" t="s">
        <v>1432</v>
      </c>
      <c r="O371" s="150"/>
    </row>
    <row r="372" spans="1:15">
      <c r="A372" s="140" t="str">
        <f t="shared" si="5"/>
        <v>05642-00586-04</v>
      </c>
      <c r="C372" s="175" t="s">
        <v>70</v>
      </c>
      <c r="D372" s="176" t="s">
        <v>1119</v>
      </c>
      <c r="E372" s="176" t="s">
        <v>1787</v>
      </c>
      <c r="F372" s="173">
        <v>53229</v>
      </c>
      <c r="G372" s="173" t="s">
        <v>75</v>
      </c>
      <c r="H372" s="174">
        <v>4</v>
      </c>
      <c r="M372" s="177" t="s">
        <v>2315</v>
      </c>
      <c r="N372" s="144" t="s">
        <v>1432</v>
      </c>
    </row>
    <row r="373" spans="1:15">
      <c r="A373" s="140" t="str">
        <f t="shared" si="5"/>
        <v>05642-00586-05</v>
      </c>
      <c r="C373" s="175" t="s">
        <v>70</v>
      </c>
      <c r="D373" s="176" t="s">
        <v>1119</v>
      </c>
      <c r="E373" s="176" t="s">
        <v>1787</v>
      </c>
      <c r="F373" s="173">
        <v>54017</v>
      </c>
      <c r="G373" s="173" t="s">
        <v>75</v>
      </c>
      <c r="H373" s="174">
        <v>5</v>
      </c>
      <c r="L373" s="143" t="s">
        <v>1211</v>
      </c>
      <c r="M373" s="177" t="s">
        <v>2315</v>
      </c>
      <c r="N373" s="144" t="s">
        <v>1432</v>
      </c>
    </row>
    <row r="374" spans="1:15">
      <c r="A374" s="140" t="str">
        <f t="shared" si="5"/>
        <v>05642-00586-06</v>
      </c>
      <c r="C374" s="175" t="s">
        <v>70</v>
      </c>
      <c r="D374" s="176" t="s">
        <v>1119</v>
      </c>
      <c r="E374" s="176" t="s">
        <v>1787</v>
      </c>
      <c r="F374" s="173">
        <v>55201</v>
      </c>
      <c r="G374" s="173" t="s">
        <v>75</v>
      </c>
      <c r="H374" s="174">
        <v>6</v>
      </c>
      <c r="M374" s="177" t="s">
        <v>2315</v>
      </c>
      <c r="N374" s="144" t="s">
        <v>1432</v>
      </c>
    </row>
    <row r="375" spans="1:15">
      <c r="A375" s="140" t="str">
        <f t="shared" si="5"/>
        <v>05642-00586-07</v>
      </c>
      <c r="C375" s="175" t="s">
        <v>70</v>
      </c>
      <c r="D375" s="176" t="s">
        <v>1119</v>
      </c>
      <c r="E375" s="176" t="s">
        <v>1787</v>
      </c>
      <c r="F375" s="173">
        <v>60031</v>
      </c>
      <c r="G375" s="173" t="s">
        <v>75</v>
      </c>
      <c r="H375" s="174">
        <v>7</v>
      </c>
      <c r="I375" s="144" t="s">
        <v>307</v>
      </c>
      <c r="K375" s="150"/>
      <c r="M375" s="177" t="s">
        <v>2315</v>
      </c>
      <c r="N375" s="144" t="s">
        <v>1432</v>
      </c>
    </row>
    <row r="376" spans="1:15">
      <c r="A376" s="140" t="str">
        <f t="shared" si="5"/>
        <v>05642-00602-00</v>
      </c>
      <c r="C376" s="175" t="s">
        <v>79</v>
      </c>
      <c r="D376" s="176" t="s">
        <v>1119</v>
      </c>
      <c r="E376" s="176" t="s">
        <v>1787</v>
      </c>
      <c r="F376" s="173">
        <v>51239</v>
      </c>
      <c r="G376" s="173" t="s">
        <v>88</v>
      </c>
      <c r="H376" s="174">
        <v>0</v>
      </c>
      <c r="L376" s="178" t="s">
        <v>330</v>
      </c>
      <c r="M376" s="177"/>
      <c r="N376" s="144" t="s">
        <v>1432</v>
      </c>
      <c r="O376" s="150"/>
    </row>
    <row r="377" spans="1:15">
      <c r="A377" s="140" t="str">
        <f t="shared" si="5"/>
        <v>05642-00602-01</v>
      </c>
      <c r="C377" s="175" t="s">
        <v>79</v>
      </c>
      <c r="D377" s="176" t="s">
        <v>1119</v>
      </c>
      <c r="E377" s="176" t="s">
        <v>1787</v>
      </c>
      <c r="F377" s="173">
        <v>52910</v>
      </c>
      <c r="G377" s="173" t="s">
        <v>88</v>
      </c>
      <c r="H377" s="174">
        <v>1</v>
      </c>
      <c r="M377" s="177" t="s">
        <v>505</v>
      </c>
      <c r="N377" s="144" t="s">
        <v>1432</v>
      </c>
    </row>
    <row r="378" spans="1:15">
      <c r="A378" s="140" t="str">
        <f t="shared" si="5"/>
        <v>05642-00602-02</v>
      </c>
      <c r="C378" s="175" t="s">
        <v>79</v>
      </c>
      <c r="D378" s="176" t="s">
        <v>1119</v>
      </c>
      <c r="E378" s="176" t="s">
        <v>1787</v>
      </c>
      <c r="F378" s="173">
        <v>53292</v>
      </c>
      <c r="G378" s="173" t="s">
        <v>88</v>
      </c>
      <c r="H378" s="174">
        <v>2</v>
      </c>
      <c r="M378" s="177" t="s">
        <v>505</v>
      </c>
      <c r="N378" s="144" t="s">
        <v>1432</v>
      </c>
    </row>
    <row r="379" spans="1:15">
      <c r="A379" s="140" t="str">
        <f t="shared" si="5"/>
        <v>05642-00602-03</v>
      </c>
      <c r="C379" s="175" t="s">
        <v>79</v>
      </c>
      <c r="D379" s="176" t="s">
        <v>1119</v>
      </c>
      <c r="E379" s="176" t="s">
        <v>1787</v>
      </c>
      <c r="F379" s="173">
        <v>53587</v>
      </c>
      <c r="G379" s="173" t="s">
        <v>88</v>
      </c>
      <c r="H379" s="174">
        <v>3</v>
      </c>
      <c r="M379" s="177" t="s">
        <v>505</v>
      </c>
      <c r="N379" s="144" t="s">
        <v>1432</v>
      </c>
    </row>
    <row r="380" spans="1:15">
      <c r="A380" s="140" t="str">
        <f t="shared" si="5"/>
        <v>05642-00602-04</v>
      </c>
      <c r="C380" s="175" t="s">
        <v>79</v>
      </c>
      <c r="D380" s="176" t="s">
        <v>1119</v>
      </c>
      <c r="E380" s="176" t="s">
        <v>1787</v>
      </c>
      <c r="F380" s="173">
        <v>53652</v>
      </c>
      <c r="G380" s="173" t="s">
        <v>88</v>
      </c>
      <c r="H380" s="174">
        <v>4</v>
      </c>
      <c r="M380" s="177" t="s">
        <v>505</v>
      </c>
      <c r="N380" s="144" t="s">
        <v>1432</v>
      </c>
    </row>
    <row r="381" spans="1:15">
      <c r="A381" s="140" t="str">
        <f t="shared" si="5"/>
        <v>05642-00602-05</v>
      </c>
      <c r="C381" s="175" t="s">
        <v>79</v>
      </c>
      <c r="D381" s="176" t="s">
        <v>1119</v>
      </c>
      <c r="E381" s="176" t="s">
        <v>1787</v>
      </c>
      <c r="F381" s="173">
        <v>54464</v>
      </c>
      <c r="G381" s="173" t="s">
        <v>88</v>
      </c>
      <c r="H381" s="174">
        <v>5</v>
      </c>
      <c r="I381" s="144" t="s">
        <v>331</v>
      </c>
      <c r="J381" s="144" t="s">
        <v>332</v>
      </c>
      <c r="K381" s="182" t="s">
        <v>333</v>
      </c>
      <c r="L381" s="180" t="s">
        <v>1157</v>
      </c>
      <c r="M381" s="177" t="s">
        <v>505</v>
      </c>
      <c r="N381" s="144" t="s">
        <v>1432</v>
      </c>
    </row>
    <row r="382" spans="1:15">
      <c r="A382" s="140" t="str">
        <f t="shared" si="5"/>
        <v>05642-00606-00</v>
      </c>
      <c r="C382" s="175" t="s">
        <v>99</v>
      </c>
      <c r="D382" s="176" t="s">
        <v>1119</v>
      </c>
      <c r="E382" s="176" t="s">
        <v>1787</v>
      </c>
      <c r="F382" s="173">
        <v>51282</v>
      </c>
      <c r="G382" s="173" t="s">
        <v>102</v>
      </c>
      <c r="H382" s="174">
        <v>0</v>
      </c>
      <c r="L382" s="178" t="s">
        <v>351</v>
      </c>
      <c r="M382" s="177" t="s">
        <v>879</v>
      </c>
      <c r="N382" s="144" t="s">
        <v>1432</v>
      </c>
      <c r="O382" s="150"/>
    </row>
    <row r="383" spans="1:15">
      <c r="A383" s="140" t="str">
        <f t="shared" si="5"/>
        <v>05642-00606-01</v>
      </c>
      <c r="C383" s="175" t="s">
        <v>99</v>
      </c>
      <c r="D383" s="176" t="s">
        <v>1119</v>
      </c>
      <c r="E383" s="176" t="s">
        <v>1787</v>
      </c>
      <c r="F383" s="173">
        <v>53319</v>
      </c>
      <c r="G383" s="173" t="s">
        <v>102</v>
      </c>
      <c r="H383" s="174">
        <v>1</v>
      </c>
      <c r="M383" s="177" t="s">
        <v>879</v>
      </c>
      <c r="N383" s="144" t="s">
        <v>1432</v>
      </c>
    </row>
    <row r="384" spans="1:15">
      <c r="A384" s="140" t="str">
        <f t="shared" si="5"/>
        <v>05642-00606-02</v>
      </c>
      <c r="C384" s="175" t="s">
        <v>99</v>
      </c>
      <c r="D384" s="176" t="s">
        <v>1119</v>
      </c>
      <c r="E384" s="176" t="s">
        <v>1787</v>
      </c>
      <c r="F384" s="173">
        <v>53652</v>
      </c>
      <c r="G384" s="173" t="s">
        <v>102</v>
      </c>
      <c r="H384" s="174">
        <v>2</v>
      </c>
      <c r="M384" s="177" t="s">
        <v>879</v>
      </c>
      <c r="N384" s="144" t="s">
        <v>1432</v>
      </c>
    </row>
    <row r="385" spans="1:14">
      <c r="A385" s="140" t="str">
        <f t="shared" si="5"/>
        <v>05642-00606-03</v>
      </c>
      <c r="C385" s="175" t="s">
        <v>99</v>
      </c>
      <c r="D385" s="176" t="s">
        <v>1119</v>
      </c>
      <c r="E385" s="176" t="s">
        <v>1787</v>
      </c>
      <c r="F385" s="173">
        <v>54017</v>
      </c>
      <c r="G385" s="173" t="s">
        <v>102</v>
      </c>
      <c r="H385" s="174">
        <v>3</v>
      </c>
      <c r="L385" s="143" t="s">
        <v>1211</v>
      </c>
      <c r="M385" s="177" t="s">
        <v>879</v>
      </c>
      <c r="N385" s="144" t="s">
        <v>1432</v>
      </c>
    </row>
    <row r="386" spans="1:14">
      <c r="A386" s="140" t="str">
        <f t="shared" ref="A386:A449" si="6">G386&amp;"-"&amp;TEXT(H386,"00")</f>
        <v>05642-00606-04</v>
      </c>
      <c r="C386" s="175" t="s">
        <v>99</v>
      </c>
      <c r="D386" s="176" t="s">
        <v>1119</v>
      </c>
      <c r="E386" s="176" t="s">
        <v>1787</v>
      </c>
      <c r="F386" s="173">
        <v>54464</v>
      </c>
      <c r="G386" s="173" t="s">
        <v>102</v>
      </c>
      <c r="H386" s="174">
        <v>4</v>
      </c>
      <c r="I386" s="144" t="s">
        <v>1162</v>
      </c>
      <c r="L386" s="180" t="s">
        <v>1157</v>
      </c>
      <c r="M386" s="177" t="s">
        <v>879</v>
      </c>
      <c r="N386" s="144" t="s">
        <v>1432</v>
      </c>
    </row>
    <row r="387" spans="1:14">
      <c r="A387" s="140" t="str">
        <f t="shared" si="6"/>
        <v>05642-00606-05</v>
      </c>
      <c r="C387" s="175" t="s">
        <v>99</v>
      </c>
      <c r="D387" s="176" t="s">
        <v>1119</v>
      </c>
      <c r="E387" s="176" t="s">
        <v>1787</v>
      </c>
      <c r="F387" s="173">
        <v>55616</v>
      </c>
      <c r="G387" s="173" t="s">
        <v>102</v>
      </c>
      <c r="H387" s="174">
        <v>5</v>
      </c>
      <c r="I387" s="144" t="s">
        <v>352</v>
      </c>
      <c r="K387" s="182"/>
      <c r="M387" s="177" t="s">
        <v>879</v>
      </c>
      <c r="N387" s="144" t="s">
        <v>1432</v>
      </c>
    </row>
    <row r="388" spans="1:14">
      <c r="A388" s="140" t="str">
        <f t="shared" si="6"/>
        <v>05642-00606-06</v>
      </c>
      <c r="C388" s="175" t="s">
        <v>99</v>
      </c>
      <c r="D388" s="176" t="s">
        <v>1119</v>
      </c>
      <c r="E388" s="176" t="s">
        <v>1787</v>
      </c>
      <c r="F388" s="173" t="s">
        <v>1743</v>
      </c>
      <c r="G388" s="173" t="s">
        <v>102</v>
      </c>
      <c r="H388" s="174">
        <v>6</v>
      </c>
      <c r="I388" s="144" t="s">
        <v>1247</v>
      </c>
      <c r="L388" s="143" t="s">
        <v>1253</v>
      </c>
      <c r="M388" s="177"/>
      <c r="N388" s="144" t="s">
        <v>1432</v>
      </c>
    </row>
    <row r="389" spans="1:14">
      <c r="A389" s="140" t="str">
        <f t="shared" si="6"/>
        <v>05642-00683-00</v>
      </c>
      <c r="C389" s="175" t="s">
        <v>234</v>
      </c>
      <c r="D389" s="176" t="s">
        <v>1119</v>
      </c>
      <c r="E389" s="176" t="s">
        <v>1787</v>
      </c>
      <c r="F389" s="173">
        <v>52943</v>
      </c>
      <c r="G389" s="173" t="s">
        <v>235</v>
      </c>
      <c r="H389" s="174">
        <v>0</v>
      </c>
      <c r="I389" s="155" t="s">
        <v>1194</v>
      </c>
      <c r="L389" s="156" t="s">
        <v>2012</v>
      </c>
      <c r="M389" s="177" t="s">
        <v>2319</v>
      </c>
      <c r="N389" s="144" t="s">
        <v>1432</v>
      </c>
    </row>
    <row r="390" spans="1:14">
      <c r="A390" s="140" t="str">
        <f t="shared" si="6"/>
        <v>05642-00683-01</v>
      </c>
      <c r="C390" s="175" t="s">
        <v>234</v>
      </c>
      <c r="D390" s="176" t="s">
        <v>1119</v>
      </c>
      <c r="E390" s="176" t="s">
        <v>1787</v>
      </c>
      <c r="F390" s="173">
        <v>55338</v>
      </c>
      <c r="G390" s="173" t="s">
        <v>235</v>
      </c>
      <c r="H390" s="174">
        <v>1</v>
      </c>
      <c r="I390" s="155" t="s">
        <v>2004</v>
      </c>
      <c r="L390" s="178" t="s">
        <v>2013</v>
      </c>
      <c r="M390" s="177" t="s">
        <v>2319</v>
      </c>
      <c r="N390" s="144" t="s">
        <v>1432</v>
      </c>
    </row>
    <row r="391" spans="1:14">
      <c r="A391" s="140" t="str">
        <f t="shared" si="6"/>
        <v>05642-00683-02</v>
      </c>
      <c r="C391" s="175" t="s">
        <v>234</v>
      </c>
      <c r="D391" s="176" t="s">
        <v>1119</v>
      </c>
      <c r="E391" s="176" t="s">
        <v>1787</v>
      </c>
      <c r="F391" s="173">
        <v>55576</v>
      </c>
      <c r="G391" s="173" t="s">
        <v>235</v>
      </c>
      <c r="H391" s="174">
        <v>2</v>
      </c>
      <c r="I391" s="155" t="s">
        <v>2006</v>
      </c>
      <c r="L391" s="178" t="s">
        <v>2014</v>
      </c>
      <c r="M391" s="177" t="s">
        <v>1671</v>
      </c>
      <c r="N391" s="144" t="s">
        <v>1432</v>
      </c>
    </row>
    <row r="392" spans="1:14">
      <c r="A392" s="140" t="str">
        <f t="shared" si="6"/>
        <v>05642-00683-03</v>
      </c>
      <c r="C392" s="175" t="s">
        <v>234</v>
      </c>
      <c r="D392" s="176" t="s">
        <v>1119</v>
      </c>
      <c r="E392" s="176" t="s">
        <v>1787</v>
      </c>
      <c r="F392" s="173">
        <v>55898</v>
      </c>
      <c r="G392" s="173" t="s">
        <v>235</v>
      </c>
      <c r="H392" s="174">
        <v>3</v>
      </c>
      <c r="I392" s="155" t="s">
        <v>2005</v>
      </c>
      <c r="L392" s="178" t="s">
        <v>2015</v>
      </c>
      <c r="M392" s="177" t="s">
        <v>1671</v>
      </c>
      <c r="N392" s="144" t="s">
        <v>1432</v>
      </c>
    </row>
    <row r="393" spans="1:14">
      <c r="A393" s="140" t="str">
        <f t="shared" si="6"/>
        <v>05642-00683-04</v>
      </c>
      <c r="C393" s="175" t="s">
        <v>234</v>
      </c>
      <c r="D393" s="176" t="s">
        <v>1119</v>
      </c>
      <c r="E393" s="176" t="s">
        <v>1787</v>
      </c>
      <c r="F393" s="173">
        <v>55979</v>
      </c>
      <c r="G393" s="173" t="s">
        <v>235</v>
      </c>
      <c r="H393" s="174">
        <v>4</v>
      </c>
      <c r="I393" s="155" t="s">
        <v>2007</v>
      </c>
      <c r="L393" s="178" t="s">
        <v>2015</v>
      </c>
      <c r="M393" s="177" t="s">
        <v>1671</v>
      </c>
      <c r="N393" s="144" t="s">
        <v>1432</v>
      </c>
    </row>
    <row r="394" spans="1:14">
      <c r="A394" s="140" t="str">
        <f t="shared" si="6"/>
        <v>05642-00683-05</v>
      </c>
      <c r="C394" s="175" t="s">
        <v>234</v>
      </c>
      <c r="D394" s="176" t="s">
        <v>1119</v>
      </c>
      <c r="E394" s="176" t="s">
        <v>1787</v>
      </c>
      <c r="F394" s="173">
        <v>56013</v>
      </c>
      <c r="G394" s="173" t="s">
        <v>235</v>
      </c>
      <c r="H394" s="174">
        <v>5</v>
      </c>
      <c r="I394" s="155" t="s">
        <v>1065</v>
      </c>
      <c r="L394" s="178" t="s">
        <v>2016</v>
      </c>
      <c r="M394" s="177" t="s">
        <v>1671</v>
      </c>
      <c r="N394" s="144" t="s">
        <v>1432</v>
      </c>
    </row>
    <row r="395" spans="1:14">
      <c r="A395" s="140" t="str">
        <f t="shared" si="6"/>
        <v>05642-00683-06</v>
      </c>
      <c r="C395" s="175" t="s">
        <v>234</v>
      </c>
      <c r="D395" s="176" t="s">
        <v>1119</v>
      </c>
      <c r="E395" s="176" t="s">
        <v>1787</v>
      </c>
      <c r="F395" s="173">
        <v>56440</v>
      </c>
      <c r="G395" s="173" t="s">
        <v>235</v>
      </c>
      <c r="H395" s="174">
        <v>6</v>
      </c>
      <c r="I395" s="155" t="s">
        <v>2018</v>
      </c>
      <c r="L395" s="178" t="s">
        <v>2017</v>
      </c>
      <c r="M395" s="177" t="s">
        <v>1671</v>
      </c>
      <c r="N395" s="144" t="s">
        <v>1432</v>
      </c>
    </row>
    <row r="396" spans="1:14" ht="27">
      <c r="A396" s="140" t="str">
        <f t="shared" si="6"/>
        <v>05642-00683-07</v>
      </c>
      <c r="C396" s="175" t="s">
        <v>234</v>
      </c>
      <c r="D396" s="176" t="s">
        <v>1119</v>
      </c>
      <c r="E396" s="176" t="s">
        <v>1787</v>
      </c>
      <c r="F396" s="173">
        <v>60245</v>
      </c>
      <c r="G396" s="173" t="s">
        <v>235</v>
      </c>
      <c r="H396" s="174">
        <v>7</v>
      </c>
      <c r="I396" s="155" t="s">
        <v>2011</v>
      </c>
      <c r="L396" s="179" t="s">
        <v>2019</v>
      </c>
      <c r="M396" s="177" t="s">
        <v>1671</v>
      </c>
      <c r="N396" s="144" t="s">
        <v>1432</v>
      </c>
    </row>
    <row r="397" spans="1:14">
      <c r="A397" s="140" t="str">
        <f t="shared" si="6"/>
        <v>05642-00683-08</v>
      </c>
      <c r="C397" s="175" t="s">
        <v>234</v>
      </c>
      <c r="D397" s="176" t="s">
        <v>1119</v>
      </c>
      <c r="E397" s="176" t="s">
        <v>1787</v>
      </c>
      <c r="F397" s="173">
        <v>60495</v>
      </c>
      <c r="G397" s="173" t="s">
        <v>235</v>
      </c>
      <c r="H397" s="174">
        <v>8</v>
      </c>
      <c r="I397" s="155" t="s">
        <v>2010</v>
      </c>
      <c r="L397" s="178" t="s">
        <v>2020</v>
      </c>
      <c r="M397" s="177" t="s">
        <v>1671</v>
      </c>
      <c r="N397" s="144" t="s">
        <v>1432</v>
      </c>
    </row>
    <row r="398" spans="1:14" ht="67.5">
      <c r="A398" s="140" t="str">
        <f t="shared" si="6"/>
        <v>05642-00683-09</v>
      </c>
      <c r="B398" s="145" t="s">
        <v>10</v>
      </c>
      <c r="C398" s="175" t="s">
        <v>234</v>
      </c>
      <c r="D398" s="176" t="s">
        <v>1119</v>
      </c>
      <c r="E398" s="176" t="s">
        <v>1787</v>
      </c>
      <c r="F398" s="173">
        <v>61020</v>
      </c>
      <c r="G398" s="173" t="s">
        <v>235</v>
      </c>
      <c r="H398" s="174">
        <v>9</v>
      </c>
      <c r="I398" s="143" t="s">
        <v>303</v>
      </c>
      <c r="J398" s="143" t="s">
        <v>47</v>
      </c>
      <c r="K398" s="143" t="s">
        <v>47</v>
      </c>
      <c r="L398" s="156" t="s">
        <v>2021</v>
      </c>
      <c r="M398" s="177" t="s">
        <v>1671</v>
      </c>
      <c r="N398" s="144" t="s">
        <v>1432</v>
      </c>
    </row>
    <row r="399" spans="1:14">
      <c r="A399" s="140" t="str">
        <f t="shared" si="6"/>
        <v>05642-00683-11</v>
      </c>
      <c r="C399" s="175" t="s">
        <v>234</v>
      </c>
      <c r="D399" s="176" t="s">
        <v>1119</v>
      </c>
      <c r="E399" s="176" t="s">
        <v>1787</v>
      </c>
      <c r="F399" s="173" t="s">
        <v>1410</v>
      </c>
      <c r="G399" s="173" t="s">
        <v>235</v>
      </c>
      <c r="H399" s="174">
        <v>11</v>
      </c>
      <c r="I399" s="144" t="s">
        <v>1421</v>
      </c>
      <c r="L399" s="143" t="s">
        <v>1431</v>
      </c>
      <c r="M399" s="177"/>
      <c r="N399" s="144" t="s">
        <v>1433</v>
      </c>
    </row>
    <row r="400" spans="1:14" ht="108">
      <c r="A400" s="140" t="str">
        <f t="shared" si="6"/>
        <v>05642-00683-10</v>
      </c>
      <c r="C400" s="172" t="s">
        <v>234</v>
      </c>
      <c r="D400" s="162" t="s">
        <v>1119</v>
      </c>
      <c r="E400" s="162" t="s">
        <v>1787</v>
      </c>
      <c r="F400" s="173" t="s">
        <v>2008</v>
      </c>
      <c r="G400" s="173" t="s">
        <v>235</v>
      </c>
      <c r="H400" s="174">
        <v>10</v>
      </c>
      <c r="I400" s="144" t="s">
        <v>2009</v>
      </c>
      <c r="L400" s="156" t="s">
        <v>2022</v>
      </c>
    </row>
    <row r="401" spans="1:14">
      <c r="A401" s="140" t="str">
        <f t="shared" si="6"/>
        <v>05642-00684-00</v>
      </c>
      <c r="C401" s="175" t="s">
        <v>234</v>
      </c>
      <c r="D401" s="176" t="s">
        <v>1119</v>
      </c>
      <c r="E401" s="176" t="s">
        <v>1788</v>
      </c>
      <c r="F401" s="173">
        <v>52943</v>
      </c>
      <c r="G401" s="173" t="s">
        <v>242</v>
      </c>
      <c r="H401" s="174">
        <v>0</v>
      </c>
      <c r="L401" s="143" t="s">
        <v>224</v>
      </c>
      <c r="M401" s="177" t="s">
        <v>2319</v>
      </c>
      <c r="N401" s="144" t="s">
        <v>1432</v>
      </c>
    </row>
    <row r="402" spans="1:14">
      <c r="A402" s="140" t="str">
        <f t="shared" si="6"/>
        <v>05642-00684-01</v>
      </c>
      <c r="C402" s="175" t="s">
        <v>234</v>
      </c>
      <c r="D402" s="176" t="s">
        <v>1119</v>
      </c>
      <c r="E402" s="176" t="s">
        <v>1788</v>
      </c>
      <c r="F402" s="173">
        <v>55338</v>
      </c>
      <c r="G402" s="173" t="s">
        <v>242</v>
      </c>
      <c r="H402" s="174">
        <v>1</v>
      </c>
      <c r="M402" s="177" t="s">
        <v>2319</v>
      </c>
      <c r="N402" s="144" t="s">
        <v>1432</v>
      </c>
    </row>
    <row r="403" spans="1:14">
      <c r="A403" s="140" t="str">
        <f t="shared" si="6"/>
        <v>05642-00684-02</v>
      </c>
      <c r="B403" s="145" t="s">
        <v>6</v>
      </c>
      <c r="C403" s="175" t="s">
        <v>234</v>
      </c>
      <c r="D403" s="176" t="s">
        <v>1119</v>
      </c>
      <c r="E403" s="176" t="s">
        <v>1788</v>
      </c>
      <c r="F403" s="173">
        <v>60495</v>
      </c>
      <c r="G403" s="173" t="s">
        <v>242</v>
      </c>
      <c r="H403" s="174">
        <v>2</v>
      </c>
      <c r="I403" s="143" t="s">
        <v>360</v>
      </c>
      <c r="J403" s="143" t="s">
        <v>47</v>
      </c>
      <c r="K403" s="143" t="s">
        <v>47</v>
      </c>
      <c r="M403" s="177" t="s">
        <v>2320</v>
      </c>
      <c r="N403" s="144" t="s">
        <v>1432</v>
      </c>
    </row>
    <row r="404" spans="1:14">
      <c r="A404" s="140" t="str">
        <f t="shared" si="6"/>
        <v>05642-00685-00</v>
      </c>
      <c r="C404" s="175" t="s">
        <v>234</v>
      </c>
      <c r="D404" s="176" t="s">
        <v>1119</v>
      </c>
      <c r="E404" s="176" t="s">
        <v>473</v>
      </c>
      <c r="F404" s="173">
        <v>52943</v>
      </c>
      <c r="G404" s="173" t="s">
        <v>243</v>
      </c>
      <c r="H404" s="174">
        <v>0</v>
      </c>
      <c r="I404" s="143"/>
      <c r="J404" s="143"/>
      <c r="K404" s="143"/>
      <c r="L404" s="143" t="s">
        <v>473</v>
      </c>
      <c r="M404" s="177" t="s">
        <v>2319</v>
      </c>
      <c r="N404" s="144" t="s">
        <v>1432</v>
      </c>
    </row>
    <row r="405" spans="1:14">
      <c r="A405" s="140" t="str">
        <f t="shared" si="6"/>
        <v>05642-00685-01</v>
      </c>
      <c r="C405" s="175" t="s">
        <v>234</v>
      </c>
      <c r="D405" s="176" t="s">
        <v>1119</v>
      </c>
      <c r="E405" s="176" t="s">
        <v>473</v>
      </c>
      <c r="F405" s="173">
        <v>55338</v>
      </c>
      <c r="G405" s="173" t="s">
        <v>243</v>
      </c>
      <c r="H405" s="174">
        <v>1</v>
      </c>
      <c r="I405" s="143"/>
      <c r="J405" s="143"/>
      <c r="K405" s="143"/>
      <c r="M405" s="177" t="s">
        <v>2319</v>
      </c>
      <c r="N405" s="144" t="s">
        <v>1432</v>
      </c>
    </row>
    <row r="406" spans="1:14">
      <c r="A406" s="140" t="str">
        <f t="shared" si="6"/>
        <v>05642-00685-02</v>
      </c>
      <c r="C406" s="175" t="s">
        <v>234</v>
      </c>
      <c r="D406" s="176" t="s">
        <v>1119</v>
      </c>
      <c r="E406" s="176" t="s">
        <v>473</v>
      </c>
      <c r="F406" s="173">
        <v>55576</v>
      </c>
      <c r="G406" s="173" t="s">
        <v>243</v>
      </c>
      <c r="H406" s="174">
        <v>2</v>
      </c>
      <c r="I406" s="143"/>
      <c r="J406" s="143"/>
      <c r="K406" s="143"/>
      <c r="M406" s="177" t="s">
        <v>2319</v>
      </c>
      <c r="N406" s="144" t="s">
        <v>1432</v>
      </c>
    </row>
    <row r="407" spans="1:14">
      <c r="A407" s="140" t="str">
        <f t="shared" si="6"/>
        <v>05642-00685-03</v>
      </c>
      <c r="C407" s="175" t="s">
        <v>234</v>
      </c>
      <c r="D407" s="176" t="s">
        <v>1119</v>
      </c>
      <c r="E407" s="176" t="s">
        <v>473</v>
      </c>
      <c r="F407" s="173">
        <v>56128</v>
      </c>
      <c r="G407" s="173" t="s">
        <v>243</v>
      </c>
      <c r="H407" s="174">
        <v>3</v>
      </c>
      <c r="I407" s="143"/>
      <c r="J407" s="143"/>
      <c r="K407" s="143"/>
      <c r="M407" s="177" t="s">
        <v>2319</v>
      </c>
      <c r="N407" s="144" t="s">
        <v>1432</v>
      </c>
    </row>
    <row r="408" spans="1:14">
      <c r="A408" s="140" t="str">
        <f t="shared" si="6"/>
        <v>05642-00685-04</v>
      </c>
      <c r="B408" s="145" t="s">
        <v>6</v>
      </c>
      <c r="C408" s="175" t="s">
        <v>234</v>
      </c>
      <c r="D408" s="176" t="s">
        <v>1119</v>
      </c>
      <c r="E408" s="176" t="s">
        <v>473</v>
      </c>
      <c r="F408" s="173">
        <v>60495</v>
      </c>
      <c r="G408" s="173" t="s">
        <v>243</v>
      </c>
      <c r="H408" s="174">
        <v>4</v>
      </c>
      <c r="I408" s="143" t="s">
        <v>298</v>
      </c>
      <c r="J408" s="143" t="s">
        <v>47</v>
      </c>
      <c r="K408" s="143" t="s">
        <v>47</v>
      </c>
      <c r="M408" s="177" t="s">
        <v>2319</v>
      </c>
      <c r="N408" s="144" t="s">
        <v>1432</v>
      </c>
    </row>
    <row r="409" spans="1:14">
      <c r="A409" s="140" t="str">
        <f t="shared" si="6"/>
        <v>05642-00924-00</v>
      </c>
      <c r="C409" s="175" t="s">
        <v>234</v>
      </c>
      <c r="D409" s="176" t="s">
        <v>1119</v>
      </c>
      <c r="E409" s="176" t="s">
        <v>1787</v>
      </c>
      <c r="F409" s="173">
        <v>56013</v>
      </c>
      <c r="G409" s="173" t="s">
        <v>236</v>
      </c>
      <c r="H409" s="174">
        <v>0</v>
      </c>
      <c r="I409" s="143"/>
      <c r="J409" s="143"/>
      <c r="K409" s="143"/>
      <c r="L409" s="143" t="s">
        <v>470</v>
      </c>
      <c r="M409" s="177" t="s">
        <v>1671</v>
      </c>
      <c r="N409" s="144" t="s">
        <v>1432</v>
      </c>
    </row>
    <row r="410" spans="1:14">
      <c r="A410" s="140" t="str">
        <f t="shared" si="6"/>
        <v>05642-00924-01</v>
      </c>
      <c r="C410" s="175" t="s">
        <v>234</v>
      </c>
      <c r="D410" s="176" t="s">
        <v>1119</v>
      </c>
      <c r="E410" s="176" t="s">
        <v>1787</v>
      </c>
      <c r="F410" s="173">
        <v>56440</v>
      </c>
      <c r="G410" s="173" t="s">
        <v>236</v>
      </c>
      <c r="H410" s="174">
        <v>1</v>
      </c>
      <c r="I410" s="143"/>
      <c r="J410" s="143"/>
      <c r="K410" s="143"/>
      <c r="M410" s="177" t="s">
        <v>1671</v>
      </c>
      <c r="N410" s="144" t="s">
        <v>1432</v>
      </c>
    </row>
    <row r="411" spans="1:14">
      <c r="A411" s="140" t="str">
        <f t="shared" si="6"/>
        <v>05642-00924-02</v>
      </c>
      <c r="C411" s="175" t="s">
        <v>234</v>
      </c>
      <c r="D411" s="176" t="s">
        <v>1119</v>
      </c>
      <c r="E411" s="176" t="s">
        <v>1787</v>
      </c>
      <c r="F411" s="173">
        <v>60245</v>
      </c>
      <c r="G411" s="173" t="s">
        <v>236</v>
      </c>
      <c r="H411" s="174">
        <v>2</v>
      </c>
      <c r="I411" s="143"/>
      <c r="J411" s="143"/>
      <c r="K411" s="143"/>
      <c r="M411" s="177" t="s">
        <v>1671</v>
      </c>
      <c r="N411" s="144" t="s">
        <v>1432</v>
      </c>
    </row>
    <row r="412" spans="1:14">
      <c r="A412" s="140" t="str">
        <f t="shared" si="6"/>
        <v>05642-00924-03</v>
      </c>
      <c r="C412" s="175" t="s">
        <v>234</v>
      </c>
      <c r="D412" s="176" t="s">
        <v>1119</v>
      </c>
      <c r="E412" s="176" t="s">
        <v>1787</v>
      </c>
      <c r="F412" s="173">
        <v>60495</v>
      </c>
      <c r="G412" s="173" t="s">
        <v>236</v>
      </c>
      <c r="H412" s="174">
        <v>3</v>
      </c>
      <c r="I412" s="143"/>
      <c r="J412" s="143"/>
      <c r="K412" s="143"/>
      <c r="M412" s="177" t="s">
        <v>1671</v>
      </c>
      <c r="N412" s="144" t="s">
        <v>1432</v>
      </c>
    </row>
    <row r="413" spans="1:14">
      <c r="A413" s="140" t="str">
        <f t="shared" si="6"/>
        <v>05642-00924-04</v>
      </c>
      <c r="C413" s="175" t="s">
        <v>234</v>
      </c>
      <c r="D413" s="176" t="s">
        <v>1119</v>
      </c>
      <c r="E413" s="176" t="s">
        <v>1787</v>
      </c>
      <c r="F413" s="173">
        <v>61020</v>
      </c>
      <c r="G413" s="173" t="s">
        <v>236</v>
      </c>
      <c r="H413" s="174">
        <v>4</v>
      </c>
      <c r="I413" s="143" t="s">
        <v>303</v>
      </c>
      <c r="J413" s="143" t="s">
        <v>47</v>
      </c>
      <c r="K413" s="143" t="s">
        <v>47</v>
      </c>
      <c r="M413" s="177" t="s">
        <v>1671</v>
      </c>
      <c r="N413" s="144" t="s">
        <v>1432</v>
      </c>
    </row>
    <row r="414" spans="1:14">
      <c r="A414" s="140" t="str">
        <f t="shared" si="6"/>
        <v>05642-00924-06</v>
      </c>
      <c r="C414" s="175" t="s">
        <v>234</v>
      </c>
      <c r="D414" s="176" t="s">
        <v>1119</v>
      </c>
      <c r="E414" s="176" t="s">
        <v>1787</v>
      </c>
      <c r="F414" s="173" t="s">
        <v>1410</v>
      </c>
      <c r="G414" s="173" t="s">
        <v>236</v>
      </c>
      <c r="H414" s="174">
        <v>6</v>
      </c>
      <c r="I414" s="144" t="s">
        <v>1196</v>
      </c>
      <c r="L414" s="143" t="s">
        <v>1431</v>
      </c>
      <c r="M414" s="177"/>
      <c r="N414" s="144" t="s">
        <v>47</v>
      </c>
    </row>
    <row r="415" spans="1:14">
      <c r="A415" s="140" t="str">
        <f t="shared" si="6"/>
        <v>05642-00950-01</v>
      </c>
      <c r="C415" s="175" t="s">
        <v>1756</v>
      </c>
      <c r="D415" s="176" t="s">
        <v>1119</v>
      </c>
      <c r="E415" s="176" t="s">
        <v>1787</v>
      </c>
      <c r="F415" s="173" t="s">
        <v>1759</v>
      </c>
      <c r="G415" s="173" t="s">
        <v>1754</v>
      </c>
      <c r="H415" s="174">
        <v>1</v>
      </c>
      <c r="I415" s="144" t="s">
        <v>1760</v>
      </c>
      <c r="L415" s="143" t="s">
        <v>1762</v>
      </c>
      <c r="M415" s="177"/>
      <c r="N415" s="144" t="s">
        <v>47</v>
      </c>
    </row>
    <row r="416" spans="1:14">
      <c r="A416" s="140" t="str">
        <f t="shared" si="6"/>
        <v>05642-00951-01</v>
      </c>
      <c r="C416" s="175" t="s">
        <v>1756</v>
      </c>
      <c r="D416" s="176" t="s">
        <v>1119</v>
      </c>
      <c r="E416" s="176" t="s">
        <v>1787</v>
      </c>
      <c r="F416" s="173" t="s">
        <v>1759</v>
      </c>
      <c r="G416" s="173" t="s">
        <v>1755</v>
      </c>
      <c r="H416" s="174">
        <v>1</v>
      </c>
      <c r="I416" s="144" t="s">
        <v>1761</v>
      </c>
      <c r="L416" s="143" t="s">
        <v>1762</v>
      </c>
      <c r="M416" s="177"/>
      <c r="N416" s="144" t="s">
        <v>47</v>
      </c>
    </row>
    <row r="417" spans="1:14">
      <c r="A417" s="140" t="str">
        <f t="shared" si="6"/>
        <v>05642-00998-00</v>
      </c>
      <c r="C417" s="175" t="s">
        <v>234</v>
      </c>
      <c r="D417" s="176" t="s">
        <v>1119</v>
      </c>
      <c r="E417" s="176" t="s">
        <v>1787</v>
      </c>
      <c r="F417" s="173">
        <v>61312</v>
      </c>
      <c r="G417" s="173" t="s">
        <v>238</v>
      </c>
      <c r="H417" s="174">
        <v>0</v>
      </c>
      <c r="I417" s="143"/>
      <c r="J417" s="143"/>
      <c r="K417" s="143"/>
      <c r="M417" s="177" t="s">
        <v>1671</v>
      </c>
      <c r="N417" s="144" t="s">
        <v>1432</v>
      </c>
    </row>
    <row r="418" spans="1:14">
      <c r="A418" s="140" t="str">
        <f t="shared" si="6"/>
        <v>05642-00998-01</v>
      </c>
      <c r="B418" s="145" t="s">
        <v>6</v>
      </c>
      <c r="C418" s="175" t="s">
        <v>234</v>
      </c>
      <c r="D418" s="176" t="s">
        <v>1119</v>
      </c>
      <c r="E418" s="176" t="s">
        <v>1787</v>
      </c>
      <c r="F418" s="173">
        <v>61591</v>
      </c>
      <c r="G418" s="173" t="s">
        <v>238</v>
      </c>
      <c r="H418" s="174">
        <v>1</v>
      </c>
      <c r="I418" s="143" t="s">
        <v>433</v>
      </c>
      <c r="J418" s="143" t="s">
        <v>47</v>
      </c>
      <c r="K418" s="143" t="s">
        <v>47</v>
      </c>
      <c r="M418" s="177" t="s">
        <v>1671</v>
      </c>
      <c r="N418" s="144" t="s">
        <v>1432</v>
      </c>
    </row>
    <row r="419" spans="1:14">
      <c r="A419" s="140" t="str">
        <f t="shared" si="6"/>
        <v>05642-00998-02</v>
      </c>
      <c r="C419" s="175" t="s">
        <v>234</v>
      </c>
      <c r="D419" s="176" t="s">
        <v>1119</v>
      </c>
      <c r="E419" s="176" t="s">
        <v>1787</v>
      </c>
      <c r="F419" s="173">
        <v>62444</v>
      </c>
      <c r="G419" s="173" t="s">
        <v>238</v>
      </c>
      <c r="H419" s="174">
        <v>2</v>
      </c>
      <c r="M419" s="177" t="s">
        <v>1671</v>
      </c>
      <c r="N419" s="144" t="s">
        <v>1432</v>
      </c>
    </row>
    <row r="420" spans="1:14">
      <c r="A420" s="140" t="str">
        <f t="shared" si="6"/>
        <v>05642-00998-04</v>
      </c>
      <c r="C420" s="175" t="s">
        <v>234</v>
      </c>
      <c r="D420" s="176" t="s">
        <v>1119</v>
      </c>
      <c r="E420" s="176" t="s">
        <v>1787</v>
      </c>
      <c r="F420" s="173" t="s">
        <v>1410</v>
      </c>
      <c r="G420" s="173" t="s">
        <v>238</v>
      </c>
      <c r="H420" s="174">
        <v>4</v>
      </c>
      <c r="I420" s="144" t="s">
        <v>1423</v>
      </c>
      <c r="L420" s="143" t="s">
        <v>1431</v>
      </c>
      <c r="M420" s="177"/>
      <c r="N420" s="144" t="s">
        <v>47</v>
      </c>
    </row>
    <row r="421" spans="1:14">
      <c r="A421" s="140" t="str">
        <f t="shared" si="6"/>
        <v>05642-00999-00</v>
      </c>
      <c r="C421" s="175" t="s">
        <v>234</v>
      </c>
      <c r="D421" s="176" t="s">
        <v>1119</v>
      </c>
      <c r="E421" s="176" t="s">
        <v>1787</v>
      </c>
      <c r="F421" s="173">
        <v>61312</v>
      </c>
      <c r="G421" s="173" t="s">
        <v>240</v>
      </c>
      <c r="H421" s="174">
        <v>0</v>
      </c>
      <c r="M421" s="177" t="s">
        <v>1671</v>
      </c>
      <c r="N421" s="144" t="s">
        <v>1432</v>
      </c>
    </row>
    <row r="422" spans="1:14">
      <c r="A422" s="140" t="str">
        <f t="shared" si="6"/>
        <v>05642-00999-01</v>
      </c>
      <c r="B422" s="145" t="s">
        <v>6</v>
      </c>
      <c r="C422" s="175" t="s">
        <v>234</v>
      </c>
      <c r="D422" s="176" t="s">
        <v>1119</v>
      </c>
      <c r="E422" s="176" t="s">
        <v>1787</v>
      </c>
      <c r="F422" s="173">
        <v>61591</v>
      </c>
      <c r="G422" s="173" t="s">
        <v>240</v>
      </c>
      <c r="H422" s="174">
        <v>1</v>
      </c>
      <c r="I422" s="143" t="s">
        <v>433</v>
      </c>
      <c r="J422" s="143" t="s">
        <v>47</v>
      </c>
      <c r="K422" s="143" t="s">
        <v>47</v>
      </c>
      <c r="M422" s="177" t="s">
        <v>1671</v>
      </c>
      <c r="N422" s="144" t="s">
        <v>1432</v>
      </c>
    </row>
    <row r="423" spans="1:14">
      <c r="A423" s="140" t="str">
        <f t="shared" si="6"/>
        <v>05642-00999-02</v>
      </c>
      <c r="C423" s="175" t="s">
        <v>234</v>
      </c>
      <c r="D423" s="176" t="s">
        <v>1119</v>
      </c>
      <c r="E423" s="176" t="s">
        <v>1787</v>
      </c>
      <c r="F423" s="173">
        <v>62444</v>
      </c>
      <c r="G423" s="173" t="s">
        <v>240</v>
      </c>
      <c r="H423" s="174">
        <v>2</v>
      </c>
      <c r="M423" s="177" t="s">
        <v>1671</v>
      </c>
      <c r="N423" s="144" t="s">
        <v>1432</v>
      </c>
    </row>
    <row r="424" spans="1:14">
      <c r="A424" s="140" t="str">
        <f t="shared" si="6"/>
        <v>05642-01054-00</v>
      </c>
      <c r="C424" s="175" t="s">
        <v>234</v>
      </c>
      <c r="D424" s="176" t="s">
        <v>1119</v>
      </c>
      <c r="E424" s="176" t="s">
        <v>1787</v>
      </c>
      <c r="F424" s="173" t="s">
        <v>1874</v>
      </c>
      <c r="G424" s="173" t="s">
        <v>1708</v>
      </c>
      <c r="H424" s="174">
        <v>0</v>
      </c>
      <c r="I424" s="144" t="s">
        <v>1588</v>
      </c>
      <c r="L424" s="143" t="s">
        <v>1710</v>
      </c>
      <c r="M424" s="177" t="s">
        <v>1671</v>
      </c>
      <c r="N424" s="144" t="s">
        <v>47</v>
      </c>
    </row>
    <row r="425" spans="1:14">
      <c r="A425" s="140" t="str">
        <f t="shared" si="6"/>
        <v>05642-01054-01</v>
      </c>
      <c r="C425" s="175" t="s">
        <v>234</v>
      </c>
      <c r="D425" s="176" t="s">
        <v>1119</v>
      </c>
      <c r="E425" s="176" t="s">
        <v>1787</v>
      </c>
      <c r="F425" s="173" t="s">
        <v>1485</v>
      </c>
      <c r="G425" s="173" t="s">
        <v>1238</v>
      </c>
      <c r="H425" s="174">
        <v>1</v>
      </c>
      <c r="I425" s="144" t="s">
        <v>673</v>
      </c>
      <c r="L425" s="143" t="s">
        <v>1711</v>
      </c>
      <c r="M425" s="177" t="s">
        <v>1671</v>
      </c>
      <c r="N425" s="144" t="s">
        <v>47</v>
      </c>
    </row>
    <row r="426" spans="1:14">
      <c r="A426" s="140" t="str">
        <f t="shared" si="6"/>
        <v>05642-01061-00</v>
      </c>
      <c r="C426" s="175" t="s">
        <v>234</v>
      </c>
      <c r="D426" s="176" t="s">
        <v>1119</v>
      </c>
      <c r="E426" s="176" t="s">
        <v>1787</v>
      </c>
      <c r="F426" s="173" t="s">
        <v>1874</v>
      </c>
      <c r="G426" s="173" t="s">
        <v>1714</v>
      </c>
      <c r="H426" s="174">
        <v>0</v>
      </c>
      <c r="I426" s="144" t="s">
        <v>1588</v>
      </c>
      <c r="L426" s="143" t="s">
        <v>1710</v>
      </c>
      <c r="M426" s="177" t="s">
        <v>1671</v>
      </c>
      <c r="N426" s="144" t="s">
        <v>47</v>
      </c>
    </row>
    <row r="427" spans="1:14">
      <c r="A427" s="140" t="str">
        <f t="shared" si="6"/>
        <v>05642-01061-01</v>
      </c>
      <c r="C427" s="175" t="s">
        <v>234</v>
      </c>
      <c r="D427" s="176" t="s">
        <v>1119</v>
      </c>
      <c r="E427" s="176" t="s">
        <v>1787</v>
      </c>
      <c r="F427" s="173" t="s">
        <v>1709</v>
      </c>
      <c r="G427" s="173" t="s">
        <v>1714</v>
      </c>
      <c r="H427" s="174">
        <v>1</v>
      </c>
      <c r="I427" s="144" t="s">
        <v>673</v>
      </c>
      <c r="L427" s="143" t="s">
        <v>1711</v>
      </c>
      <c r="M427" s="177" t="s">
        <v>1671</v>
      </c>
      <c r="N427" s="144" t="s">
        <v>47</v>
      </c>
    </row>
    <row r="428" spans="1:14">
      <c r="A428" s="140" t="str">
        <f t="shared" si="6"/>
        <v>05642-57920-00</v>
      </c>
      <c r="B428" s="145" t="s">
        <v>10</v>
      </c>
      <c r="C428" s="175" t="s">
        <v>156</v>
      </c>
      <c r="D428" s="176" t="s">
        <v>1119</v>
      </c>
      <c r="E428" s="176" t="s">
        <v>1787</v>
      </c>
      <c r="F428" s="173">
        <v>33269</v>
      </c>
      <c r="G428" s="173" t="s">
        <v>157</v>
      </c>
      <c r="H428" s="174">
        <v>0</v>
      </c>
      <c r="L428" s="178" t="s">
        <v>405</v>
      </c>
      <c r="M428" s="177" t="s">
        <v>871</v>
      </c>
      <c r="N428" s="144" t="s">
        <v>1432</v>
      </c>
    </row>
    <row r="429" spans="1:14">
      <c r="A429" s="140" t="str">
        <f t="shared" si="6"/>
        <v>05642-57920-01</v>
      </c>
      <c r="B429" s="145" t="s">
        <v>10</v>
      </c>
      <c r="C429" s="175" t="s">
        <v>156</v>
      </c>
      <c r="D429" s="176" t="s">
        <v>1119</v>
      </c>
      <c r="E429" s="176" t="s">
        <v>1787</v>
      </c>
      <c r="F429" s="173">
        <v>33453</v>
      </c>
      <c r="G429" s="173" t="s">
        <v>157</v>
      </c>
      <c r="H429" s="174">
        <v>1</v>
      </c>
      <c r="L429" s="178"/>
      <c r="M429" s="177" t="s">
        <v>2321</v>
      </c>
      <c r="N429" s="144" t="s">
        <v>1432</v>
      </c>
    </row>
    <row r="430" spans="1:14">
      <c r="A430" s="140" t="str">
        <f t="shared" si="6"/>
        <v>05642-57920-02</v>
      </c>
      <c r="B430" s="145" t="s">
        <v>10</v>
      </c>
      <c r="C430" s="175" t="s">
        <v>156</v>
      </c>
      <c r="D430" s="176" t="s">
        <v>1119</v>
      </c>
      <c r="E430" s="176" t="s">
        <v>1787</v>
      </c>
      <c r="F430" s="173">
        <v>40059</v>
      </c>
      <c r="G430" s="173" t="s">
        <v>157</v>
      </c>
      <c r="H430" s="174">
        <v>2</v>
      </c>
      <c r="J430" s="144" t="s">
        <v>408</v>
      </c>
      <c r="K430" s="144" t="s">
        <v>409</v>
      </c>
      <c r="L430" s="178"/>
      <c r="M430" s="177" t="s">
        <v>2321</v>
      </c>
      <c r="N430" s="144" t="s">
        <v>1432</v>
      </c>
    </row>
    <row r="431" spans="1:14">
      <c r="A431" s="140" t="str">
        <f t="shared" si="6"/>
        <v>05642-65120-00</v>
      </c>
      <c r="C431" s="175" t="s">
        <v>52</v>
      </c>
      <c r="D431" s="176" t="s">
        <v>1119</v>
      </c>
      <c r="E431" s="176" t="s">
        <v>1787</v>
      </c>
      <c r="F431" s="173">
        <v>41019</v>
      </c>
      <c r="G431" s="173" t="s">
        <v>53</v>
      </c>
      <c r="H431" s="174">
        <v>0</v>
      </c>
      <c r="L431" s="178"/>
      <c r="M431" s="177" t="s">
        <v>513</v>
      </c>
      <c r="N431" s="144" t="s">
        <v>1432</v>
      </c>
    </row>
    <row r="432" spans="1:14">
      <c r="A432" s="140" t="str">
        <f t="shared" si="6"/>
        <v>05642-65120-01</v>
      </c>
      <c r="C432" s="175" t="s">
        <v>52</v>
      </c>
      <c r="D432" s="176" t="s">
        <v>1119</v>
      </c>
      <c r="E432" s="176" t="s">
        <v>1787</v>
      </c>
      <c r="F432" s="173">
        <v>41714</v>
      </c>
      <c r="G432" s="173" t="s">
        <v>53</v>
      </c>
      <c r="H432" s="174">
        <v>1</v>
      </c>
      <c r="I432" s="146"/>
      <c r="L432" s="178"/>
      <c r="M432" s="177" t="s">
        <v>513</v>
      </c>
      <c r="N432" s="144" t="s">
        <v>1432</v>
      </c>
    </row>
    <row r="433" spans="1:14">
      <c r="A433" s="140" t="str">
        <f t="shared" si="6"/>
        <v>05642-65120-02</v>
      </c>
      <c r="C433" s="175" t="s">
        <v>52</v>
      </c>
      <c r="D433" s="176" t="s">
        <v>1119</v>
      </c>
      <c r="E433" s="176" t="s">
        <v>1787</v>
      </c>
      <c r="F433" s="173">
        <v>55511</v>
      </c>
      <c r="G433" s="173" t="s">
        <v>53</v>
      </c>
      <c r="H433" s="174">
        <v>2</v>
      </c>
      <c r="I433" s="144" t="s">
        <v>284</v>
      </c>
      <c r="J433" s="144" t="s">
        <v>285</v>
      </c>
      <c r="K433" s="144" t="s">
        <v>286</v>
      </c>
      <c r="L433" s="178"/>
      <c r="M433" s="177"/>
      <c r="N433" s="144" t="s">
        <v>1432</v>
      </c>
    </row>
    <row r="434" spans="1:14">
      <c r="A434" s="140" t="str">
        <f t="shared" si="6"/>
        <v>05701-00005-00</v>
      </c>
      <c r="C434" s="175" t="s">
        <v>359</v>
      </c>
      <c r="D434" s="176" t="s">
        <v>1230</v>
      </c>
      <c r="E434" s="176"/>
      <c r="F434" s="173">
        <v>40471</v>
      </c>
      <c r="G434" s="173" t="s">
        <v>1293</v>
      </c>
      <c r="H434" s="174">
        <v>0</v>
      </c>
      <c r="M434" s="177"/>
      <c r="N434" s="144" t="s">
        <v>1432</v>
      </c>
    </row>
    <row r="435" spans="1:14">
      <c r="A435" s="140" t="str">
        <f t="shared" si="6"/>
        <v>05701-00005-01</v>
      </c>
      <c r="C435" s="175" t="s">
        <v>359</v>
      </c>
      <c r="D435" s="176" t="s">
        <v>1230</v>
      </c>
      <c r="E435" s="176"/>
      <c r="F435" s="173">
        <v>40678</v>
      </c>
      <c r="G435" s="173" t="s">
        <v>1293</v>
      </c>
      <c r="H435" s="174">
        <v>1</v>
      </c>
      <c r="I435" s="144" t="s">
        <v>1298</v>
      </c>
      <c r="M435" s="177"/>
      <c r="N435" s="144" t="s">
        <v>1432</v>
      </c>
    </row>
    <row r="436" spans="1:14">
      <c r="A436" s="140" t="str">
        <f t="shared" si="6"/>
        <v>05701-00005-02</v>
      </c>
      <c r="C436" s="175" t="s">
        <v>359</v>
      </c>
      <c r="D436" s="176" t="s">
        <v>1230</v>
      </c>
      <c r="E436" s="176"/>
      <c r="F436" s="173">
        <v>42327</v>
      </c>
      <c r="G436" s="173" t="s">
        <v>1293</v>
      </c>
      <c r="H436" s="174">
        <v>2</v>
      </c>
      <c r="I436" s="144" t="s">
        <v>1299</v>
      </c>
      <c r="M436" s="177"/>
      <c r="N436" s="144" t="s">
        <v>1432</v>
      </c>
    </row>
    <row r="437" spans="1:14">
      <c r="A437" s="140" t="str">
        <f t="shared" si="6"/>
        <v>05701-00005-03</v>
      </c>
      <c r="C437" s="175" t="s">
        <v>359</v>
      </c>
      <c r="D437" s="176" t="s">
        <v>1230</v>
      </c>
      <c r="E437" s="176"/>
      <c r="F437" s="173">
        <v>42834</v>
      </c>
      <c r="G437" s="173" t="s">
        <v>1293</v>
      </c>
      <c r="H437" s="174">
        <v>3</v>
      </c>
      <c r="I437" s="144" t="s">
        <v>298</v>
      </c>
      <c r="M437" s="177"/>
      <c r="N437" s="144" t="s">
        <v>1432</v>
      </c>
    </row>
    <row r="438" spans="1:14">
      <c r="A438" s="140" t="str">
        <f t="shared" si="6"/>
        <v>05701-00005-04</v>
      </c>
      <c r="C438" s="175" t="s">
        <v>359</v>
      </c>
      <c r="D438" s="176" t="s">
        <v>1230</v>
      </c>
      <c r="E438" s="176"/>
      <c r="F438" s="173" t="s">
        <v>1297</v>
      </c>
      <c r="G438" s="173" t="s">
        <v>1293</v>
      </c>
      <c r="H438" s="174">
        <v>4</v>
      </c>
      <c r="I438" s="144" t="s">
        <v>1300</v>
      </c>
      <c r="M438" s="177"/>
      <c r="N438" s="144" t="s">
        <v>1432</v>
      </c>
    </row>
    <row r="439" spans="1:14">
      <c r="A439" s="140" t="str">
        <f t="shared" si="6"/>
        <v>05701-00005-05</v>
      </c>
      <c r="C439" s="175" t="s">
        <v>359</v>
      </c>
      <c r="D439" s="176" t="s">
        <v>1230</v>
      </c>
      <c r="E439" s="176"/>
      <c r="F439" s="173">
        <v>62508</v>
      </c>
      <c r="G439" s="173" t="s">
        <v>1293</v>
      </c>
      <c r="H439" s="174">
        <v>5</v>
      </c>
      <c r="I439" s="144" t="s">
        <v>1301</v>
      </c>
      <c r="M439" s="177"/>
      <c r="N439" s="144" t="s">
        <v>1432</v>
      </c>
    </row>
    <row r="440" spans="1:14">
      <c r="A440" s="140" t="str">
        <f t="shared" si="6"/>
        <v>05701-00026-00</v>
      </c>
      <c r="C440" s="175" t="s">
        <v>113</v>
      </c>
      <c r="D440" s="176" t="s">
        <v>1230</v>
      </c>
      <c r="E440" s="176"/>
      <c r="F440" s="173" t="s">
        <v>1302</v>
      </c>
      <c r="G440" s="173" t="s">
        <v>1296</v>
      </c>
      <c r="H440" s="174">
        <v>0</v>
      </c>
      <c r="I440" s="144" t="s">
        <v>1307</v>
      </c>
      <c r="M440" s="177"/>
      <c r="N440" s="144" t="s">
        <v>1432</v>
      </c>
    </row>
    <row r="441" spans="1:14">
      <c r="A441" s="140" t="str">
        <f t="shared" si="6"/>
        <v>05701-00026-01</v>
      </c>
      <c r="C441" s="175" t="s">
        <v>113</v>
      </c>
      <c r="D441" s="176" t="s">
        <v>1230</v>
      </c>
      <c r="E441" s="176"/>
      <c r="F441" s="173" t="s">
        <v>1303</v>
      </c>
      <c r="G441" s="173" t="s">
        <v>1296</v>
      </c>
      <c r="H441" s="174">
        <v>1</v>
      </c>
      <c r="I441" s="144" t="s">
        <v>1298</v>
      </c>
      <c r="M441" s="177"/>
      <c r="N441" s="144" t="s">
        <v>1432</v>
      </c>
    </row>
    <row r="442" spans="1:14">
      <c r="A442" s="140" t="str">
        <f t="shared" si="6"/>
        <v>05701-00026-02</v>
      </c>
      <c r="C442" s="175" t="s">
        <v>113</v>
      </c>
      <c r="D442" s="176" t="s">
        <v>1230</v>
      </c>
      <c r="E442" s="176"/>
      <c r="F442" s="173" t="s">
        <v>1304</v>
      </c>
      <c r="G442" s="173" t="s">
        <v>1296</v>
      </c>
      <c r="H442" s="174">
        <v>2</v>
      </c>
      <c r="I442" s="144" t="s">
        <v>1299</v>
      </c>
      <c r="M442" s="177"/>
      <c r="N442" s="144" t="s">
        <v>1432</v>
      </c>
    </row>
    <row r="443" spans="1:14">
      <c r="A443" s="140" t="str">
        <f t="shared" si="6"/>
        <v>05701-00026-03</v>
      </c>
      <c r="C443" s="175" t="s">
        <v>113</v>
      </c>
      <c r="D443" s="176" t="s">
        <v>1230</v>
      </c>
      <c r="E443" s="176"/>
      <c r="F443" s="173" t="s">
        <v>1305</v>
      </c>
      <c r="G443" s="173" t="s">
        <v>1296</v>
      </c>
      <c r="H443" s="174">
        <v>3</v>
      </c>
      <c r="I443" s="144" t="s">
        <v>1308</v>
      </c>
      <c r="M443" s="177"/>
      <c r="N443" s="144" t="s">
        <v>1432</v>
      </c>
    </row>
    <row r="444" spans="1:14">
      <c r="A444" s="140" t="str">
        <f t="shared" si="6"/>
        <v>05701-00026-04</v>
      </c>
      <c r="C444" s="175" t="s">
        <v>113</v>
      </c>
      <c r="D444" s="176" t="s">
        <v>1230</v>
      </c>
      <c r="E444" s="176"/>
      <c r="F444" s="173" t="s">
        <v>1306</v>
      </c>
      <c r="G444" s="173" t="s">
        <v>1296</v>
      </c>
      <c r="H444" s="174">
        <v>4</v>
      </c>
      <c r="I444" s="144" t="s">
        <v>1301</v>
      </c>
      <c r="M444" s="177"/>
      <c r="N444" s="144" t="s">
        <v>1432</v>
      </c>
    </row>
    <row r="445" spans="1:14">
      <c r="A445" s="140" t="str">
        <f t="shared" si="6"/>
        <v>05701-00058-00</v>
      </c>
      <c r="C445" s="175" t="s">
        <v>119</v>
      </c>
      <c r="D445" s="176" t="s">
        <v>1230</v>
      </c>
      <c r="E445" s="176"/>
      <c r="F445" s="173" t="s">
        <v>1530</v>
      </c>
      <c r="G445" s="173" t="s">
        <v>1503</v>
      </c>
      <c r="H445" s="174">
        <v>0</v>
      </c>
      <c r="I445" s="144" t="s">
        <v>1525</v>
      </c>
      <c r="L445" s="143" t="s">
        <v>1539</v>
      </c>
      <c r="M445" s="177"/>
      <c r="N445" s="144" t="s">
        <v>47</v>
      </c>
    </row>
    <row r="446" spans="1:14">
      <c r="A446" s="140" t="str">
        <f t="shared" si="6"/>
        <v>05701-00058-01</v>
      </c>
      <c r="C446" s="175" t="s">
        <v>119</v>
      </c>
      <c r="D446" s="176" t="s">
        <v>1230</v>
      </c>
      <c r="E446" s="176"/>
      <c r="F446" s="173" t="s">
        <v>1531</v>
      </c>
      <c r="G446" s="173" t="s">
        <v>1503</v>
      </c>
      <c r="H446" s="174">
        <v>1</v>
      </c>
      <c r="I446" s="144" t="s">
        <v>1513</v>
      </c>
      <c r="L446" s="143" t="s">
        <v>1843</v>
      </c>
      <c r="M446" s="177"/>
      <c r="N446" s="144" t="s">
        <v>47</v>
      </c>
    </row>
    <row r="447" spans="1:14">
      <c r="A447" s="140" t="str">
        <f t="shared" si="6"/>
        <v>05701-00058-02</v>
      </c>
      <c r="C447" s="175" t="s">
        <v>119</v>
      </c>
      <c r="D447" s="176" t="s">
        <v>1230</v>
      </c>
      <c r="E447" s="176"/>
      <c r="F447" s="173" t="s">
        <v>1532</v>
      </c>
      <c r="G447" s="173" t="s">
        <v>1503</v>
      </c>
      <c r="H447" s="174">
        <v>2</v>
      </c>
      <c r="I447" s="144" t="s">
        <v>1308</v>
      </c>
      <c r="L447" s="143" t="s">
        <v>1844</v>
      </c>
      <c r="M447" s="177"/>
      <c r="N447" s="144" t="s">
        <v>47</v>
      </c>
    </row>
    <row r="448" spans="1:14">
      <c r="A448" s="140" t="str">
        <f t="shared" si="6"/>
        <v>05701-00058-03</v>
      </c>
      <c r="C448" s="175" t="s">
        <v>119</v>
      </c>
      <c r="D448" s="176" t="s">
        <v>1230</v>
      </c>
      <c r="E448" s="176"/>
      <c r="F448" s="173" t="s">
        <v>1533</v>
      </c>
      <c r="G448" s="173" t="s">
        <v>1503</v>
      </c>
      <c r="H448" s="174">
        <v>3</v>
      </c>
      <c r="I448" s="144" t="s">
        <v>1514</v>
      </c>
      <c r="L448" s="143" t="s">
        <v>1540</v>
      </c>
      <c r="M448" s="177"/>
      <c r="N448" s="144" t="s">
        <v>47</v>
      </c>
    </row>
    <row r="449" spans="1:14">
      <c r="A449" s="140" t="str">
        <f t="shared" si="6"/>
        <v>05701-00058-04</v>
      </c>
      <c r="C449" s="175" t="s">
        <v>119</v>
      </c>
      <c r="D449" s="176" t="s">
        <v>1230</v>
      </c>
      <c r="E449" s="176"/>
      <c r="F449" s="173" t="s">
        <v>1534</v>
      </c>
      <c r="G449" s="173" t="s">
        <v>1503</v>
      </c>
      <c r="H449" s="174">
        <v>4</v>
      </c>
      <c r="I449" s="144" t="s">
        <v>1526</v>
      </c>
      <c r="L449" s="143" t="s">
        <v>1541</v>
      </c>
      <c r="M449" s="177"/>
      <c r="N449" s="144" t="s">
        <v>47</v>
      </c>
    </row>
    <row r="450" spans="1:14">
      <c r="A450" s="140" t="str">
        <f t="shared" ref="A450:A513" si="7">G450&amp;"-"&amp;TEXT(H450,"00")</f>
        <v>05701-00058-05</v>
      </c>
      <c r="C450" s="175" t="s">
        <v>119</v>
      </c>
      <c r="D450" s="176" t="s">
        <v>1230</v>
      </c>
      <c r="E450" s="176"/>
      <c r="F450" s="173" t="s">
        <v>1535</v>
      </c>
      <c r="G450" s="173" t="s">
        <v>1503</v>
      </c>
      <c r="H450" s="174">
        <v>5</v>
      </c>
      <c r="I450" s="144" t="s">
        <v>1527</v>
      </c>
      <c r="L450" s="143" t="s">
        <v>1845</v>
      </c>
      <c r="M450" s="177"/>
      <c r="N450" s="144" t="s">
        <v>47</v>
      </c>
    </row>
    <row r="451" spans="1:14">
      <c r="A451" s="140" t="str">
        <f t="shared" si="7"/>
        <v>05701-00058-06</v>
      </c>
      <c r="C451" s="175" t="s">
        <v>119</v>
      </c>
      <c r="D451" s="176" t="s">
        <v>1230</v>
      </c>
      <c r="E451" s="176"/>
      <c r="F451" s="173" t="s">
        <v>1536</v>
      </c>
      <c r="G451" s="173" t="s">
        <v>1503</v>
      </c>
      <c r="H451" s="174">
        <v>6</v>
      </c>
      <c r="I451" s="144" t="s">
        <v>1528</v>
      </c>
      <c r="L451" s="143" t="s">
        <v>1542</v>
      </c>
      <c r="M451" s="177"/>
      <c r="N451" s="144" t="s">
        <v>47</v>
      </c>
    </row>
    <row r="452" spans="1:14">
      <c r="A452" s="140" t="str">
        <f t="shared" si="7"/>
        <v>05701-00058-07</v>
      </c>
      <c r="C452" s="175" t="s">
        <v>119</v>
      </c>
      <c r="D452" s="176" t="s">
        <v>1230</v>
      </c>
      <c r="E452" s="176"/>
      <c r="F452" s="173" t="s">
        <v>1537</v>
      </c>
      <c r="G452" s="173" t="s">
        <v>1503</v>
      </c>
      <c r="H452" s="174">
        <v>7</v>
      </c>
      <c r="I452" s="144" t="s">
        <v>1416</v>
      </c>
      <c r="L452" s="143" t="s">
        <v>1543</v>
      </c>
      <c r="M452" s="177"/>
      <c r="N452" s="144" t="s">
        <v>47</v>
      </c>
    </row>
    <row r="453" spans="1:14">
      <c r="A453" s="140" t="str">
        <f t="shared" si="7"/>
        <v>05701-00058-08</v>
      </c>
      <c r="C453" s="175" t="s">
        <v>119</v>
      </c>
      <c r="D453" s="176" t="s">
        <v>1230</v>
      </c>
      <c r="E453" s="176"/>
      <c r="F453" s="173" t="s">
        <v>1538</v>
      </c>
      <c r="G453" s="173" t="s">
        <v>1503</v>
      </c>
      <c r="H453" s="174">
        <v>8</v>
      </c>
      <c r="I453" s="144" t="s">
        <v>1426</v>
      </c>
      <c r="L453" s="143" t="s">
        <v>1846</v>
      </c>
      <c r="M453" s="177"/>
      <c r="N453" s="144" t="s">
        <v>47</v>
      </c>
    </row>
    <row r="454" spans="1:14">
      <c r="A454" s="140" t="str">
        <f t="shared" si="7"/>
        <v>05701-00058-09</v>
      </c>
      <c r="C454" s="175" t="s">
        <v>119</v>
      </c>
      <c r="D454" s="176" t="s">
        <v>1230</v>
      </c>
      <c r="E454" s="176"/>
      <c r="F454" s="173" t="s">
        <v>1505</v>
      </c>
      <c r="G454" s="173" t="s">
        <v>1503</v>
      </c>
      <c r="H454" s="174">
        <v>9</v>
      </c>
      <c r="I454" s="144" t="s">
        <v>1529</v>
      </c>
      <c r="L454" s="143" t="s">
        <v>1512</v>
      </c>
      <c r="M454" s="177"/>
      <c r="N454" s="144" t="s">
        <v>47</v>
      </c>
    </row>
    <row r="455" spans="1:14">
      <c r="A455" s="140" t="str">
        <f t="shared" si="7"/>
        <v>05701-00058-10</v>
      </c>
      <c r="C455" s="175" t="s">
        <v>119</v>
      </c>
      <c r="D455" s="176" t="s">
        <v>1230</v>
      </c>
      <c r="E455" s="176"/>
      <c r="F455" s="173" t="s">
        <v>1501</v>
      </c>
      <c r="G455" s="173" t="s">
        <v>1503</v>
      </c>
      <c r="H455" s="174">
        <v>10</v>
      </c>
      <c r="I455" s="144" t="s">
        <v>1515</v>
      </c>
      <c r="L455" s="143" t="s">
        <v>1841</v>
      </c>
      <c r="M455" s="177"/>
      <c r="N455" s="144" t="s">
        <v>47</v>
      </c>
    </row>
    <row r="456" spans="1:14">
      <c r="A456" s="140" t="str">
        <f t="shared" si="7"/>
        <v>05742-00038-00</v>
      </c>
      <c r="B456" s="145" t="s">
        <v>10</v>
      </c>
      <c r="C456" s="175" t="s">
        <v>104</v>
      </c>
      <c r="D456" s="176" t="s">
        <v>1119</v>
      </c>
      <c r="E456" s="176" t="s">
        <v>1787</v>
      </c>
      <c r="F456" s="173">
        <v>42074</v>
      </c>
      <c r="G456" s="173" t="s">
        <v>105</v>
      </c>
      <c r="H456" s="174">
        <v>0</v>
      </c>
      <c r="I456" s="144" t="s">
        <v>353</v>
      </c>
      <c r="J456" s="144" t="s">
        <v>354</v>
      </c>
      <c r="K456" s="144" t="s">
        <v>355</v>
      </c>
      <c r="L456" s="178" t="s">
        <v>356</v>
      </c>
      <c r="M456" s="177" t="s">
        <v>515</v>
      </c>
      <c r="N456" s="144" t="s">
        <v>1432</v>
      </c>
    </row>
    <row r="457" spans="1:14">
      <c r="A457" s="140" t="str">
        <f t="shared" si="7"/>
        <v>05742-00042-00</v>
      </c>
      <c r="C457" s="175" t="s">
        <v>104</v>
      </c>
      <c r="D457" s="176" t="s">
        <v>1119</v>
      </c>
      <c r="E457" s="176" t="s">
        <v>1787</v>
      </c>
      <c r="F457" s="173">
        <v>42834</v>
      </c>
      <c r="G457" s="173" t="s">
        <v>107</v>
      </c>
      <c r="H457" s="174">
        <v>0</v>
      </c>
      <c r="L457" s="178" t="s">
        <v>358</v>
      </c>
      <c r="M457" s="177" t="s">
        <v>515</v>
      </c>
      <c r="N457" s="144" t="s">
        <v>1432</v>
      </c>
    </row>
    <row r="458" spans="1:14">
      <c r="A458" s="140" t="str">
        <f t="shared" si="7"/>
        <v>05742-00042-01</v>
      </c>
      <c r="B458" s="145" t="s">
        <v>10</v>
      </c>
      <c r="C458" s="175" t="s">
        <v>104</v>
      </c>
      <c r="D458" s="176" t="s">
        <v>1119</v>
      </c>
      <c r="E458" s="176" t="s">
        <v>1787</v>
      </c>
      <c r="F458" s="173">
        <v>55511</v>
      </c>
      <c r="G458" s="173" t="s">
        <v>107</v>
      </c>
      <c r="H458" s="174">
        <v>1</v>
      </c>
      <c r="I458" s="155" t="s">
        <v>360</v>
      </c>
      <c r="J458" s="144" t="s">
        <v>361</v>
      </c>
      <c r="K458" s="144" t="s">
        <v>362</v>
      </c>
      <c r="M458" s="177" t="s">
        <v>515</v>
      </c>
      <c r="N458" s="144" t="s">
        <v>1432</v>
      </c>
    </row>
    <row r="459" spans="1:14">
      <c r="A459" s="140" t="str">
        <f t="shared" si="7"/>
        <v>05742-00045-00</v>
      </c>
      <c r="C459" s="175" t="s">
        <v>110</v>
      </c>
      <c r="D459" s="176" t="s">
        <v>1119</v>
      </c>
      <c r="E459" s="176" t="s">
        <v>1787</v>
      </c>
      <c r="F459" s="173">
        <v>42834</v>
      </c>
      <c r="G459" s="173" t="s">
        <v>112</v>
      </c>
      <c r="H459" s="174">
        <v>0</v>
      </c>
      <c r="I459" s="155"/>
      <c r="L459" s="178" t="s">
        <v>358</v>
      </c>
      <c r="M459" s="177" t="s">
        <v>515</v>
      </c>
      <c r="N459" s="144" t="s">
        <v>1432</v>
      </c>
    </row>
    <row r="460" spans="1:14">
      <c r="A460" s="140" t="str">
        <f t="shared" si="7"/>
        <v>05742-00045-01</v>
      </c>
      <c r="B460" s="145" t="s">
        <v>10</v>
      </c>
      <c r="C460" s="175" t="s">
        <v>110</v>
      </c>
      <c r="D460" s="176" t="s">
        <v>1119</v>
      </c>
      <c r="E460" s="176" t="s">
        <v>1787</v>
      </c>
      <c r="F460" s="173">
        <v>55511</v>
      </c>
      <c r="G460" s="173" t="s">
        <v>112</v>
      </c>
      <c r="H460" s="174">
        <v>1</v>
      </c>
      <c r="I460" s="155" t="s">
        <v>360</v>
      </c>
      <c r="J460" s="144" t="s">
        <v>369</v>
      </c>
      <c r="K460" s="144" t="s">
        <v>370</v>
      </c>
      <c r="M460" s="177" t="s">
        <v>515</v>
      </c>
      <c r="N460" s="144" t="s">
        <v>1432</v>
      </c>
    </row>
    <row r="461" spans="1:14">
      <c r="A461" s="140" t="str">
        <f t="shared" si="7"/>
        <v>05742-00048-00</v>
      </c>
      <c r="C461" s="175" t="s">
        <v>113</v>
      </c>
      <c r="D461" s="176" t="s">
        <v>1119</v>
      </c>
      <c r="E461" s="176" t="s">
        <v>1787</v>
      </c>
      <c r="F461" s="173">
        <v>42834</v>
      </c>
      <c r="G461" s="173" t="s">
        <v>115</v>
      </c>
      <c r="H461" s="174">
        <v>0</v>
      </c>
      <c r="I461" s="155"/>
      <c r="L461" s="178" t="s">
        <v>358</v>
      </c>
      <c r="M461" s="177" t="s">
        <v>519</v>
      </c>
      <c r="N461" s="144" t="s">
        <v>1432</v>
      </c>
    </row>
    <row r="462" spans="1:14">
      <c r="A462" s="140" t="str">
        <f t="shared" si="7"/>
        <v>05742-00048-01</v>
      </c>
      <c r="C462" s="175" t="s">
        <v>113</v>
      </c>
      <c r="D462" s="176" t="s">
        <v>1119</v>
      </c>
      <c r="E462" s="176" t="s">
        <v>1787</v>
      </c>
      <c r="F462" s="173">
        <v>43461</v>
      </c>
      <c r="G462" s="173" t="s">
        <v>115</v>
      </c>
      <c r="H462" s="174">
        <v>1</v>
      </c>
      <c r="I462" s="155"/>
      <c r="L462" s="178"/>
      <c r="M462" s="177" t="s">
        <v>519</v>
      </c>
      <c r="N462" s="144" t="s">
        <v>1432</v>
      </c>
    </row>
    <row r="463" spans="1:14">
      <c r="A463" s="140" t="str">
        <f t="shared" si="7"/>
        <v>05742-00048-02</v>
      </c>
      <c r="B463" s="145" t="s">
        <v>10</v>
      </c>
      <c r="C463" s="175" t="s">
        <v>113</v>
      </c>
      <c r="D463" s="176" t="s">
        <v>1119</v>
      </c>
      <c r="E463" s="176" t="s">
        <v>1787</v>
      </c>
      <c r="F463" s="173">
        <v>55511</v>
      </c>
      <c r="G463" s="173" t="s">
        <v>115</v>
      </c>
      <c r="H463" s="174">
        <v>2</v>
      </c>
      <c r="I463" s="155" t="s">
        <v>373</v>
      </c>
      <c r="J463" s="144" t="s">
        <v>374</v>
      </c>
      <c r="K463" s="144" t="s">
        <v>375</v>
      </c>
      <c r="M463" s="177" t="s">
        <v>519</v>
      </c>
      <c r="N463" s="144" t="s">
        <v>1432</v>
      </c>
    </row>
    <row r="464" spans="1:14">
      <c r="A464" s="140" t="str">
        <f t="shared" si="7"/>
        <v>05742-00052-00</v>
      </c>
      <c r="C464" s="175" t="s">
        <v>104</v>
      </c>
      <c r="D464" s="176" t="s">
        <v>1119</v>
      </c>
      <c r="E464" s="176" t="s">
        <v>1787</v>
      </c>
      <c r="F464" s="173">
        <v>42980</v>
      </c>
      <c r="G464" s="173" t="s">
        <v>108</v>
      </c>
      <c r="H464" s="174">
        <v>0</v>
      </c>
      <c r="I464" s="155"/>
      <c r="L464" s="178" t="s">
        <v>363</v>
      </c>
      <c r="M464" s="177" t="s">
        <v>2322</v>
      </c>
      <c r="N464" s="144" t="s">
        <v>1432</v>
      </c>
    </row>
    <row r="465" spans="1:14">
      <c r="A465" s="140" t="str">
        <f t="shared" si="7"/>
        <v>05742-00052-01</v>
      </c>
      <c r="C465" s="175" t="s">
        <v>104</v>
      </c>
      <c r="D465" s="176" t="s">
        <v>1119</v>
      </c>
      <c r="E465" s="176" t="s">
        <v>1787</v>
      </c>
      <c r="F465" s="173">
        <v>43517</v>
      </c>
      <c r="G465" s="173" t="s">
        <v>108</v>
      </c>
      <c r="H465" s="174">
        <v>1</v>
      </c>
      <c r="I465" s="155"/>
      <c r="L465" s="178"/>
      <c r="M465" s="177" t="s">
        <v>515</v>
      </c>
      <c r="N465" s="144" t="s">
        <v>1432</v>
      </c>
    </row>
    <row r="466" spans="1:14">
      <c r="A466" s="140" t="str">
        <f t="shared" si="7"/>
        <v>05742-00052-02</v>
      </c>
      <c r="C466" s="175" t="s">
        <v>104</v>
      </c>
      <c r="D466" s="176" t="s">
        <v>1119</v>
      </c>
      <c r="E466" s="176" t="s">
        <v>1787</v>
      </c>
      <c r="F466" s="173">
        <v>43589</v>
      </c>
      <c r="G466" s="173" t="s">
        <v>108</v>
      </c>
      <c r="H466" s="174">
        <v>2</v>
      </c>
      <c r="I466" s="155"/>
      <c r="L466" s="178"/>
      <c r="M466" s="177" t="s">
        <v>515</v>
      </c>
      <c r="N466" s="144" t="s">
        <v>1432</v>
      </c>
    </row>
    <row r="467" spans="1:14" ht="27">
      <c r="A467" s="140" t="str">
        <f t="shared" si="7"/>
        <v>05742-00052-03</v>
      </c>
      <c r="B467" s="145" t="s">
        <v>10</v>
      </c>
      <c r="C467" s="175" t="s">
        <v>104</v>
      </c>
      <c r="D467" s="176" t="s">
        <v>1119</v>
      </c>
      <c r="E467" s="176" t="s">
        <v>1787</v>
      </c>
      <c r="F467" s="173">
        <v>55511</v>
      </c>
      <c r="G467" s="173" t="s">
        <v>108</v>
      </c>
      <c r="H467" s="174">
        <v>3</v>
      </c>
      <c r="I467" s="155" t="s">
        <v>364</v>
      </c>
      <c r="J467" s="155" t="s">
        <v>365</v>
      </c>
      <c r="K467" s="144" t="s">
        <v>47</v>
      </c>
      <c r="M467" s="177" t="s">
        <v>515</v>
      </c>
      <c r="N467" s="144" t="s">
        <v>1432</v>
      </c>
    </row>
    <row r="468" spans="1:14">
      <c r="A468" s="140" t="str">
        <f t="shared" si="7"/>
        <v>05742-00102-00</v>
      </c>
      <c r="C468" s="175" t="s">
        <v>117</v>
      </c>
      <c r="D468" s="176" t="s">
        <v>1119</v>
      </c>
      <c r="E468" s="176" t="s">
        <v>1787</v>
      </c>
      <c r="F468" s="173">
        <v>43962</v>
      </c>
      <c r="G468" s="173" t="s">
        <v>118</v>
      </c>
      <c r="H468" s="174">
        <v>0</v>
      </c>
      <c r="I468" s="155"/>
      <c r="L468" s="178" t="s">
        <v>376</v>
      </c>
      <c r="M468" s="177" t="s">
        <v>528</v>
      </c>
      <c r="N468" s="144" t="s">
        <v>1432</v>
      </c>
    </row>
    <row r="469" spans="1:14">
      <c r="A469" s="140" t="str">
        <f t="shared" si="7"/>
        <v>05742-00102-01</v>
      </c>
      <c r="C469" s="175" t="s">
        <v>117</v>
      </c>
      <c r="D469" s="176" t="s">
        <v>1119</v>
      </c>
      <c r="E469" s="176" t="s">
        <v>1787</v>
      </c>
      <c r="F469" s="173">
        <v>45671</v>
      </c>
      <c r="G469" s="173" t="s">
        <v>118</v>
      </c>
      <c r="H469" s="174">
        <v>1</v>
      </c>
      <c r="I469" s="155"/>
      <c r="L469" s="178"/>
      <c r="M469" s="177" t="s">
        <v>2323</v>
      </c>
      <c r="N469" s="144" t="s">
        <v>1432</v>
      </c>
    </row>
    <row r="470" spans="1:14">
      <c r="A470" s="140" t="str">
        <f t="shared" si="7"/>
        <v>05742-00102-02</v>
      </c>
      <c r="C470" s="175" t="s">
        <v>117</v>
      </c>
      <c r="D470" s="176" t="s">
        <v>1119</v>
      </c>
      <c r="E470" s="176" t="s">
        <v>1787</v>
      </c>
      <c r="F470" s="173">
        <v>45755</v>
      </c>
      <c r="G470" s="173" t="s">
        <v>118</v>
      </c>
      <c r="H470" s="174">
        <v>2</v>
      </c>
      <c r="I470" s="155"/>
      <c r="L470" s="178"/>
      <c r="M470" s="177" t="s">
        <v>2324</v>
      </c>
      <c r="N470" s="144" t="s">
        <v>1432</v>
      </c>
    </row>
    <row r="471" spans="1:14">
      <c r="A471" s="140" t="str">
        <f t="shared" si="7"/>
        <v>05742-00102-03</v>
      </c>
      <c r="C471" s="175" t="s">
        <v>117</v>
      </c>
      <c r="D471" s="176" t="s">
        <v>1119</v>
      </c>
      <c r="E471" s="176" t="s">
        <v>1787</v>
      </c>
      <c r="F471" s="173">
        <v>45802</v>
      </c>
      <c r="G471" s="173" t="s">
        <v>118</v>
      </c>
      <c r="H471" s="174">
        <v>3</v>
      </c>
      <c r="I471" s="155"/>
      <c r="L471" s="178"/>
      <c r="M471" s="177" t="s">
        <v>2323</v>
      </c>
      <c r="N471" s="144" t="s">
        <v>1432</v>
      </c>
    </row>
    <row r="472" spans="1:14">
      <c r="A472" s="140" t="str">
        <f t="shared" si="7"/>
        <v>05742-00102-04</v>
      </c>
      <c r="C472" s="175" t="s">
        <v>117</v>
      </c>
      <c r="D472" s="176" t="s">
        <v>1119</v>
      </c>
      <c r="E472" s="176" t="s">
        <v>1787</v>
      </c>
      <c r="F472" s="173">
        <v>50466</v>
      </c>
      <c r="G472" s="173" t="s">
        <v>118</v>
      </c>
      <c r="H472" s="174">
        <v>4</v>
      </c>
      <c r="I472" s="155"/>
      <c r="L472" s="178"/>
      <c r="M472" s="177"/>
      <c r="N472" s="144" t="s">
        <v>1432</v>
      </c>
    </row>
    <row r="473" spans="1:14">
      <c r="A473" s="140" t="str">
        <f t="shared" si="7"/>
        <v>05742-00102-05</v>
      </c>
      <c r="B473" s="145" t="s">
        <v>10</v>
      </c>
      <c r="C473" s="175" t="s">
        <v>117</v>
      </c>
      <c r="D473" s="176" t="s">
        <v>1119</v>
      </c>
      <c r="E473" s="176" t="s">
        <v>1787</v>
      </c>
      <c r="F473" s="173">
        <v>55511</v>
      </c>
      <c r="G473" s="173" t="s">
        <v>118</v>
      </c>
      <c r="H473" s="174">
        <v>5</v>
      </c>
      <c r="I473" s="155" t="s">
        <v>263</v>
      </c>
      <c r="J473" s="155" t="s">
        <v>47</v>
      </c>
      <c r="K473" s="144" t="s">
        <v>47</v>
      </c>
      <c r="M473" s="177"/>
      <c r="N473" s="144" t="s">
        <v>1432</v>
      </c>
    </row>
    <row r="474" spans="1:14" ht="27">
      <c r="A474" s="140" t="str">
        <f t="shared" si="7"/>
        <v>05742-00277-00</v>
      </c>
      <c r="C474" s="175" t="s">
        <v>119</v>
      </c>
      <c r="D474" s="176" t="s">
        <v>1119</v>
      </c>
      <c r="E474" s="176" t="s">
        <v>1787</v>
      </c>
      <c r="F474" s="173">
        <v>46309</v>
      </c>
      <c r="G474" s="173" t="s">
        <v>120</v>
      </c>
      <c r="H474" s="174">
        <v>0</v>
      </c>
      <c r="I474" s="155"/>
      <c r="J474" s="155"/>
      <c r="L474" s="180" t="s">
        <v>377</v>
      </c>
      <c r="M474" s="177" t="s">
        <v>2325</v>
      </c>
      <c r="N474" s="144" t="s">
        <v>1432</v>
      </c>
    </row>
    <row r="475" spans="1:14">
      <c r="A475" s="140" t="str">
        <f t="shared" si="7"/>
        <v>05742-00277-01</v>
      </c>
      <c r="C475" s="175" t="s">
        <v>119</v>
      </c>
      <c r="D475" s="176" t="s">
        <v>1119</v>
      </c>
      <c r="E475" s="176" t="s">
        <v>1787</v>
      </c>
      <c r="F475" s="173">
        <v>46304</v>
      </c>
      <c r="G475" s="173" t="s">
        <v>120</v>
      </c>
      <c r="H475" s="174">
        <v>1</v>
      </c>
      <c r="I475" s="155"/>
      <c r="J475" s="155"/>
      <c r="L475" s="178"/>
      <c r="M475" s="177" t="s">
        <v>2325</v>
      </c>
      <c r="N475" s="144" t="s">
        <v>1432</v>
      </c>
    </row>
    <row r="476" spans="1:14">
      <c r="A476" s="140" t="str">
        <f t="shared" si="7"/>
        <v>05742-00277-02</v>
      </c>
      <c r="C476" s="175" t="s">
        <v>119</v>
      </c>
      <c r="D476" s="176" t="s">
        <v>1119</v>
      </c>
      <c r="E476" s="176" t="s">
        <v>1787</v>
      </c>
      <c r="F476" s="173">
        <v>46989</v>
      </c>
      <c r="G476" s="173" t="s">
        <v>120</v>
      </c>
      <c r="H476" s="174">
        <v>2</v>
      </c>
      <c r="I476" s="155"/>
      <c r="J476" s="155"/>
      <c r="L476" s="178"/>
      <c r="M476" s="177" t="s">
        <v>2326</v>
      </c>
      <c r="N476" s="144" t="s">
        <v>1432</v>
      </c>
    </row>
    <row r="477" spans="1:14">
      <c r="A477" s="140" t="str">
        <f t="shared" si="7"/>
        <v>05742-00277-03</v>
      </c>
      <c r="C477" s="175" t="s">
        <v>119</v>
      </c>
      <c r="D477" s="176" t="s">
        <v>1119</v>
      </c>
      <c r="E477" s="176" t="s">
        <v>1787</v>
      </c>
      <c r="F477" s="173">
        <v>47027</v>
      </c>
      <c r="G477" s="173" t="s">
        <v>120</v>
      </c>
      <c r="H477" s="174">
        <v>3</v>
      </c>
      <c r="I477" s="155"/>
      <c r="J477" s="155"/>
      <c r="L477" s="178"/>
      <c r="M477" s="177" t="s">
        <v>2326</v>
      </c>
      <c r="N477" s="144" t="s">
        <v>1432</v>
      </c>
    </row>
    <row r="478" spans="1:14">
      <c r="A478" s="140" t="str">
        <f t="shared" si="7"/>
        <v>05742-00277-04</v>
      </c>
      <c r="C478" s="175" t="s">
        <v>119</v>
      </c>
      <c r="D478" s="176" t="s">
        <v>1119</v>
      </c>
      <c r="E478" s="176" t="s">
        <v>1787</v>
      </c>
      <c r="F478" s="173">
        <v>47136</v>
      </c>
      <c r="G478" s="173" t="s">
        <v>120</v>
      </c>
      <c r="H478" s="174">
        <v>4</v>
      </c>
      <c r="I478" s="155"/>
      <c r="J478" s="155"/>
      <c r="L478" s="178"/>
      <c r="M478" s="177" t="s">
        <v>2326</v>
      </c>
      <c r="N478" s="144" t="s">
        <v>1432</v>
      </c>
    </row>
    <row r="479" spans="1:14">
      <c r="A479" s="140" t="str">
        <f t="shared" si="7"/>
        <v>05742-00277-05</v>
      </c>
      <c r="C479" s="175" t="s">
        <v>119</v>
      </c>
      <c r="D479" s="176" t="s">
        <v>1119</v>
      </c>
      <c r="E479" s="176" t="s">
        <v>1787</v>
      </c>
      <c r="F479" s="173">
        <v>47597</v>
      </c>
      <c r="G479" s="173" t="s">
        <v>120</v>
      </c>
      <c r="H479" s="174">
        <v>5</v>
      </c>
      <c r="I479" s="155"/>
      <c r="J479" s="155"/>
      <c r="L479" s="178"/>
      <c r="M479" s="177" t="s">
        <v>2326</v>
      </c>
      <c r="N479" s="144" t="s">
        <v>1432</v>
      </c>
    </row>
    <row r="480" spans="1:14">
      <c r="A480" s="140" t="str">
        <f t="shared" si="7"/>
        <v>05742-00277-06</v>
      </c>
      <c r="C480" s="175" t="s">
        <v>119</v>
      </c>
      <c r="D480" s="176" t="s">
        <v>1119</v>
      </c>
      <c r="E480" s="176" t="s">
        <v>1787</v>
      </c>
      <c r="F480" s="173">
        <v>50466</v>
      </c>
      <c r="G480" s="173" t="s">
        <v>120</v>
      </c>
      <c r="H480" s="174">
        <v>6</v>
      </c>
      <c r="I480" s="155"/>
      <c r="J480" s="155"/>
      <c r="L480" s="178"/>
      <c r="M480" s="177"/>
      <c r="N480" s="144" t="s">
        <v>1432</v>
      </c>
    </row>
    <row r="481" spans="1:15">
      <c r="A481" s="140" t="str">
        <f t="shared" si="7"/>
        <v>05742-00277-07</v>
      </c>
      <c r="B481" s="145" t="s">
        <v>10</v>
      </c>
      <c r="C481" s="175" t="s">
        <v>119</v>
      </c>
      <c r="D481" s="176" t="s">
        <v>1119</v>
      </c>
      <c r="E481" s="176" t="s">
        <v>1787</v>
      </c>
      <c r="F481" s="173">
        <v>55511</v>
      </c>
      <c r="G481" s="173" t="s">
        <v>120</v>
      </c>
      <c r="H481" s="174">
        <v>7</v>
      </c>
      <c r="I481" s="155" t="s">
        <v>378</v>
      </c>
      <c r="J481" s="155" t="s">
        <v>47</v>
      </c>
      <c r="K481" s="144" t="s">
        <v>47</v>
      </c>
      <c r="M481" s="177"/>
      <c r="N481" s="144" t="s">
        <v>1432</v>
      </c>
    </row>
    <row r="482" spans="1:15">
      <c r="A482" s="140" t="str">
        <f t="shared" si="7"/>
        <v>05742-00277-08</v>
      </c>
      <c r="C482" s="175" t="s">
        <v>119</v>
      </c>
      <c r="D482" s="176" t="s">
        <v>1119</v>
      </c>
      <c r="E482" s="176" t="s">
        <v>1787</v>
      </c>
      <c r="F482" s="173" t="s">
        <v>1396</v>
      </c>
      <c r="G482" s="173" t="s">
        <v>120</v>
      </c>
      <c r="H482" s="174">
        <v>8</v>
      </c>
      <c r="I482" s="144" t="s">
        <v>1397</v>
      </c>
      <c r="L482" s="143" t="s">
        <v>1404</v>
      </c>
      <c r="M482" s="177"/>
      <c r="N482" s="144" t="s">
        <v>1745</v>
      </c>
    </row>
    <row r="483" spans="1:15">
      <c r="A483" s="140" t="str">
        <f t="shared" si="7"/>
        <v>05742-00306-00</v>
      </c>
      <c r="C483" s="175" t="s">
        <v>119</v>
      </c>
      <c r="D483" s="176" t="s">
        <v>1119</v>
      </c>
      <c r="E483" s="176" t="s">
        <v>1787</v>
      </c>
      <c r="F483" s="173">
        <v>47644</v>
      </c>
      <c r="G483" s="173" t="s">
        <v>121</v>
      </c>
      <c r="H483" s="174">
        <v>0</v>
      </c>
      <c r="I483" s="155"/>
      <c r="J483" s="155"/>
      <c r="L483" s="180" t="s">
        <v>122</v>
      </c>
      <c r="M483" s="177" t="s">
        <v>2326</v>
      </c>
      <c r="N483" s="144" t="s">
        <v>1432</v>
      </c>
    </row>
    <row r="484" spans="1:15">
      <c r="A484" s="140" t="str">
        <f t="shared" si="7"/>
        <v>05742-00306-01</v>
      </c>
      <c r="C484" s="175" t="s">
        <v>119</v>
      </c>
      <c r="D484" s="176" t="s">
        <v>1119</v>
      </c>
      <c r="E484" s="176" t="s">
        <v>1787</v>
      </c>
      <c r="F484" s="173">
        <v>48255</v>
      </c>
      <c r="G484" s="173" t="s">
        <v>121</v>
      </c>
      <c r="H484" s="174">
        <v>1</v>
      </c>
      <c r="I484" s="155"/>
      <c r="J484" s="155"/>
      <c r="L484" s="180"/>
      <c r="M484" s="177" t="s">
        <v>2326</v>
      </c>
      <c r="N484" s="144" t="s">
        <v>1432</v>
      </c>
      <c r="O484" s="150"/>
    </row>
    <row r="485" spans="1:15">
      <c r="A485" s="140" t="str">
        <f t="shared" si="7"/>
        <v>05742-00306-02</v>
      </c>
      <c r="C485" s="175" t="s">
        <v>119</v>
      </c>
      <c r="D485" s="176" t="s">
        <v>1119</v>
      </c>
      <c r="E485" s="176" t="s">
        <v>1787</v>
      </c>
      <c r="F485" s="173">
        <v>50466</v>
      </c>
      <c r="G485" s="173" t="s">
        <v>121</v>
      </c>
      <c r="H485" s="174">
        <v>2</v>
      </c>
      <c r="I485" s="155"/>
      <c r="J485" s="155"/>
      <c r="L485" s="180"/>
      <c r="M485" s="177"/>
      <c r="N485" s="144" t="s">
        <v>1432</v>
      </c>
    </row>
    <row r="486" spans="1:15">
      <c r="A486" s="140" t="str">
        <f t="shared" si="7"/>
        <v>05742-00306-03</v>
      </c>
      <c r="B486" s="145" t="s">
        <v>10</v>
      </c>
      <c r="C486" s="175" t="s">
        <v>119</v>
      </c>
      <c r="D486" s="176" t="s">
        <v>1119</v>
      </c>
      <c r="E486" s="176" t="s">
        <v>1787</v>
      </c>
      <c r="F486" s="173">
        <v>55511</v>
      </c>
      <c r="G486" s="173" t="s">
        <v>121</v>
      </c>
      <c r="H486" s="174">
        <v>3</v>
      </c>
      <c r="I486" s="155" t="s">
        <v>266</v>
      </c>
      <c r="J486" s="155" t="s">
        <v>47</v>
      </c>
      <c r="K486" s="144" t="s">
        <v>47</v>
      </c>
      <c r="M486" s="177"/>
      <c r="N486" s="144" t="s">
        <v>1432</v>
      </c>
    </row>
    <row r="487" spans="1:15">
      <c r="A487" s="140" t="str">
        <f t="shared" si="7"/>
        <v>05742-00306-04</v>
      </c>
      <c r="C487" s="175" t="s">
        <v>119</v>
      </c>
      <c r="D487" s="176" t="s">
        <v>1119</v>
      </c>
      <c r="E487" s="176" t="s">
        <v>1787</v>
      </c>
      <c r="F487" s="173" t="s">
        <v>1396</v>
      </c>
      <c r="G487" s="173" t="s">
        <v>121</v>
      </c>
      <c r="H487" s="174">
        <v>4</v>
      </c>
      <c r="I487" s="144" t="s">
        <v>1398</v>
      </c>
      <c r="L487" s="143" t="s">
        <v>1404</v>
      </c>
      <c r="M487" s="177"/>
      <c r="N487" s="144" t="s">
        <v>1745</v>
      </c>
    </row>
    <row r="488" spans="1:15">
      <c r="A488" s="140" t="str">
        <f t="shared" si="7"/>
        <v>05742-00323-00</v>
      </c>
      <c r="C488" s="175" t="s">
        <v>119</v>
      </c>
      <c r="D488" s="176" t="s">
        <v>1119</v>
      </c>
      <c r="E488" s="176" t="s">
        <v>1787</v>
      </c>
      <c r="F488" s="173">
        <v>48495</v>
      </c>
      <c r="G488" s="173" t="s">
        <v>123</v>
      </c>
      <c r="H488" s="174">
        <v>0</v>
      </c>
      <c r="I488" s="155"/>
      <c r="J488" s="155"/>
      <c r="L488" s="180" t="s">
        <v>124</v>
      </c>
      <c r="M488" s="177" t="s">
        <v>2326</v>
      </c>
      <c r="N488" s="144" t="s">
        <v>1432</v>
      </c>
    </row>
    <row r="489" spans="1:15">
      <c r="A489" s="140" t="str">
        <f t="shared" si="7"/>
        <v>05742-00323-01</v>
      </c>
      <c r="C489" s="175" t="s">
        <v>119</v>
      </c>
      <c r="D489" s="176" t="s">
        <v>1119</v>
      </c>
      <c r="E489" s="176" t="s">
        <v>1787</v>
      </c>
      <c r="F489" s="173">
        <v>48542</v>
      </c>
      <c r="G489" s="173" t="s">
        <v>123</v>
      </c>
      <c r="H489" s="174">
        <v>1</v>
      </c>
      <c r="I489" s="155"/>
      <c r="J489" s="155"/>
      <c r="L489" s="180"/>
      <c r="M489" s="177" t="s">
        <v>2326</v>
      </c>
      <c r="N489" s="144" t="s">
        <v>1432</v>
      </c>
    </row>
    <row r="490" spans="1:15">
      <c r="A490" s="140" t="str">
        <f t="shared" si="7"/>
        <v>05742-00323-02</v>
      </c>
      <c r="C490" s="175" t="s">
        <v>119</v>
      </c>
      <c r="D490" s="176" t="s">
        <v>1119</v>
      </c>
      <c r="E490" s="176" t="s">
        <v>1787</v>
      </c>
      <c r="F490" s="173">
        <v>48606</v>
      </c>
      <c r="G490" s="173" t="s">
        <v>123</v>
      </c>
      <c r="H490" s="174">
        <v>2</v>
      </c>
      <c r="I490" s="155"/>
      <c r="J490" s="155"/>
      <c r="L490" s="180"/>
      <c r="M490" s="177"/>
      <c r="N490" s="144" t="s">
        <v>1432</v>
      </c>
    </row>
    <row r="491" spans="1:15">
      <c r="A491" s="140" t="str">
        <f t="shared" si="7"/>
        <v>05742-00323-03</v>
      </c>
      <c r="C491" s="175" t="s">
        <v>119</v>
      </c>
      <c r="D491" s="176" t="s">
        <v>1119</v>
      </c>
      <c r="E491" s="176" t="s">
        <v>1787</v>
      </c>
      <c r="F491" s="173">
        <v>50466</v>
      </c>
      <c r="G491" s="173" t="s">
        <v>123</v>
      </c>
      <c r="H491" s="174">
        <v>3</v>
      </c>
      <c r="I491" s="155"/>
      <c r="J491" s="155"/>
      <c r="L491" s="180"/>
      <c r="M491" s="177"/>
      <c r="N491" s="144" t="s">
        <v>1432</v>
      </c>
    </row>
    <row r="492" spans="1:15">
      <c r="A492" s="140" t="str">
        <f t="shared" si="7"/>
        <v>05742-00323-04</v>
      </c>
      <c r="B492" s="145" t="s">
        <v>10</v>
      </c>
      <c r="C492" s="175" t="s">
        <v>119</v>
      </c>
      <c r="D492" s="176" t="s">
        <v>1119</v>
      </c>
      <c r="E492" s="176" t="s">
        <v>1787</v>
      </c>
      <c r="F492" s="173">
        <v>55511</v>
      </c>
      <c r="G492" s="173" t="s">
        <v>123</v>
      </c>
      <c r="H492" s="174">
        <v>4</v>
      </c>
      <c r="I492" s="155" t="s">
        <v>379</v>
      </c>
      <c r="J492" s="155" t="s">
        <v>47</v>
      </c>
      <c r="K492" s="144" t="s">
        <v>47</v>
      </c>
      <c r="M492" s="177"/>
      <c r="N492" s="144" t="s">
        <v>1432</v>
      </c>
    </row>
    <row r="493" spans="1:15">
      <c r="A493" s="140" t="str">
        <f t="shared" si="7"/>
        <v>05742-00323-05</v>
      </c>
      <c r="C493" s="175" t="s">
        <v>119</v>
      </c>
      <c r="D493" s="176" t="s">
        <v>1119</v>
      </c>
      <c r="E493" s="176" t="s">
        <v>1787</v>
      </c>
      <c r="F493" s="173">
        <v>62927</v>
      </c>
      <c r="G493" s="173" t="s">
        <v>123</v>
      </c>
      <c r="H493" s="174">
        <v>5</v>
      </c>
      <c r="I493" s="155" t="s">
        <v>1820</v>
      </c>
      <c r="L493" s="143" t="s">
        <v>1104</v>
      </c>
      <c r="M493" s="177"/>
      <c r="N493" s="144" t="s">
        <v>1432</v>
      </c>
    </row>
    <row r="494" spans="1:15">
      <c r="A494" s="140" t="str">
        <f t="shared" si="7"/>
        <v>05742-00323-06</v>
      </c>
      <c r="C494" s="175" t="s">
        <v>119</v>
      </c>
      <c r="D494" s="176" t="s">
        <v>1119</v>
      </c>
      <c r="E494" s="176" t="s">
        <v>1787</v>
      </c>
      <c r="F494" s="173">
        <v>63315</v>
      </c>
      <c r="G494" s="173" t="s">
        <v>1235</v>
      </c>
      <c r="H494" s="174">
        <v>6</v>
      </c>
      <c r="I494" s="144" t="s">
        <v>1252</v>
      </c>
      <c r="L494" s="143" t="s">
        <v>1253</v>
      </c>
      <c r="M494" s="177"/>
      <c r="N494" s="144" t="s">
        <v>1432</v>
      </c>
    </row>
    <row r="495" spans="1:15">
      <c r="A495" s="140" t="str">
        <f t="shared" si="7"/>
        <v>05742-00323-07</v>
      </c>
      <c r="C495" s="175" t="s">
        <v>119</v>
      </c>
      <c r="D495" s="176" t="s">
        <v>1119</v>
      </c>
      <c r="E495" s="176" t="s">
        <v>1787</v>
      </c>
      <c r="F495" s="173" t="s">
        <v>1396</v>
      </c>
      <c r="G495" s="173" t="s">
        <v>123</v>
      </c>
      <c r="H495" s="174">
        <v>7</v>
      </c>
      <c r="I495" s="144" t="s">
        <v>1399</v>
      </c>
      <c r="L495" s="143" t="s">
        <v>1404</v>
      </c>
      <c r="M495" s="177"/>
      <c r="N495" s="144" t="s">
        <v>1745</v>
      </c>
    </row>
    <row r="496" spans="1:15">
      <c r="A496" s="140" t="str">
        <f t="shared" si="7"/>
        <v>05742-00334-00</v>
      </c>
      <c r="C496" s="175" t="s">
        <v>119</v>
      </c>
      <c r="D496" s="176" t="s">
        <v>1119</v>
      </c>
      <c r="E496" s="176" t="s">
        <v>1787</v>
      </c>
      <c r="F496" s="173">
        <v>48593</v>
      </c>
      <c r="G496" s="173" t="s">
        <v>125</v>
      </c>
      <c r="H496" s="174">
        <v>0</v>
      </c>
      <c r="I496" s="155"/>
      <c r="J496" s="155"/>
      <c r="L496" s="180" t="s">
        <v>124</v>
      </c>
      <c r="M496" s="177" t="s">
        <v>2326</v>
      </c>
      <c r="N496" s="144" t="s">
        <v>1432</v>
      </c>
    </row>
    <row r="497" spans="1:15">
      <c r="A497" s="140" t="str">
        <f t="shared" si="7"/>
        <v>05742-00334-01</v>
      </c>
      <c r="C497" s="175" t="s">
        <v>119</v>
      </c>
      <c r="D497" s="176" t="s">
        <v>1119</v>
      </c>
      <c r="E497" s="176" t="s">
        <v>1787</v>
      </c>
      <c r="F497" s="173">
        <v>49172</v>
      </c>
      <c r="G497" s="173" t="s">
        <v>125</v>
      </c>
      <c r="H497" s="174">
        <v>1</v>
      </c>
      <c r="I497" s="155"/>
      <c r="J497" s="155"/>
      <c r="L497" s="180"/>
      <c r="M497" s="177" t="s">
        <v>2326</v>
      </c>
      <c r="N497" s="144" t="s">
        <v>1432</v>
      </c>
    </row>
    <row r="498" spans="1:15">
      <c r="A498" s="140" t="str">
        <f t="shared" si="7"/>
        <v>05742-00334-02</v>
      </c>
      <c r="C498" s="175" t="s">
        <v>119</v>
      </c>
      <c r="D498" s="176" t="s">
        <v>1119</v>
      </c>
      <c r="E498" s="176" t="s">
        <v>1787</v>
      </c>
      <c r="F498" s="173">
        <v>50466</v>
      </c>
      <c r="G498" s="173" t="s">
        <v>125</v>
      </c>
      <c r="H498" s="174">
        <v>2</v>
      </c>
      <c r="I498" s="155"/>
      <c r="J498" s="155"/>
      <c r="L498" s="180"/>
      <c r="M498" s="177"/>
      <c r="N498" s="144" t="s">
        <v>1432</v>
      </c>
    </row>
    <row r="499" spans="1:15">
      <c r="A499" s="140" t="str">
        <f t="shared" si="7"/>
        <v>05742-00334-03</v>
      </c>
      <c r="B499" s="145" t="s">
        <v>10</v>
      </c>
      <c r="C499" s="175" t="s">
        <v>119</v>
      </c>
      <c r="D499" s="176" t="s">
        <v>1119</v>
      </c>
      <c r="E499" s="176" t="s">
        <v>1787</v>
      </c>
      <c r="F499" s="173">
        <v>55511</v>
      </c>
      <c r="G499" s="173" t="s">
        <v>125</v>
      </c>
      <c r="H499" s="174">
        <v>3</v>
      </c>
      <c r="I499" s="155" t="s">
        <v>380</v>
      </c>
      <c r="J499" s="155" t="s">
        <v>47</v>
      </c>
      <c r="K499" s="144" t="s">
        <v>47</v>
      </c>
      <c r="M499" s="177"/>
      <c r="N499" s="144" t="s">
        <v>1432</v>
      </c>
    </row>
    <row r="500" spans="1:15">
      <c r="A500" s="140" t="str">
        <f t="shared" si="7"/>
        <v>05742-00334-04</v>
      </c>
      <c r="C500" s="175" t="s">
        <v>119</v>
      </c>
      <c r="D500" s="176" t="s">
        <v>1119</v>
      </c>
      <c r="E500" s="176" t="s">
        <v>1787</v>
      </c>
      <c r="F500" s="173">
        <v>62927</v>
      </c>
      <c r="G500" s="173" t="s">
        <v>125</v>
      </c>
      <c r="H500" s="174">
        <v>4</v>
      </c>
      <c r="I500" s="155" t="s">
        <v>1821</v>
      </c>
      <c r="L500" s="143" t="s">
        <v>1104</v>
      </c>
      <c r="M500" s="177"/>
      <c r="N500" s="144" t="s">
        <v>1432</v>
      </c>
    </row>
    <row r="501" spans="1:15">
      <c r="A501" s="140" t="str">
        <f t="shared" si="7"/>
        <v>05742-00334-05</v>
      </c>
      <c r="C501" s="175" t="s">
        <v>119</v>
      </c>
      <c r="D501" s="176" t="s">
        <v>1119</v>
      </c>
      <c r="E501" s="176" t="s">
        <v>1787</v>
      </c>
      <c r="F501" s="173">
        <v>63315</v>
      </c>
      <c r="G501" s="173" t="s">
        <v>1234</v>
      </c>
      <c r="H501" s="174">
        <v>5</v>
      </c>
      <c r="I501" s="144" t="s">
        <v>1251</v>
      </c>
      <c r="L501" s="143" t="s">
        <v>1253</v>
      </c>
      <c r="M501" s="177"/>
      <c r="N501" s="144" t="s">
        <v>1432</v>
      </c>
    </row>
    <row r="502" spans="1:15">
      <c r="A502" s="140" t="str">
        <f t="shared" si="7"/>
        <v>05742-00334-06</v>
      </c>
      <c r="C502" s="175" t="s">
        <v>119</v>
      </c>
      <c r="D502" s="176" t="s">
        <v>1119</v>
      </c>
      <c r="E502" s="176" t="s">
        <v>1787</v>
      </c>
      <c r="F502" s="173" t="s">
        <v>1396</v>
      </c>
      <c r="G502" s="173" t="s">
        <v>125</v>
      </c>
      <c r="H502" s="174">
        <v>6</v>
      </c>
      <c r="I502" s="144" t="s">
        <v>1400</v>
      </c>
      <c r="L502" s="143" t="s">
        <v>1404</v>
      </c>
      <c r="M502" s="177"/>
      <c r="N502" s="144" t="s">
        <v>1745</v>
      </c>
    </row>
    <row r="503" spans="1:15">
      <c r="A503" s="140" t="str">
        <f t="shared" si="7"/>
        <v>05742-00335-00</v>
      </c>
      <c r="C503" s="175" t="s">
        <v>119</v>
      </c>
      <c r="D503" s="176" t="s">
        <v>1119</v>
      </c>
      <c r="E503" s="176" t="s">
        <v>1787</v>
      </c>
      <c r="F503" s="173">
        <v>49487</v>
      </c>
      <c r="G503" s="173" t="s">
        <v>126</v>
      </c>
      <c r="H503" s="174">
        <v>0</v>
      </c>
      <c r="I503" s="155"/>
      <c r="J503" s="155"/>
      <c r="L503" s="180" t="s">
        <v>381</v>
      </c>
      <c r="M503" s="177" t="s">
        <v>2326</v>
      </c>
      <c r="N503" s="144" t="s">
        <v>1432</v>
      </c>
    </row>
    <row r="504" spans="1:15">
      <c r="A504" s="140" t="str">
        <f t="shared" si="7"/>
        <v>05742-00335-01</v>
      </c>
      <c r="C504" s="175" t="s">
        <v>119</v>
      </c>
      <c r="D504" s="176" t="s">
        <v>1119</v>
      </c>
      <c r="E504" s="176" t="s">
        <v>1787</v>
      </c>
      <c r="F504" s="173">
        <v>50075</v>
      </c>
      <c r="G504" s="173" t="s">
        <v>126</v>
      </c>
      <c r="H504" s="174">
        <v>1</v>
      </c>
      <c r="I504" s="155"/>
      <c r="J504" s="155"/>
      <c r="L504" s="180"/>
      <c r="M504" s="177" t="s">
        <v>2327</v>
      </c>
      <c r="N504" s="144" t="s">
        <v>1432</v>
      </c>
    </row>
    <row r="505" spans="1:15">
      <c r="A505" s="140" t="str">
        <f t="shared" si="7"/>
        <v>05742-00335-02</v>
      </c>
      <c r="C505" s="175" t="s">
        <v>119</v>
      </c>
      <c r="D505" s="176" t="s">
        <v>1119</v>
      </c>
      <c r="E505" s="176" t="s">
        <v>1787</v>
      </c>
      <c r="F505" s="173">
        <v>50466</v>
      </c>
      <c r="G505" s="173" t="s">
        <v>126</v>
      </c>
      <c r="H505" s="174">
        <v>2</v>
      </c>
      <c r="I505" s="155"/>
      <c r="J505" s="155"/>
      <c r="L505" s="180"/>
      <c r="M505" s="177"/>
      <c r="N505" s="144" t="s">
        <v>1432</v>
      </c>
    </row>
    <row r="506" spans="1:15">
      <c r="A506" s="140" t="str">
        <f t="shared" si="7"/>
        <v>05742-00335-03</v>
      </c>
      <c r="B506" s="145" t="s">
        <v>10</v>
      </c>
      <c r="C506" s="175" t="s">
        <v>119</v>
      </c>
      <c r="D506" s="176" t="s">
        <v>1119</v>
      </c>
      <c r="E506" s="176" t="s">
        <v>1787</v>
      </c>
      <c r="F506" s="173">
        <v>55511</v>
      </c>
      <c r="G506" s="173" t="s">
        <v>126</v>
      </c>
      <c r="H506" s="174">
        <v>3</v>
      </c>
      <c r="I506" s="155" t="s">
        <v>382</v>
      </c>
      <c r="J506" s="155" t="s">
        <v>47</v>
      </c>
      <c r="K506" s="144" t="s">
        <v>47</v>
      </c>
      <c r="M506" s="177"/>
      <c r="N506" s="144" t="s">
        <v>1432</v>
      </c>
    </row>
    <row r="507" spans="1:15">
      <c r="A507" s="140" t="str">
        <f t="shared" si="7"/>
        <v>05742-00335-04</v>
      </c>
      <c r="C507" s="175" t="s">
        <v>119</v>
      </c>
      <c r="D507" s="176" t="s">
        <v>1119</v>
      </c>
      <c r="E507" s="176" t="s">
        <v>1787</v>
      </c>
      <c r="F507" s="173">
        <v>62927</v>
      </c>
      <c r="G507" s="173" t="s">
        <v>126</v>
      </c>
      <c r="H507" s="174">
        <v>4</v>
      </c>
      <c r="I507" s="155" t="s">
        <v>1822</v>
      </c>
      <c r="L507" s="143" t="s">
        <v>1104</v>
      </c>
      <c r="M507" s="177"/>
      <c r="N507" s="144" t="s">
        <v>1432</v>
      </c>
    </row>
    <row r="508" spans="1:15">
      <c r="A508" s="140" t="str">
        <f t="shared" si="7"/>
        <v>05742-00335-05</v>
      </c>
      <c r="C508" s="175" t="s">
        <v>119</v>
      </c>
      <c r="D508" s="176" t="s">
        <v>1119</v>
      </c>
      <c r="E508" s="176" t="s">
        <v>1787</v>
      </c>
      <c r="F508" s="173">
        <v>63315</v>
      </c>
      <c r="G508" s="173" t="s">
        <v>1233</v>
      </c>
      <c r="H508" s="174">
        <v>5</v>
      </c>
      <c r="I508" s="144" t="s">
        <v>1248</v>
      </c>
      <c r="L508" s="143" t="s">
        <v>1253</v>
      </c>
      <c r="M508" s="177"/>
      <c r="N508" s="144" t="s">
        <v>1432</v>
      </c>
    </row>
    <row r="509" spans="1:15">
      <c r="A509" s="140" t="str">
        <f t="shared" si="7"/>
        <v>05742-00335-06</v>
      </c>
      <c r="C509" s="175" t="s">
        <v>119</v>
      </c>
      <c r="D509" s="176" t="s">
        <v>1119</v>
      </c>
      <c r="E509" s="176" t="s">
        <v>1787</v>
      </c>
      <c r="F509" s="173" t="s">
        <v>1396</v>
      </c>
      <c r="G509" s="173" t="s">
        <v>126</v>
      </c>
      <c r="H509" s="174">
        <v>6</v>
      </c>
      <c r="I509" s="144" t="s">
        <v>1401</v>
      </c>
      <c r="L509" s="143" t="s">
        <v>1404</v>
      </c>
      <c r="M509" s="177"/>
      <c r="N509" s="144" t="s">
        <v>47</v>
      </c>
    </row>
    <row r="510" spans="1:15">
      <c r="A510" s="140" t="str">
        <f t="shared" si="7"/>
        <v>05742-00359-00</v>
      </c>
      <c r="C510" s="175" t="s">
        <v>119</v>
      </c>
      <c r="D510" s="176" t="s">
        <v>1119</v>
      </c>
      <c r="E510" s="176" t="s">
        <v>1787</v>
      </c>
      <c r="F510" s="173">
        <v>51075</v>
      </c>
      <c r="G510" s="173" t="s">
        <v>128</v>
      </c>
      <c r="H510" s="174">
        <v>0</v>
      </c>
      <c r="I510" s="155"/>
      <c r="J510" s="155"/>
      <c r="L510" s="180" t="s">
        <v>76</v>
      </c>
      <c r="M510" s="177" t="s">
        <v>2326</v>
      </c>
      <c r="N510" s="144" t="s">
        <v>1432</v>
      </c>
      <c r="O510" s="150"/>
    </row>
    <row r="511" spans="1:15">
      <c r="A511" s="140" t="str">
        <f t="shared" si="7"/>
        <v>05742-00359-01</v>
      </c>
      <c r="C511" s="175" t="s">
        <v>119</v>
      </c>
      <c r="D511" s="176" t="s">
        <v>1119</v>
      </c>
      <c r="E511" s="176" t="s">
        <v>1787</v>
      </c>
      <c r="F511" s="173">
        <v>51708</v>
      </c>
      <c r="G511" s="173" t="s">
        <v>128</v>
      </c>
      <c r="H511" s="174">
        <v>1</v>
      </c>
      <c r="I511" s="155"/>
      <c r="J511" s="155"/>
      <c r="L511" s="180"/>
      <c r="M511" s="177" t="s">
        <v>2325</v>
      </c>
      <c r="N511" s="144" t="s">
        <v>1432</v>
      </c>
    </row>
    <row r="512" spans="1:15">
      <c r="A512" s="140" t="str">
        <f t="shared" si="7"/>
        <v>05742-00359-02</v>
      </c>
      <c r="C512" s="175" t="s">
        <v>119</v>
      </c>
      <c r="D512" s="176" t="s">
        <v>1119</v>
      </c>
      <c r="E512" s="176" t="s">
        <v>1787</v>
      </c>
      <c r="F512" s="173">
        <v>52310</v>
      </c>
      <c r="G512" s="173" t="s">
        <v>128</v>
      </c>
      <c r="H512" s="174">
        <v>2</v>
      </c>
      <c r="I512" s="155"/>
      <c r="J512" s="155"/>
      <c r="L512" s="180"/>
      <c r="M512" s="177" t="s">
        <v>2328</v>
      </c>
      <c r="N512" s="144" t="s">
        <v>1432</v>
      </c>
      <c r="O512" s="150"/>
    </row>
    <row r="513" spans="1:14">
      <c r="A513" s="140" t="str">
        <f t="shared" si="7"/>
        <v>05742-00359-03</v>
      </c>
      <c r="C513" s="175" t="s">
        <v>119</v>
      </c>
      <c r="D513" s="176" t="s">
        <v>1119</v>
      </c>
      <c r="E513" s="176" t="s">
        <v>1787</v>
      </c>
      <c r="F513" s="173">
        <v>52606</v>
      </c>
      <c r="G513" s="173" t="s">
        <v>128</v>
      </c>
      <c r="H513" s="174">
        <v>3</v>
      </c>
      <c r="I513" s="155"/>
      <c r="J513" s="155"/>
      <c r="L513" s="180"/>
      <c r="M513" s="177" t="s">
        <v>2328</v>
      </c>
      <c r="N513" s="144" t="s">
        <v>1432</v>
      </c>
    </row>
    <row r="514" spans="1:14">
      <c r="A514" s="140" t="str">
        <f t="shared" ref="A514:A577" si="8">G514&amp;"-"&amp;TEXT(H514,"00")</f>
        <v>05742-00359-04</v>
      </c>
      <c r="C514" s="175" t="s">
        <v>119</v>
      </c>
      <c r="D514" s="176" t="s">
        <v>1119</v>
      </c>
      <c r="E514" s="176" t="s">
        <v>1787</v>
      </c>
      <c r="F514" s="173">
        <v>53229</v>
      </c>
      <c r="G514" s="173" t="s">
        <v>128</v>
      </c>
      <c r="H514" s="174">
        <v>4</v>
      </c>
      <c r="I514" s="155"/>
      <c r="J514" s="155"/>
      <c r="L514" s="180"/>
      <c r="M514" s="177" t="s">
        <v>2328</v>
      </c>
      <c r="N514" s="144" t="s">
        <v>1432</v>
      </c>
    </row>
    <row r="515" spans="1:14">
      <c r="A515" s="140" t="str">
        <f t="shared" si="8"/>
        <v>05742-00359-05</v>
      </c>
      <c r="C515" s="175" t="s">
        <v>119</v>
      </c>
      <c r="D515" s="176" t="s">
        <v>1119</v>
      </c>
      <c r="E515" s="176" t="s">
        <v>1787</v>
      </c>
      <c r="F515" s="173">
        <v>53853</v>
      </c>
      <c r="G515" s="173" t="s">
        <v>128</v>
      </c>
      <c r="H515" s="174">
        <v>5</v>
      </c>
      <c r="I515" s="155" t="s">
        <v>1222</v>
      </c>
      <c r="J515" s="155"/>
      <c r="L515" s="180"/>
      <c r="M515" s="177" t="s">
        <v>2326</v>
      </c>
      <c r="N515" s="144" t="s">
        <v>1432</v>
      </c>
    </row>
    <row r="516" spans="1:14">
      <c r="A516" s="140" t="str">
        <f t="shared" si="8"/>
        <v>05742-00359-06</v>
      </c>
      <c r="C516" s="175" t="s">
        <v>119</v>
      </c>
      <c r="D516" s="176" t="s">
        <v>1119</v>
      </c>
      <c r="E516" s="176" t="s">
        <v>1787</v>
      </c>
      <c r="F516" s="173">
        <v>55201</v>
      </c>
      <c r="G516" s="173" t="s">
        <v>128</v>
      </c>
      <c r="H516" s="174">
        <v>6</v>
      </c>
      <c r="I516" s="155"/>
      <c r="J516" s="155"/>
      <c r="L516" s="180"/>
      <c r="M516" s="177" t="s">
        <v>2326</v>
      </c>
      <c r="N516" s="144" t="s">
        <v>1432</v>
      </c>
    </row>
    <row r="517" spans="1:14">
      <c r="A517" s="140" t="str">
        <f t="shared" si="8"/>
        <v>05742-00359-07</v>
      </c>
      <c r="B517" s="145" t="s">
        <v>10</v>
      </c>
      <c r="C517" s="175" t="s">
        <v>119</v>
      </c>
      <c r="D517" s="176" t="s">
        <v>1119</v>
      </c>
      <c r="E517" s="176" t="s">
        <v>1787</v>
      </c>
      <c r="F517" s="173">
        <v>60031</v>
      </c>
      <c r="G517" s="173" t="s">
        <v>128</v>
      </c>
      <c r="H517" s="174">
        <v>7</v>
      </c>
      <c r="I517" s="155" t="s">
        <v>383</v>
      </c>
      <c r="J517" s="155"/>
      <c r="M517" s="177" t="s">
        <v>2326</v>
      </c>
      <c r="N517" s="144" t="s">
        <v>1432</v>
      </c>
    </row>
    <row r="518" spans="1:14">
      <c r="A518" s="140" t="str">
        <f t="shared" si="8"/>
        <v>05742-00359-08</v>
      </c>
      <c r="C518" s="175" t="s">
        <v>119</v>
      </c>
      <c r="D518" s="176" t="s">
        <v>1119</v>
      </c>
      <c r="E518" s="176" t="s">
        <v>1787</v>
      </c>
      <c r="F518" s="173">
        <v>62927</v>
      </c>
      <c r="G518" s="173" t="s">
        <v>128</v>
      </c>
      <c r="H518" s="174">
        <v>8</v>
      </c>
      <c r="I518" s="155" t="s">
        <v>1823</v>
      </c>
      <c r="L518" s="143" t="s">
        <v>1104</v>
      </c>
      <c r="M518" s="177"/>
      <c r="N518" s="144" t="s">
        <v>1432</v>
      </c>
    </row>
    <row r="519" spans="1:14">
      <c r="A519" s="140" t="str">
        <f t="shared" si="8"/>
        <v>05742-00359-09</v>
      </c>
      <c r="C519" s="175" t="s">
        <v>119</v>
      </c>
      <c r="D519" s="176" t="s">
        <v>1119</v>
      </c>
      <c r="E519" s="176" t="s">
        <v>1787</v>
      </c>
      <c r="F519" s="173">
        <v>63315</v>
      </c>
      <c r="G519" s="173" t="s">
        <v>128</v>
      </c>
      <c r="H519" s="174">
        <v>9</v>
      </c>
      <c r="I519" s="144" t="s">
        <v>1250</v>
      </c>
      <c r="L519" s="143" t="s">
        <v>1253</v>
      </c>
      <c r="M519" s="177"/>
      <c r="N519" s="144" t="s">
        <v>1432</v>
      </c>
    </row>
    <row r="520" spans="1:14">
      <c r="A520" s="140" t="str">
        <f t="shared" si="8"/>
        <v>05742-00359-10</v>
      </c>
      <c r="C520" s="175" t="s">
        <v>119</v>
      </c>
      <c r="D520" s="176" t="s">
        <v>1119</v>
      </c>
      <c r="E520" s="176" t="s">
        <v>1787</v>
      </c>
      <c r="F520" s="173" t="s">
        <v>1396</v>
      </c>
      <c r="G520" s="173" t="s">
        <v>128</v>
      </c>
      <c r="H520" s="174">
        <v>10</v>
      </c>
      <c r="I520" s="144" t="s">
        <v>1402</v>
      </c>
      <c r="L520" s="143" t="s">
        <v>1404</v>
      </c>
      <c r="M520" s="177"/>
      <c r="N520" s="144" t="s">
        <v>1745</v>
      </c>
    </row>
    <row r="521" spans="1:14">
      <c r="A521" s="140" t="str">
        <f t="shared" si="8"/>
        <v>05742-00550-00</v>
      </c>
      <c r="C521" s="175" t="s">
        <v>1133</v>
      </c>
      <c r="D521" s="176" t="s">
        <v>1119</v>
      </c>
      <c r="E521" s="176" t="s">
        <v>1787</v>
      </c>
      <c r="F521" s="173">
        <v>54684</v>
      </c>
      <c r="G521" s="173" t="s">
        <v>1144</v>
      </c>
      <c r="H521" s="174">
        <v>0</v>
      </c>
      <c r="I521" s="144" t="s">
        <v>47</v>
      </c>
      <c r="L521" s="143" t="s">
        <v>1146</v>
      </c>
      <c r="M521" s="177"/>
      <c r="N521" s="144" t="s">
        <v>1432</v>
      </c>
    </row>
    <row r="522" spans="1:14">
      <c r="A522" s="140" t="str">
        <f t="shared" si="8"/>
        <v>05742-00550-01</v>
      </c>
      <c r="C522" s="175" t="s">
        <v>1133</v>
      </c>
      <c r="D522" s="176" t="s">
        <v>1119</v>
      </c>
      <c r="E522" s="176" t="s">
        <v>1787</v>
      </c>
      <c r="F522" s="173">
        <v>63460</v>
      </c>
      <c r="G522" s="173" t="s">
        <v>1144</v>
      </c>
      <c r="H522" s="174">
        <v>1</v>
      </c>
      <c r="I522" s="144" t="s">
        <v>1134</v>
      </c>
      <c r="L522" s="143" t="s">
        <v>1137</v>
      </c>
      <c r="M522" s="177"/>
      <c r="N522" s="144" t="s">
        <v>1432</v>
      </c>
    </row>
    <row r="523" spans="1:14">
      <c r="A523" s="140" t="str">
        <f t="shared" si="8"/>
        <v>05742-00550-02</v>
      </c>
      <c r="C523" s="175" t="s">
        <v>1133</v>
      </c>
      <c r="D523" s="176" t="s">
        <v>1119</v>
      </c>
      <c r="E523" s="176" t="s">
        <v>1787</v>
      </c>
      <c r="F523" s="173" t="s">
        <v>1556</v>
      </c>
      <c r="G523" s="173" t="s">
        <v>1555</v>
      </c>
      <c r="H523" s="174">
        <v>2</v>
      </c>
      <c r="I523" s="144" t="s">
        <v>1557</v>
      </c>
      <c r="L523" s="143" t="s">
        <v>1558</v>
      </c>
      <c r="M523" s="177" t="s">
        <v>1856</v>
      </c>
      <c r="N523" s="144" t="s">
        <v>47</v>
      </c>
    </row>
    <row r="524" spans="1:14">
      <c r="A524" s="140" t="str">
        <f t="shared" si="8"/>
        <v>05742-00550-03</v>
      </c>
      <c r="C524" s="175" t="s">
        <v>1133</v>
      </c>
      <c r="D524" s="176" t="s">
        <v>1119</v>
      </c>
      <c r="E524" s="176" t="s">
        <v>1787</v>
      </c>
      <c r="F524" s="173" t="s">
        <v>1770</v>
      </c>
      <c r="G524" s="173" t="s">
        <v>1144</v>
      </c>
      <c r="H524" s="174">
        <v>3</v>
      </c>
      <c r="I524" s="144" t="s">
        <v>1299</v>
      </c>
      <c r="L524" s="143" t="s">
        <v>1775</v>
      </c>
      <c r="M524" s="177" t="s">
        <v>1856</v>
      </c>
      <c r="N524" s="144" t="s">
        <v>47</v>
      </c>
    </row>
    <row r="525" spans="1:14">
      <c r="A525" s="140" t="str">
        <f t="shared" si="8"/>
        <v>05742-00691-00</v>
      </c>
      <c r="C525" s="175" t="s">
        <v>1138</v>
      </c>
      <c r="D525" s="176" t="s">
        <v>1119</v>
      </c>
      <c r="E525" s="176" t="s">
        <v>1787</v>
      </c>
      <c r="F525" s="173" t="s">
        <v>1777</v>
      </c>
      <c r="G525" s="173" t="s">
        <v>1776</v>
      </c>
      <c r="H525" s="174">
        <v>0</v>
      </c>
      <c r="L525" s="143" t="s">
        <v>1779</v>
      </c>
      <c r="M525" s="177"/>
      <c r="N525" s="144" t="s">
        <v>47</v>
      </c>
    </row>
    <row r="526" spans="1:14">
      <c r="A526" s="140" t="str">
        <f t="shared" si="8"/>
        <v>05742-00691-01</v>
      </c>
      <c r="C526" s="175" t="s">
        <v>1138</v>
      </c>
      <c r="D526" s="176" t="s">
        <v>1119</v>
      </c>
      <c r="E526" s="176" t="s">
        <v>1787</v>
      </c>
      <c r="F526" s="173" t="s">
        <v>1778</v>
      </c>
      <c r="G526" s="173" t="s">
        <v>1776</v>
      </c>
      <c r="H526" s="174">
        <v>1</v>
      </c>
      <c r="I526" s="144" t="s">
        <v>1299</v>
      </c>
      <c r="L526" s="143" t="s">
        <v>1780</v>
      </c>
      <c r="M526" s="177"/>
      <c r="N526" s="144" t="s">
        <v>47</v>
      </c>
    </row>
    <row r="527" spans="1:14">
      <c r="A527" s="140" t="str">
        <f t="shared" si="8"/>
        <v>05742-00773-00</v>
      </c>
      <c r="C527" s="175" t="s">
        <v>119</v>
      </c>
      <c r="D527" s="176" t="s">
        <v>1119</v>
      </c>
      <c r="E527" s="176" t="s">
        <v>1787</v>
      </c>
      <c r="F527" s="173">
        <v>61312</v>
      </c>
      <c r="G527" s="173" t="s">
        <v>131</v>
      </c>
      <c r="H527" s="174">
        <v>0</v>
      </c>
      <c r="I527" s="155"/>
      <c r="J527" s="155"/>
      <c r="L527" s="180"/>
      <c r="M527" s="177" t="s">
        <v>2326</v>
      </c>
      <c r="N527" s="144" t="s">
        <v>1432</v>
      </c>
    </row>
    <row r="528" spans="1:14">
      <c r="A528" s="140" t="str">
        <f t="shared" si="8"/>
        <v>05742-00773-01</v>
      </c>
      <c r="B528" s="145" t="s">
        <v>130</v>
      </c>
      <c r="C528" s="175" t="s">
        <v>119</v>
      </c>
      <c r="D528" s="176" t="s">
        <v>1119</v>
      </c>
      <c r="E528" s="176" t="s">
        <v>1787</v>
      </c>
      <c r="F528" s="173">
        <v>61591</v>
      </c>
      <c r="G528" s="173" t="s">
        <v>131</v>
      </c>
      <c r="H528" s="174">
        <v>1</v>
      </c>
      <c r="I528" s="155" t="s">
        <v>384</v>
      </c>
      <c r="J528" s="155"/>
      <c r="L528" s="180"/>
      <c r="M528" s="177" t="s">
        <v>2326</v>
      </c>
      <c r="N528" s="144" t="s">
        <v>1432</v>
      </c>
    </row>
    <row r="529" spans="1:14">
      <c r="A529" s="140" t="str">
        <f t="shared" si="8"/>
        <v>05742-00773-02</v>
      </c>
      <c r="C529" s="175" t="s">
        <v>119</v>
      </c>
      <c r="D529" s="176" t="s">
        <v>1119</v>
      </c>
      <c r="E529" s="176" t="s">
        <v>1787</v>
      </c>
      <c r="F529" s="173">
        <v>62927</v>
      </c>
      <c r="G529" s="173" t="s">
        <v>131</v>
      </c>
      <c r="H529" s="174">
        <v>2</v>
      </c>
      <c r="I529" s="155" t="s">
        <v>1824</v>
      </c>
      <c r="L529" s="143" t="s">
        <v>1104</v>
      </c>
      <c r="M529" s="177" t="s">
        <v>2329</v>
      </c>
      <c r="N529" s="144" t="s">
        <v>1432</v>
      </c>
    </row>
    <row r="530" spans="1:14">
      <c r="A530" s="140" t="str">
        <f t="shared" si="8"/>
        <v>05742-00773-03</v>
      </c>
      <c r="C530" s="175" t="s">
        <v>119</v>
      </c>
      <c r="D530" s="176" t="s">
        <v>1119</v>
      </c>
      <c r="E530" s="176" t="s">
        <v>1787</v>
      </c>
      <c r="F530" s="173">
        <v>63315</v>
      </c>
      <c r="G530" s="173" t="s">
        <v>1232</v>
      </c>
      <c r="H530" s="174">
        <v>3</v>
      </c>
      <c r="I530" s="144" t="s">
        <v>1249</v>
      </c>
      <c r="L530" s="143" t="s">
        <v>1253</v>
      </c>
      <c r="M530" s="177"/>
      <c r="N530" s="144" t="s">
        <v>1432</v>
      </c>
    </row>
    <row r="531" spans="1:14">
      <c r="A531" s="140" t="str">
        <f t="shared" si="8"/>
        <v>05742-00773-04</v>
      </c>
      <c r="C531" s="175" t="s">
        <v>119</v>
      </c>
      <c r="D531" s="176" t="s">
        <v>1119</v>
      </c>
      <c r="E531" s="176" t="s">
        <v>1787</v>
      </c>
      <c r="F531" s="173" t="s">
        <v>1396</v>
      </c>
      <c r="G531" s="173" t="s">
        <v>131</v>
      </c>
      <c r="H531" s="174">
        <v>4</v>
      </c>
      <c r="I531" s="144" t="s">
        <v>1403</v>
      </c>
      <c r="L531" s="143" t="s">
        <v>1404</v>
      </c>
      <c r="M531" s="177"/>
      <c r="N531" s="144" t="s">
        <v>47</v>
      </c>
    </row>
    <row r="532" spans="1:14">
      <c r="A532" s="140" t="str">
        <f t="shared" si="8"/>
        <v>05742-06450-00</v>
      </c>
      <c r="C532" s="175" t="s">
        <v>110</v>
      </c>
      <c r="D532" s="176" t="s">
        <v>1119</v>
      </c>
      <c r="E532" s="176" t="s">
        <v>1787</v>
      </c>
      <c r="F532" s="173">
        <v>40000</v>
      </c>
      <c r="G532" s="173" t="s">
        <v>111</v>
      </c>
      <c r="H532" s="174">
        <v>0</v>
      </c>
      <c r="I532" s="155"/>
      <c r="J532" s="155"/>
      <c r="L532" s="178" t="s">
        <v>187</v>
      </c>
      <c r="M532" s="177" t="s">
        <v>2322</v>
      </c>
      <c r="N532" s="144" t="s">
        <v>1432</v>
      </c>
    </row>
    <row r="533" spans="1:14">
      <c r="A533" s="140" t="str">
        <f t="shared" si="8"/>
        <v>05742-06450-01</v>
      </c>
      <c r="C533" s="175" t="s">
        <v>110</v>
      </c>
      <c r="D533" s="176" t="s">
        <v>1119</v>
      </c>
      <c r="E533" s="176" t="s">
        <v>1787</v>
      </c>
      <c r="F533" s="173">
        <v>40311</v>
      </c>
      <c r="G533" s="173" t="s">
        <v>111</v>
      </c>
      <c r="H533" s="174">
        <v>1</v>
      </c>
      <c r="I533" s="155"/>
      <c r="J533" s="155"/>
      <c r="L533" s="178"/>
      <c r="M533" s="177" t="s">
        <v>515</v>
      </c>
      <c r="N533" s="144" t="s">
        <v>1432</v>
      </c>
    </row>
    <row r="534" spans="1:14">
      <c r="A534" s="140" t="str">
        <f t="shared" si="8"/>
        <v>05742-06450-02</v>
      </c>
      <c r="C534" s="175" t="s">
        <v>110</v>
      </c>
      <c r="D534" s="176" t="s">
        <v>1119</v>
      </c>
      <c r="E534" s="176" t="s">
        <v>1787</v>
      </c>
      <c r="F534" s="173">
        <v>40385</v>
      </c>
      <c r="G534" s="173" t="s">
        <v>111</v>
      </c>
      <c r="H534" s="174">
        <v>2</v>
      </c>
      <c r="I534" s="155"/>
      <c r="J534" s="155"/>
      <c r="L534" s="178"/>
      <c r="M534" s="177" t="s">
        <v>515</v>
      </c>
      <c r="N534" s="144" t="s">
        <v>1432</v>
      </c>
    </row>
    <row r="535" spans="1:14">
      <c r="A535" s="140" t="str">
        <f t="shared" si="8"/>
        <v>05742-06450-03</v>
      </c>
      <c r="C535" s="175" t="s">
        <v>110</v>
      </c>
      <c r="D535" s="176" t="s">
        <v>1119</v>
      </c>
      <c r="E535" s="176" t="s">
        <v>1787</v>
      </c>
      <c r="F535" s="173">
        <v>40415</v>
      </c>
      <c r="G535" s="173" t="s">
        <v>111</v>
      </c>
      <c r="H535" s="174">
        <v>3</v>
      </c>
      <c r="I535" s="155"/>
      <c r="J535" s="155"/>
      <c r="L535" s="178"/>
      <c r="M535" s="177" t="s">
        <v>515</v>
      </c>
      <c r="N535" s="144" t="s">
        <v>1432</v>
      </c>
    </row>
    <row r="536" spans="1:14">
      <c r="A536" s="140" t="str">
        <f t="shared" si="8"/>
        <v>05742-06450-04</v>
      </c>
      <c r="C536" s="175" t="s">
        <v>110</v>
      </c>
      <c r="D536" s="176" t="s">
        <v>1119</v>
      </c>
      <c r="E536" s="176" t="s">
        <v>1787</v>
      </c>
      <c r="F536" s="173">
        <v>40509</v>
      </c>
      <c r="G536" s="173" t="s">
        <v>111</v>
      </c>
      <c r="H536" s="174">
        <v>4</v>
      </c>
      <c r="I536" s="155"/>
      <c r="J536" s="155"/>
      <c r="L536" s="178"/>
      <c r="M536" s="177" t="s">
        <v>515</v>
      </c>
      <c r="N536" s="144" t="s">
        <v>1432</v>
      </c>
    </row>
    <row r="537" spans="1:14">
      <c r="A537" s="140" t="str">
        <f t="shared" si="8"/>
        <v>05742-06450-05</v>
      </c>
      <c r="C537" s="175" t="s">
        <v>110</v>
      </c>
      <c r="D537" s="176" t="s">
        <v>1119</v>
      </c>
      <c r="E537" s="176" t="s">
        <v>1787</v>
      </c>
      <c r="F537" s="173">
        <v>40708</v>
      </c>
      <c r="G537" s="173" t="s">
        <v>111</v>
      </c>
      <c r="H537" s="174">
        <v>5</v>
      </c>
      <c r="I537" s="155"/>
      <c r="J537" s="155"/>
      <c r="L537" s="178"/>
      <c r="M537" s="177" t="s">
        <v>515</v>
      </c>
      <c r="N537" s="144" t="s">
        <v>1432</v>
      </c>
    </row>
    <row r="538" spans="1:14">
      <c r="A538" s="140" t="str">
        <f t="shared" si="8"/>
        <v>05742-06450-06</v>
      </c>
      <c r="B538" s="145" t="s">
        <v>10</v>
      </c>
      <c r="C538" s="175" t="s">
        <v>110</v>
      </c>
      <c r="D538" s="176" t="s">
        <v>1119</v>
      </c>
      <c r="E538" s="176" t="s">
        <v>1787</v>
      </c>
      <c r="F538" s="173">
        <v>42055</v>
      </c>
      <c r="G538" s="173" t="s">
        <v>111</v>
      </c>
      <c r="H538" s="174">
        <v>6</v>
      </c>
      <c r="I538" s="155" t="s">
        <v>312</v>
      </c>
      <c r="J538" s="144" t="s">
        <v>367</v>
      </c>
      <c r="K538" s="144" t="s">
        <v>368</v>
      </c>
      <c r="M538" s="177" t="s">
        <v>515</v>
      </c>
      <c r="N538" s="144" t="s">
        <v>1432</v>
      </c>
    </row>
    <row r="539" spans="1:14">
      <c r="A539" s="140" t="str">
        <f t="shared" si="8"/>
        <v>05742-07350-00</v>
      </c>
      <c r="C539" s="175" t="s">
        <v>113</v>
      </c>
      <c r="D539" s="176" t="s">
        <v>1119</v>
      </c>
      <c r="E539" s="176" t="s">
        <v>1787</v>
      </c>
      <c r="F539" s="173">
        <v>41802</v>
      </c>
      <c r="G539" s="173" t="s">
        <v>114</v>
      </c>
      <c r="H539" s="174">
        <v>0</v>
      </c>
      <c r="I539" s="155"/>
      <c r="L539" s="178" t="s">
        <v>187</v>
      </c>
      <c r="M539" s="177" t="s">
        <v>519</v>
      </c>
      <c r="N539" s="144" t="s">
        <v>1432</v>
      </c>
    </row>
    <row r="540" spans="1:14">
      <c r="A540" s="140" t="str">
        <f t="shared" si="8"/>
        <v>05742-07350-01</v>
      </c>
      <c r="C540" s="175" t="s">
        <v>113</v>
      </c>
      <c r="D540" s="176" t="s">
        <v>1119</v>
      </c>
      <c r="E540" s="176" t="s">
        <v>1787</v>
      </c>
      <c r="F540" s="173">
        <v>42327</v>
      </c>
      <c r="G540" s="173" t="s">
        <v>114</v>
      </c>
      <c r="H540" s="174">
        <v>1</v>
      </c>
      <c r="I540" s="155"/>
      <c r="L540" s="178"/>
      <c r="M540" s="177" t="s">
        <v>519</v>
      </c>
      <c r="N540" s="144" t="s">
        <v>1432</v>
      </c>
    </row>
    <row r="541" spans="1:14">
      <c r="A541" s="140" t="str">
        <f t="shared" si="8"/>
        <v>05742-07350-02</v>
      </c>
      <c r="B541" s="145" t="s">
        <v>10</v>
      </c>
      <c r="C541" s="175" t="s">
        <v>113</v>
      </c>
      <c r="D541" s="176" t="s">
        <v>1119</v>
      </c>
      <c r="E541" s="176" t="s">
        <v>1787</v>
      </c>
      <c r="F541" s="173">
        <v>55511</v>
      </c>
      <c r="G541" s="173" t="s">
        <v>114</v>
      </c>
      <c r="H541" s="174">
        <v>2</v>
      </c>
      <c r="I541" s="155" t="s">
        <v>312</v>
      </c>
      <c r="J541" s="144" t="s">
        <v>371</v>
      </c>
      <c r="K541" s="144" t="s">
        <v>372</v>
      </c>
      <c r="M541" s="177"/>
      <c r="N541" s="144" t="s">
        <v>1432</v>
      </c>
    </row>
    <row r="542" spans="1:14">
      <c r="A542" s="140" t="str">
        <f t="shared" si="8"/>
        <v>06542-00076-00</v>
      </c>
      <c r="C542" s="175" t="s">
        <v>202</v>
      </c>
      <c r="D542" s="176" t="s">
        <v>1119</v>
      </c>
      <c r="E542" s="176" t="s">
        <v>1787</v>
      </c>
      <c r="F542" s="173">
        <v>46038</v>
      </c>
      <c r="G542" s="173" t="s">
        <v>203</v>
      </c>
      <c r="H542" s="174">
        <v>0</v>
      </c>
      <c r="L542" s="178" t="s">
        <v>187</v>
      </c>
      <c r="M542" s="177" t="s">
        <v>815</v>
      </c>
      <c r="N542" s="144" t="s">
        <v>1432</v>
      </c>
    </row>
    <row r="543" spans="1:14">
      <c r="A543" s="140" t="str">
        <f t="shared" si="8"/>
        <v>06542-00076-01</v>
      </c>
      <c r="C543" s="175" t="s">
        <v>202</v>
      </c>
      <c r="D543" s="176" t="s">
        <v>1119</v>
      </c>
      <c r="E543" s="176" t="s">
        <v>1787</v>
      </c>
      <c r="F543" s="173">
        <v>47871</v>
      </c>
      <c r="G543" s="173" t="s">
        <v>203</v>
      </c>
      <c r="H543" s="174">
        <v>1</v>
      </c>
      <c r="L543" s="178"/>
      <c r="M543" s="177" t="s">
        <v>815</v>
      </c>
      <c r="N543" s="144" t="s">
        <v>1432</v>
      </c>
    </row>
    <row r="544" spans="1:14">
      <c r="A544" s="140" t="str">
        <f t="shared" si="8"/>
        <v>06542-00076-02</v>
      </c>
      <c r="C544" s="175" t="s">
        <v>202</v>
      </c>
      <c r="D544" s="176" t="s">
        <v>1119</v>
      </c>
      <c r="E544" s="176" t="s">
        <v>1787</v>
      </c>
      <c r="F544" s="173">
        <v>50149</v>
      </c>
      <c r="G544" s="173" t="s">
        <v>203</v>
      </c>
      <c r="H544" s="174">
        <v>2</v>
      </c>
      <c r="L544" s="178"/>
      <c r="M544" s="177" t="s">
        <v>815</v>
      </c>
      <c r="N544" s="144" t="s">
        <v>1432</v>
      </c>
    </row>
    <row r="545" spans="1:15">
      <c r="A545" s="140" t="str">
        <f t="shared" si="8"/>
        <v>06542-00076-03</v>
      </c>
      <c r="B545" s="145" t="s">
        <v>6</v>
      </c>
      <c r="C545" s="175" t="s">
        <v>202</v>
      </c>
      <c r="D545" s="176" t="s">
        <v>1119</v>
      </c>
      <c r="E545" s="176" t="s">
        <v>1787</v>
      </c>
      <c r="F545" s="173">
        <v>55511</v>
      </c>
      <c r="G545" s="173" t="s">
        <v>203</v>
      </c>
      <c r="H545" s="174">
        <v>3</v>
      </c>
      <c r="I545" s="155" t="s">
        <v>298</v>
      </c>
      <c r="M545" s="177"/>
      <c r="N545" s="144" t="s">
        <v>1432</v>
      </c>
    </row>
    <row r="546" spans="1:15">
      <c r="A546" s="140" t="str">
        <f t="shared" si="8"/>
        <v>06542-00132-00</v>
      </c>
      <c r="C546" s="175" t="s">
        <v>202</v>
      </c>
      <c r="D546" s="176" t="s">
        <v>1119</v>
      </c>
      <c r="E546" s="176" t="s">
        <v>1787</v>
      </c>
      <c r="F546" s="173">
        <v>49165</v>
      </c>
      <c r="G546" s="173" t="s">
        <v>204</v>
      </c>
      <c r="H546" s="174">
        <v>0</v>
      </c>
      <c r="I546" s="155"/>
      <c r="L546" s="178" t="s">
        <v>436</v>
      </c>
      <c r="M546" s="177" t="s">
        <v>2330</v>
      </c>
      <c r="N546" s="144" t="s">
        <v>1432</v>
      </c>
    </row>
    <row r="547" spans="1:15">
      <c r="A547" s="140" t="str">
        <f t="shared" si="8"/>
        <v>06542-00132-01</v>
      </c>
      <c r="C547" s="175" t="s">
        <v>202</v>
      </c>
      <c r="D547" s="176" t="s">
        <v>1119</v>
      </c>
      <c r="E547" s="176" t="s">
        <v>1787</v>
      </c>
      <c r="F547" s="173">
        <v>49777</v>
      </c>
      <c r="G547" s="173" t="s">
        <v>204</v>
      </c>
      <c r="H547" s="174">
        <v>1</v>
      </c>
      <c r="I547" s="155"/>
      <c r="L547" s="178"/>
      <c r="M547" s="177" t="s">
        <v>2330</v>
      </c>
      <c r="N547" s="144" t="s">
        <v>1432</v>
      </c>
    </row>
    <row r="548" spans="1:15">
      <c r="A548" s="140" t="str">
        <f t="shared" si="8"/>
        <v>06542-00132-02</v>
      </c>
      <c r="C548" s="175" t="s">
        <v>202</v>
      </c>
      <c r="D548" s="176" t="s">
        <v>1119</v>
      </c>
      <c r="E548" s="176" t="s">
        <v>1787</v>
      </c>
      <c r="F548" s="173">
        <v>50149</v>
      </c>
      <c r="G548" s="173" t="s">
        <v>204</v>
      </c>
      <c r="H548" s="174">
        <v>2</v>
      </c>
      <c r="I548" s="155"/>
      <c r="L548" s="178"/>
      <c r="M548" s="177" t="s">
        <v>2330</v>
      </c>
      <c r="N548" s="144" t="s">
        <v>1432</v>
      </c>
    </row>
    <row r="549" spans="1:15">
      <c r="A549" s="140" t="str">
        <f t="shared" si="8"/>
        <v>06542-00132-03</v>
      </c>
      <c r="C549" s="175" t="s">
        <v>202</v>
      </c>
      <c r="D549" s="176" t="s">
        <v>1119</v>
      </c>
      <c r="E549" s="176" t="s">
        <v>1787</v>
      </c>
      <c r="F549" s="173">
        <v>53227</v>
      </c>
      <c r="G549" s="173" t="s">
        <v>204</v>
      </c>
      <c r="H549" s="174">
        <v>3</v>
      </c>
      <c r="I549" s="155"/>
      <c r="L549" s="178"/>
      <c r="M549" s="177" t="s">
        <v>2330</v>
      </c>
      <c r="N549" s="144" t="s">
        <v>1432</v>
      </c>
    </row>
    <row r="550" spans="1:15">
      <c r="A550" s="140" t="str">
        <f t="shared" si="8"/>
        <v>06542-00132-04</v>
      </c>
      <c r="C550" s="175" t="s">
        <v>202</v>
      </c>
      <c r="D550" s="176" t="s">
        <v>1119</v>
      </c>
      <c r="E550" s="176" t="s">
        <v>1787</v>
      </c>
      <c r="F550" s="173">
        <v>54790</v>
      </c>
      <c r="G550" s="173" t="s">
        <v>204</v>
      </c>
      <c r="H550" s="174">
        <v>4</v>
      </c>
      <c r="I550" s="155"/>
      <c r="L550" s="178"/>
      <c r="M550" s="177" t="s">
        <v>2330</v>
      </c>
      <c r="N550" s="144" t="s">
        <v>1432</v>
      </c>
      <c r="O550" s="150"/>
    </row>
    <row r="551" spans="1:15">
      <c r="A551" s="140" t="str">
        <f t="shared" si="8"/>
        <v>06542-00132-05</v>
      </c>
      <c r="C551" s="175" t="s">
        <v>202</v>
      </c>
      <c r="D551" s="176" t="s">
        <v>1119</v>
      </c>
      <c r="E551" s="176" t="s">
        <v>1787</v>
      </c>
      <c r="F551" s="173">
        <v>55535</v>
      </c>
      <c r="G551" s="173" t="s">
        <v>204</v>
      </c>
      <c r="H551" s="174">
        <v>5</v>
      </c>
      <c r="I551" s="155"/>
      <c r="L551" s="178"/>
      <c r="M551" s="177" t="s">
        <v>2330</v>
      </c>
      <c r="N551" s="144" t="s">
        <v>1432</v>
      </c>
    </row>
    <row r="552" spans="1:15">
      <c r="A552" s="140" t="str">
        <f t="shared" si="8"/>
        <v>06542-00132-06</v>
      </c>
      <c r="B552" s="145" t="s">
        <v>6</v>
      </c>
      <c r="C552" s="175" t="s">
        <v>202</v>
      </c>
      <c r="D552" s="176" t="s">
        <v>1119</v>
      </c>
      <c r="E552" s="176" t="s">
        <v>1787</v>
      </c>
      <c r="F552" s="173">
        <v>56036</v>
      </c>
      <c r="G552" s="173" t="s">
        <v>204</v>
      </c>
      <c r="H552" s="174">
        <v>6</v>
      </c>
      <c r="I552" s="155" t="s">
        <v>437</v>
      </c>
      <c r="M552" s="177" t="s">
        <v>2330</v>
      </c>
      <c r="N552" s="144" t="s">
        <v>1432</v>
      </c>
    </row>
    <row r="553" spans="1:15">
      <c r="A553" s="140" t="str">
        <f t="shared" si="8"/>
        <v>06542-00132-07</v>
      </c>
      <c r="C553" s="175" t="s">
        <v>202</v>
      </c>
      <c r="D553" s="176" t="s">
        <v>1119</v>
      </c>
      <c r="E553" s="176" t="s">
        <v>1787</v>
      </c>
      <c r="F553" s="173">
        <v>63345</v>
      </c>
      <c r="G553" s="173" t="s">
        <v>1077</v>
      </c>
      <c r="H553" s="174">
        <v>7</v>
      </c>
      <c r="I553" s="144" t="s">
        <v>1086</v>
      </c>
      <c r="L553" s="143" t="s">
        <v>1074</v>
      </c>
      <c r="M553" s="177" t="s">
        <v>2330</v>
      </c>
      <c r="N553" s="144" t="s">
        <v>1432</v>
      </c>
    </row>
    <row r="554" spans="1:15">
      <c r="A554" s="140" t="str">
        <f t="shared" si="8"/>
        <v>06642-00116-00</v>
      </c>
      <c r="C554" s="175" t="s">
        <v>205</v>
      </c>
      <c r="D554" s="176" t="s">
        <v>1119</v>
      </c>
      <c r="E554" s="176" t="s">
        <v>1787</v>
      </c>
      <c r="F554" s="173">
        <v>46236</v>
      </c>
      <c r="G554" s="173" t="s">
        <v>206</v>
      </c>
      <c r="H554" s="174">
        <v>0</v>
      </c>
      <c r="I554" s="155"/>
      <c r="L554" s="178" t="s">
        <v>438</v>
      </c>
      <c r="M554" s="177" t="s">
        <v>499</v>
      </c>
      <c r="N554" s="144" t="s">
        <v>1432</v>
      </c>
    </row>
    <row r="555" spans="1:15">
      <c r="A555" s="140" t="str">
        <f t="shared" si="8"/>
        <v>06642-00116-01</v>
      </c>
      <c r="C555" s="175" t="s">
        <v>205</v>
      </c>
      <c r="D555" s="176" t="s">
        <v>1119</v>
      </c>
      <c r="E555" s="176" t="s">
        <v>1787</v>
      </c>
      <c r="F555" s="173">
        <v>47083</v>
      </c>
      <c r="G555" s="173" t="s">
        <v>206</v>
      </c>
      <c r="H555" s="174">
        <v>1</v>
      </c>
      <c r="I555" s="155"/>
      <c r="L555" s="178"/>
      <c r="M555" s="177" t="s">
        <v>499</v>
      </c>
      <c r="N555" s="144" t="s">
        <v>1432</v>
      </c>
    </row>
    <row r="556" spans="1:15">
      <c r="A556" s="140" t="str">
        <f t="shared" si="8"/>
        <v>06642-00116-02</v>
      </c>
      <c r="C556" s="175" t="s">
        <v>205</v>
      </c>
      <c r="D556" s="176" t="s">
        <v>1119</v>
      </c>
      <c r="E556" s="176" t="s">
        <v>1787</v>
      </c>
      <c r="F556" s="173">
        <v>47519</v>
      </c>
      <c r="G556" s="173" t="s">
        <v>206</v>
      </c>
      <c r="H556" s="174">
        <v>2</v>
      </c>
      <c r="I556" s="155"/>
      <c r="L556" s="178"/>
      <c r="M556" s="177"/>
      <c r="N556" s="144" t="s">
        <v>1432</v>
      </c>
    </row>
    <row r="557" spans="1:15">
      <c r="A557" s="140" t="str">
        <f t="shared" si="8"/>
        <v>06642-00116-03</v>
      </c>
      <c r="B557" s="145" t="s">
        <v>6</v>
      </c>
      <c r="C557" s="175" t="s">
        <v>205</v>
      </c>
      <c r="D557" s="176" t="s">
        <v>1119</v>
      </c>
      <c r="E557" s="176" t="s">
        <v>1787</v>
      </c>
      <c r="F557" s="173">
        <v>55511</v>
      </c>
      <c r="G557" s="173" t="s">
        <v>206</v>
      </c>
      <c r="H557" s="174">
        <v>3</v>
      </c>
      <c r="I557" s="144" t="s">
        <v>440</v>
      </c>
      <c r="J557" s="144" t="s">
        <v>47</v>
      </c>
      <c r="K557" s="144" t="s">
        <v>47</v>
      </c>
      <c r="M557" s="177" t="s">
        <v>499</v>
      </c>
      <c r="N557" s="144" t="s">
        <v>1432</v>
      </c>
    </row>
    <row r="558" spans="1:15">
      <c r="A558" s="140" t="str">
        <f t="shared" si="8"/>
        <v>06642-00161-00</v>
      </c>
      <c r="C558" s="175" t="s">
        <v>215</v>
      </c>
      <c r="D558" s="176" t="s">
        <v>1119</v>
      </c>
      <c r="E558" s="176" t="s">
        <v>1787</v>
      </c>
      <c r="F558" s="173">
        <v>49082</v>
      </c>
      <c r="G558" s="173" t="s">
        <v>216</v>
      </c>
      <c r="H558" s="174">
        <v>0</v>
      </c>
      <c r="I558" s="155"/>
      <c r="L558" s="178" t="s">
        <v>187</v>
      </c>
      <c r="M558" s="177" t="s">
        <v>880</v>
      </c>
      <c r="N558" s="144" t="s">
        <v>1432</v>
      </c>
    </row>
    <row r="559" spans="1:15">
      <c r="A559" s="140" t="str">
        <f t="shared" si="8"/>
        <v>06642-00161-01</v>
      </c>
      <c r="C559" s="175" t="s">
        <v>215</v>
      </c>
      <c r="D559" s="176" t="s">
        <v>1119</v>
      </c>
      <c r="E559" s="176" t="s">
        <v>1787</v>
      </c>
      <c r="F559" s="173">
        <v>51161</v>
      </c>
      <c r="G559" s="173" t="s">
        <v>216</v>
      </c>
      <c r="H559" s="174">
        <v>1</v>
      </c>
      <c r="I559" s="155"/>
      <c r="L559" s="178"/>
      <c r="M559" s="177" t="s">
        <v>880</v>
      </c>
      <c r="N559" s="144" t="s">
        <v>1432</v>
      </c>
      <c r="O559" s="150"/>
    </row>
    <row r="560" spans="1:15">
      <c r="A560" s="140" t="str">
        <f t="shared" si="8"/>
        <v>06642-00161-02</v>
      </c>
      <c r="C560" s="175" t="s">
        <v>215</v>
      </c>
      <c r="D560" s="176" t="s">
        <v>1119</v>
      </c>
      <c r="E560" s="176" t="s">
        <v>1787</v>
      </c>
      <c r="F560" s="173">
        <v>51386</v>
      </c>
      <c r="G560" s="173" t="s">
        <v>216</v>
      </c>
      <c r="H560" s="174">
        <v>2</v>
      </c>
      <c r="I560" s="155"/>
      <c r="L560" s="178"/>
      <c r="M560" s="177" t="s">
        <v>880</v>
      </c>
      <c r="N560" s="144" t="s">
        <v>1432</v>
      </c>
      <c r="O560" s="150"/>
    </row>
    <row r="561" spans="1:15">
      <c r="A561" s="140" t="str">
        <f t="shared" si="8"/>
        <v>06642-00161-03</v>
      </c>
      <c r="C561" s="175" t="s">
        <v>215</v>
      </c>
      <c r="D561" s="176" t="s">
        <v>1119</v>
      </c>
      <c r="E561" s="176" t="s">
        <v>1787</v>
      </c>
      <c r="F561" s="173">
        <v>53227</v>
      </c>
      <c r="G561" s="173" t="s">
        <v>216</v>
      </c>
      <c r="H561" s="174">
        <v>3</v>
      </c>
      <c r="I561" s="155"/>
      <c r="L561" s="178"/>
      <c r="M561" s="177" t="s">
        <v>880</v>
      </c>
      <c r="N561" s="144" t="s">
        <v>1432</v>
      </c>
    </row>
    <row r="562" spans="1:15">
      <c r="A562" s="140" t="str">
        <f t="shared" si="8"/>
        <v>06642-00161-04</v>
      </c>
      <c r="C562" s="175" t="s">
        <v>215</v>
      </c>
      <c r="D562" s="176" t="s">
        <v>1119</v>
      </c>
      <c r="E562" s="176" t="s">
        <v>1787</v>
      </c>
      <c r="F562" s="173">
        <v>53907</v>
      </c>
      <c r="G562" s="173" t="s">
        <v>216</v>
      </c>
      <c r="H562" s="174">
        <v>4</v>
      </c>
      <c r="I562" s="155"/>
      <c r="L562" s="178"/>
      <c r="M562" s="177" t="s">
        <v>880</v>
      </c>
      <c r="N562" s="144" t="s">
        <v>1432</v>
      </c>
    </row>
    <row r="563" spans="1:15">
      <c r="A563" s="140" t="str">
        <f t="shared" si="8"/>
        <v>06642-00161-05</v>
      </c>
      <c r="C563" s="175" t="s">
        <v>215</v>
      </c>
      <c r="D563" s="176" t="s">
        <v>1119</v>
      </c>
      <c r="E563" s="176" t="s">
        <v>1787</v>
      </c>
      <c r="F563" s="173">
        <v>54790</v>
      </c>
      <c r="G563" s="173" t="s">
        <v>216</v>
      </c>
      <c r="H563" s="174">
        <v>5</v>
      </c>
      <c r="I563" s="155"/>
      <c r="L563" s="178"/>
      <c r="M563" s="177" t="s">
        <v>880</v>
      </c>
      <c r="N563" s="144" t="s">
        <v>1432</v>
      </c>
      <c r="O563" s="150"/>
    </row>
    <row r="564" spans="1:15">
      <c r="A564" s="140" t="str">
        <f t="shared" si="8"/>
        <v>06642-00161-06</v>
      </c>
      <c r="B564" s="145" t="s">
        <v>6</v>
      </c>
      <c r="C564" s="175" t="s">
        <v>215</v>
      </c>
      <c r="D564" s="176" t="s">
        <v>1119</v>
      </c>
      <c r="E564" s="176" t="s">
        <v>1787</v>
      </c>
      <c r="F564" s="173">
        <v>60584</v>
      </c>
      <c r="G564" s="173" t="s">
        <v>216</v>
      </c>
      <c r="H564" s="174">
        <v>6</v>
      </c>
      <c r="I564" s="144" t="s">
        <v>451</v>
      </c>
      <c r="J564" s="144" t="s">
        <v>47</v>
      </c>
      <c r="K564" s="144" t="s">
        <v>47</v>
      </c>
      <c r="M564" s="177" t="s">
        <v>880</v>
      </c>
      <c r="N564" s="144" t="s">
        <v>1432</v>
      </c>
    </row>
    <row r="565" spans="1:15">
      <c r="A565" s="140" t="str">
        <f t="shared" si="8"/>
        <v>06642-00161-07</v>
      </c>
      <c r="C565" s="175" t="s">
        <v>215</v>
      </c>
      <c r="D565" s="176" t="s">
        <v>1119</v>
      </c>
      <c r="E565" s="176" t="s">
        <v>1787</v>
      </c>
      <c r="F565" s="173" t="s">
        <v>1744</v>
      </c>
      <c r="G565" s="173" t="s">
        <v>1080</v>
      </c>
      <c r="H565" s="174">
        <v>7</v>
      </c>
      <c r="I565" s="144" t="s">
        <v>1089</v>
      </c>
      <c r="L565" s="143" t="s">
        <v>1074</v>
      </c>
      <c r="M565" s="177" t="s">
        <v>880</v>
      </c>
      <c r="N565" s="144" t="s">
        <v>1432</v>
      </c>
    </row>
    <row r="566" spans="1:15">
      <c r="A566" s="140" t="str">
        <f t="shared" si="8"/>
        <v>06642-00161-08</v>
      </c>
      <c r="C566" s="175" t="s">
        <v>215</v>
      </c>
      <c r="D566" s="176" t="s">
        <v>1119</v>
      </c>
      <c r="E566" s="176" t="s">
        <v>1787</v>
      </c>
      <c r="F566" s="173" t="s">
        <v>1764</v>
      </c>
      <c r="G566" s="173" t="s">
        <v>1763</v>
      </c>
      <c r="H566" s="174">
        <v>8</v>
      </c>
      <c r="I566" s="144" t="s">
        <v>1765</v>
      </c>
      <c r="L566" s="143" t="s">
        <v>1767</v>
      </c>
      <c r="M566" s="177" t="s">
        <v>880</v>
      </c>
      <c r="N566" s="144" t="s">
        <v>1766</v>
      </c>
    </row>
    <row r="567" spans="1:15">
      <c r="A567" s="140" t="str">
        <f t="shared" si="8"/>
        <v>06642-00175-00</v>
      </c>
      <c r="C567" s="175" t="s">
        <v>205</v>
      </c>
      <c r="D567" s="176" t="s">
        <v>1119</v>
      </c>
      <c r="E567" s="176" t="s">
        <v>1787</v>
      </c>
      <c r="F567" s="173">
        <v>49061</v>
      </c>
      <c r="G567" s="173" t="s">
        <v>208</v>
      </c>
      <c r="H567" s="174">
        <v>0</v>
      </c>
      <c r="L567" s="178" t="s">
        <v>395</v>
      </c>
      <c r="M567" s="177" t="s">
        <v>2331</v>
      </c>
      <c r="N567" s="144" t="s">
        <v>1432</v>
      </c>
    </row>
    <row r="568" spans="1:15">
      <c r="A568" s="140" t="str">
        <f t="shared" si="8"/>
        <v>06642-00175-01</v>
      </c>
      <c r="B568" s="145" t="s">
        <v>6</v>
      </c>
      <c r="C568" s="175" t="s">
        <v>205</v>
      </c>
      <c r="D568" s="176" t="s">
        <v>1119</v>
      </c>
      <c r="E568" s="176" t="s">
        <v>1787</v>
      </c>
      <c r="F568" s="173">
        <v>55511</v>
      </c>
      <c r="G568" s="173" t="s">
        <v>208</v>
      </c>
      <c r="H568" s="174">
        <v>1</v>
      </c>
      <c r="I568" s="144" t="s">
        <v>441</v>
      </c>
      <c r="J568" s="144" t="s">
        <v>47</v>
      </c>
      <c r="K568" s="144" t="s">
        <v>47</v>
      </c>
      <c r="M568" s="177" t="s">
        <v>2331</v>
      </c>
      <c r="N568" s="144" t="s">
        <v>1432</v>
      </c>
    </row>
    <row r="569" spans="1:15" ht="27">
      <c r="A569" s="140" t="str">
        <f t="shared" si="8"/>
        <v>06801-00027-01</v>
      </c>
      <c r="C569" s="175" t="s">
        <v>232</v>
      </c>
      <c r="D569" s="176" t="s">
        <v>1230</v>
      </c>
      <c r="E569" s="176"/>
      <c r="F569" s="173" t="s">
        <v>1781</v>
      </c>
      <c r="G569" s="173" t="s">
        <v>1393</v>
      </c>
      <c r="H569" s="174">
        <v>1</v>
      </c>
      <c r="I569" s="144" t="s">
        <v>360</v>
      </c>
      <c r="L569" s="156" t="s">
        <v>1782</v>
      </c>
      <c r="M569" s="177"/>
      <c r="N569" s="144" t="s">
        <v>47</v>
      </c>
    </row>
    <row r="570" spans="1:15">
      <c r="A570" s="140" t="str">
        <f t="shared" si="8"/>
        <v>06842-00220-00</v>
      </c>
      <c r="C570" s="175" t="s">
        <v>225</v>
      </c>
      <c r="D570" s="176" t="s">
        <v>1119</v>
      </c>
      <c r="E570" s="176" t="s">
        <v>1787</v>
      </c>
      <c r="F570" s="173">
        <v>52057</v>
      </c>
      <c r="G570" s="173" t="s">
        <v>464</v>
      </c>
      <c r="H570" s="174">
        <v>0</v>
      </c>
      <c r="I570" s="155"/>
      <c r="L570" s="178" t="s">
        <v>465</v>
      </c>
      <c r="M570" s="177" t="s">
        <v>531</v>
      </c>
      <c r="N570" s="144" t="s">
        <v>1432</v>
      </c>
      <c r="O570" s="150"/>
    </row>
    <row r="571" spans="1:15">
      <c r="A571" s="140" t="str">
        <f t="shared" si="8"/>
        <v>06842-00220-01</v>
      </c>
      <c r="C571" s="175" t="s">
        <v>225</v>
      </c>
      <c r="D571" s="176" t="s">
        <v>1119</v>
      </c>
      <c r="E571" s="176" t="s">
        <v>1787</v>
      </c>
      <c r="F571" s="173">
        <v>55511</v>
      </c>
      <c r="G571" s="173" t="s">
        <v>230</v>
      </c>
      <c r="H571" s="174">
        <v>1</v>
      </c>
      <c r="I571" s="155" t="s">
        <v>466</v>
      </c>
      <c r="M571" s="177" t="s">
        <v>531</v>
      </c>
      <c r="N571" s="144" t="s">
        <v>1432</v>
      </c>
    </row>
    <row r="572" spans="1:15">
      <c r="A572" s="140" t="str">
        <f t="shared" si="8"/>
        <v>06842-00230-00</v>
      </c>
      <c r="C572" s="175" t="s">
        <v>225</v>
      </c>
      <c r="D572" s="176" t="s">
        <v>1119</v>
      </c>
      <c r="E572" s="176" t="s">
        <v>1787</v>
      </c>
      <c r="F572" s="173">
        <v>52999</v>
      </c>
      <c r="G572" s="173" t="s">
        <v>461</v>
      </c>
      <c r="H572" s="174">
        <v>0</v>
      </c>
      <c r="I572" s="155"/>
      <c r="L572" s="178" t="s">
        <v>462</v>
      </c>
      <c r="M572" s="177" t="s">
        <v>2332</v>
      </c>
      <c r="N572" s="144" t="s">
        <v>1432</v>
      </c>
    </row>
    <row r="573" spans="1:15">
      <c r="A573" s="140" t="str">
        <f t="shared" si="8"/>
        <v>06842-00230-01</v>
      </c>
      <c r="C573" s="175" t="s">
        <v>225</v>
      </c>
      <c r="D573" s="176" t="s">
        <v>1119</v>
      </c>
      <c r="E573" s="176" t="s">
        <v>1787</v>
      </c>
      <c r="F573" s="173">
        <v>53228</v>
      </c>
      <c r="G573" s="173" t="s">
        <v>226</v>
      </c>
      <c r="H573" s="174">
        <v>1</v>
      </c>
      <c r="I573" s="155"/>
      <c r="L573" s="179"/>
      <c r="M573" s="177" t="s">
        <v>2332</v>
      </c>
      <c r="N573" s="144" t="s">
        <v>1432</v>
      </c>
    </row>
    <row r="574" spans="1:15">
      <c r="A574" s="140" t="str">
        <f t="shared" si="8"/>
        <v>06842-00230-02</v>
      </c>
      <c r="C574" s="175" t="s">
        <v>225</v>
      </c>
      <c r="D574" s="176" t="s">
        <v>1119</v>
      </c>
      <c r="E574" s="176" t="s">
        <v>1787</v>
      </c>
      <c r="F574" s="173">
        <v>53692</v>
      </c>
      <c r="G574" s="173" t="s">
        <v>226</v>
      </c>
      <c r="H574" s="174">
        <v>2</v>
      </c>
      <c r="I574" s="155"/>
      <c r="L574" s="179"/>
      <c r="M574" s="177" t="s">
        <v>2333</v>
      </c>
      <c r="N574" s="144" t="s">
        <v>1432</v>
      </c>
    </row>
    <row r="575" spans="1:15">
      <c r="A575" s="140" t="str">
        <f t="shared" si="8"/>
        <v>06842-00230-03</v>
      </c>
      <c r="C575" s="175" t="s">
        <v>225</v>
      </c>
      <c r="D575" s="176" t="s">
        <v>1119</v>
      </c>
      <c r="E575" s="176" t="s">
        <v>1787</v>
      </c>
      <c r="F575" s="173">
        <v>54287</v>
      </c>
      <c r="G575" s="173" t="s">
        <v>226</v>
      </c>
      <c r="H575" s="174">
        <v>3</v>
      </c>
      <c r="I575" s="155"/>
      <c r="L575" s="179"/>
      <c r="M575" s="177" t="s">
        <v>2332</v>
      </c>
      <c r="N575" s="144" t="s">
        <v>1432</v>
      </c>
    </row>
    <row r="576" spans="1:15">
      <c r="A576" s="140" t="str">
        <f t="shared" si="8"/>
        <v>06842-00230-04</v>
      </c>
      <c r="C576" s="175" t="s">
        <v>225</v>
      </c>
      <c r="D576" s="176" t="s">
        <v>1119</v>
      </c>
      <c r="E576" s="176" t="s">
        <v>1787</v>
      </c>
      <c r="F576" s="173">
        <v>54790</v>
      </c>
      <c r="G576" s="173" t="s">
        <v>226</v>
      </c>
      <c r="H576" s="174">
        <v>4</v>
      </c>
      <c r="I576" s="155"/>
      <c r="L576" s="179"/>
      <c r="M576" s="177" t="s">
        <v>2333</v>
      </c>
      <c r="N576" s="144" t="s">
        <v>1432</v>
      </c>
      <c r="O576" s="150"/>
    </row>
    <row r="577" spans="1:14">
      <c r="A577" s="140" t="str">
        <f t="shared" si="8"/>
        <v>06842-00230-05</v>
      </c>
      <c r="B577" s="145" t="s">
        <v>6</v>
      </c>
      <c r="C577" s="175" t="s">
        <v>225</v>
      </c>
      <c r="D577" s="176" t="s">
        <v>1119</v>
      </c>
      <c r="E577" s="176" t="s">
        <v>1787</v>
      </c>
      <c r="F577" s="173">
        <v>55535</v>
      </c>
      <c r="G577" s="173" t="s">
        <v>226</v>
      </c>
      <c r="H577" s="174">
        <v>5</v>
      </c>
      <c r="I577" s="155" t="s">
        <v>306</v>
      </c>
      <c r="J577" s="144" t="s">
        <v>47</v>
      </c>
      <c r="K577" s="144" t="s">
        <v>47</v>
      </c>
      <c r="M577" s="177" t="s">
        <v>2333</v>
      </c>
      <c r="N577" s="144" t="s">
        <v>1432</v>
      </c>
    </row>
    <row r="578" spans="1:14">
      <c r="A578" s="140" t="str">
        <f t="shared" ref="A578:A641" si="9">G578&amp;"-"&amp;TEXT(H578,"00")</f>
        <v>06842-00230-06</v>
      </c>
      <c r="C578" s="175" t="s">
        <v>225</v>
      </c>
      <c r="D578" s="176" t="s">
        <v>1119</v>
      </c>
      <c r="E578" s="176" t="s">
        <v>1787</v>
      </c>
      <c r="F578" s="173">
        <v>63345</v>
      </c>
      <c r="G578" s="173" t="s">
        <v>1078</v>
      </c>
      <c r="H578" s="174">
        <v>6</v>
      </c>
      <c r="I578" s="144" t="s">
        <v>1088</v>
      </c>
      <c r="L578" s="143" t="s">
        <v>1074</v>
      </c>
      <c r="M578" s="177" t="s">
        <v>2333</v>
      </c>
      <c r="N578" s="144" t="s">
        <v>1432</v>
      </c>
    </row>
    <row r="579" spans="1:14">
      <c r="A579" s="140" t="str">
        <f t="shared" si="9"/>
        <v>06842-00234-00</v>
      </c>
      <c r="C579" s="175" t="s">
        <v>225</v>
      </c>
      <c r="D579" s="176" t="s">
        <v>1119</v>
      </c>
      <c r="E579" s="176" t="s">
        <v>1788</v>
      </c>
      <c r="F579" s="173">
        <v>52999</v>
      </c>
      <c r="G579" s="173" t="s">
        <v>228</v>
      </c>
      <c r="H579" s="174">
        <v>0</v>
      </c>
      <c r="I579" s="155" t="s">
        <v>433</v>
      </c>
      <c r="L579" s="178" t="s">
        <v>463</v>
      </c>
      <c r="M579" s="177" t="s">
        <v>2332</v>
      </c>
      <c r="N579" s="144" t="s">
        <v>1432</v>
      </c>
    </row>
    <row r="580" spans="1:14">
      <c r="A580" s="140" t="str">
        <f t="shared" si="9"/>
        <v>06842-00234-01</v>
      </c>
      <c r="C580" s="175" t="s">
        <v>225</v>
      </c>
      <c r="D580" s="176" t="s">
        <v>1119</v>
      </c>
      <c r="E580" s="176" t="s">
        <v>1788</v>
      </c>
      <c r="F580" s="173">
        <v>63345</v>
      </c>
      <c r="G580" s="173" t="s">
        <v>1083</v>
      </c>
      <c r="H580" s="174">
        <v>1</v>
      </c>
      <c r="I580" s="144" t="s">
        <v>1073</v>
      </c>
      <c r="L580" s="143" t="s">
        <v>1074</v>
      </c>
      <c r="M580" s="177" t="s">
        <v>2333</v>
      </c>
      <c r="N580" s="144" t="s">
        <v>1432</v>
      </c>
    </row>
    <row r="581" spans="1:14">
      <c r="A581" s="140" t="str">
        <f t="shared" si="9"/>
        <v>06842-00258-00</v>
      </c>
      <c r="C581" s="175" t="s">
        <v>232</v>
      </c>
      <c r="D581" s="176" t="s">
        <v>1119</v>
      </c>
      <c r="E581" s="176" t="s">
        <v>1787</v>
      </c>
      <c r="F581" s="173">
        <v>54332</v>
      </c>
      <c r="G581" s="173" t="s">
        <v>233</v>
      </c>
      <c r="H581" s="174">
        <v>0</v>
      </c>
      <c r="I581" s="155"/>
      <c r="M581" s="177" t="s">
        <v>1643</v>
      </c>
      <c r="N581" s="144" t="s">
        <v>1432</v>
      </c>
    </row>
    <row r="582" spans="1:14">
      <c r="A582" s="140" t="str">
        <f t="shared" si="9"/>
        <v>06842-00258-01</v>
      </c>
      <c r="C582" s="175" t="s">
        <v>232</v>
      </c>
      <c r="D582" s="176" t="s">
        <v>1119</v>
      </c>
      <c r="E582" s="176" t="s">
        <v>1787</v>
      </c>
      <c r="F582" s="173">
        <v>61086</v>
      </c>
      <c r="G582" s="173" t="s">
        <v>233</v>
      </c>
      <c r="H582" s="174">
        <v>1</v>
      </c>
      <c r="I582" s="155"/>
      <c r="M582" s="177" t="s">
        <v>1643</v>
      </c>
      <c r="N582" s="144" t="s">
        <v>1432</v>
      </c>
    </row>
    <row r="583" spans="1:14">
      <c r="A583" s="140" t="str">
        <f t="shared" si="9"/>
        <v>06842-00258-02</v>
      </c>
      <c r="C583" s="175" t="s">
        <v>232</v>
      </c>
      <c r="D583" s="176" t="s">
        <v>1119</v>
      </c>
      <c r="E583" s="176" t="s">
        <v>1787</v>
      </c>
      <c r="F583" s="173">
        <v>61179</v>
      </c>
      <c r="G583" s="173" t="s">
        <v>233</v>
      </c>
      <c r="H583" s="174">
        <v>2</v>
      </c>
      <c r="I583" s="155"/>
      <c r="M583" s="177" t="s">
        <v>1643</v>
      </c>
      <c r="N583" s="144" t="s">
        <v>1432</v>
      </c>
    </row>
    <row r="584" spans="1:14">
      <c r="A584" s="140" t="str">
        <f t="shared" si="9"/>
        <v>06842-00258-03</v>
      </c>
      <c r="C584" s="175" t="s">
        <v>232</v>
      </c>
      <c r="D584" s="176" t="s">
        <v>1119</v>
      </c>
      <c r="E584" s="176" t="s">
        <v>1787</v>
      </c>
      <c r="F584" s="173">
        <v>61807</v>
      </c>
      <c r="G584" s="173" t="s">
        <v>233</v>
      </c>
      <c r="H584" s="174">
        <v>3</v>
      </c>
      <c r="I584" s="155"/>
      <c r="M584" s="177" t="s">
        <v>1643</v>
      </c>
      <c r="N584" s="144" t="s">
        <v>1432</v>
      </c>
    </row>
    <row r="585" spans="1:14">
      <c r="A585" s="140" t="str">
        <f t="shared" si="9"/>
        <v>06842-00258-04</v>
      </c>
      <c r="C585" s="175" t="s">
        <v>232</v>
      </c>
      <c r="D585" s="176" t="s">
        <v>1119</v>
      </c>
      <c r="E585" s="176" t="s">
        <v>1787</v>
      </c>
      <c r="F585" s="173">
        <v>62268</v>
      </c>
      <c r="G585" s="173" t="s">
        <v>233</v>
      </c>
      <c r="H585" s="174">
        <v>4</v>
      </c>
      <c r="I585" s="155"/>
      <c r="M585" s="177" t="s">
        <v>1643</v>
      </c>
      <c r="N585" s="144" t="s">
        <v>1432</v>
      </c>
    </row>
    <row r="586" spans="1:14">
      <c r="A586" s="140" t="str">
        <f t="shared" si="9"/>
        <v>06842-00258-05</v>
      </c>
      <c r="B586" s="145" t="s">
        <v>49</v>
      </c>
      <c r="C586" s="175" t="s">
        <v>232</v>
      </c>
      <c r="D586" s="176" t="s">
        <v>1119</v>
      </c>
      <c r="E586" s="176" t="s">
        <v>1787</v>
      </c>
      <c r="F586" s="173">
        <v>62729</v>
      </c>
      <c r="G586" s="173" t="s">
        <v>233</v>
      </c>
      <c r="H586" s="174">
        <v>5</v>
      </c>
      <c r="I586" s="155"/>
      <c r="L586" s="178"/>
      <c r="M586" s="177" t="s">
        <v>1643</v>
      </c>
      <c r="N586" s="144" t="s">
        <v>1432</v>
      </c>
    </row>
    <row r="587" spans="1:14" ht="27">
      <c r="A587" s="140" t="str">
        <f t="shared" si="9"/>
        <v>06842-00258-06</v>
      </c>
      <c r="C587" s="175" t="s">
        <v>232</v>
      </c>
      <c r="D587" s="176" t="s">
        <v>1119</v>
      </c>
      <c r="E587" s="176" t="s">
        <v>1787</v>
      </c>
      <c r="F587" s="173" t="s">
        <v>1781</v>
      </c>
      <c r="G587" s="173" t="s">
        <v>233</v>
      </c>
      <c r="H587" s="174">
        <v>6</v>
      </c>
      <c r="I587" s="144" t="s">
        <v>312</v>
      </c>
      <c r="L587" s="156" t="s">
        <v>1782</v>
      </c>
      <c r="M587" s="177"/>
    </row>
    <row r="588" spans="1:14">
      <c r="A588" s="140" t="str">
        <f t="shared" si="9"/>
        <v>06842-00488-00</v>
      </c>
      <c r="C588" s="175" t="s">
        <v>232</v>
      </c>
      <c r="D588" s="176" t="s">
        <v>1119</v>
      </c>
      <c r="E588" s="176" t="s">
        <v>1787</v>
      </c>
      <c r="F588" s="173">
        <v>62740</v>
      </c>
      <c r="G588" s="173" t="s">
        <v>1071</v>
      </c>
      <c r="H588" s="174">
        <v>0</v>
      </c>
      <c r="I588" s="144" t="s">
        <v>433</v>
      </c>
      <c r="M588" s="177"/>
      <c r="N588" s="144" t="s">
        <v>1432</v>
      </c>
    </row>
    <row r="589" spans="1:14">
      <c r="A589" s="140" t="str">
        <f t="shared" si="9"/>
        <v>06842-00488-01</v>
      </c>
      <c r="C589" s="175" t="s">
        <v>232</v>
      </c>
      <c r="D589" s="176" t="s">
        <v>1119</v>
      </c>
      <c r="E589" s="176" t="s">
        <v>1787</v>
      </c>
      <c r="F589" s="173">
        <v>63345</v>
      </c>
      <c r="G589" s="173" t="s">
        <v>1071</v>
      </c>
      <c r="H589" s="174">
        <v>1</v>
      </c>
      <c r="I589" s="144" t="s">
        <v>1073</v>
      </c>
      <c r="L589" s="143" t="s">
        <v>1074</v>
      </c>
      <c r="M589" s="177" t="s">
        <v>1643</v>
      </c>
      <c r="N589" s="144" t="s">
        <v>1432</v>
      </c>
    </row>
    <row r="590" spans="1:14" ht="27">
      <c r="A590" s="140" t="str">
        <f t="shared" si="9"/>
        <v>06842-00488-02</v>
      </c>
      <c r="C590" s="175" t="s">
        <v>232</v>
      </c>
      <c r="D590" s="176" t="s">
        <v>1119</v>
      </c>
      <c r="E590" s="176" t="s">
        <v>1787</v>
      </c>
      <c r="F590" s="173" t="s">
        <v>1781</v>
      </c>
      <c r="G590" s="173" t="s">
        <v>1067</v>
      </c>
      <c r="H590" s="174">
        <v>2</v>
      </c>
      <c r="I590" s="144" t="s">
        <v>373</v>
      </c>
      <c r="L590" s="156" t="s">
        <v>1782</v>
      </c>
      <c r="M590" s="177"/>
    </row>
    <row r="591" spans="1:14">
      <c r="A591" s="140" t="str">
        <f t="shared" si="9"/>
        <v>06896-00001-00</v>
      </c>
      <c r="C591" s="175"/>
      <c r="D591" s="176" t="s">
        <v>1859</v>
      </c>
      <c r="E591" s="176"/>
      <c r="F591" s="173" t="s">
        <v>1498</v>
      </c>
      <c r="G591" s="173" t="s">
        <v>1494</v>
      </c>
      <c r="H591" s="174">
        <v>0</v>
      </c>
      <c r="M591" s="177"/>
      <c r="N591" s="144" t="s">
        <v>47</v>
      </c>
    </row>
    <row r="592" spans="1:14">
      <c r="A592" s="140" t="str">
        <f t="shared" si="9"/>
        <v>06896-00001-01</v>
      </c>
      <c r="C592" s="175"/>
      <c r="D592" s="176" t="s">
        <v>1859</v>
      </c>
      <c r="E592" s="176"/>
      <c r="F592" s="173" t="s">
        <v>1499</v>
      </c>
      <c r="G592" s="173" t="s">
        <v>1494</v>
      </c>
      <c r="H592" s="174">
        <v>1</v>
      </c>
      <c r="I592" s="144" t="s">
        <v>1497</v>
      </c>
      <c r="M592" s="177"/>
      <c r="N592" s="144" t="s">
        <v>47</v>
      </c>
    </row>
    <row r="593" spans="1:15">
      <c r="A593" s="140" t="str">
        <f t="shared" si="9"/>
        <v>06942-00019-00</v>
      </c>
      <c r="C593" s="175" t="s">
        <v>217</v>
      </c>
      <c r="D593" s="176" t="s">
        <v>1119</v>
      </c>
      <c r="E593" s="176" t="s">
        <v>1787</v>
      </c>
      <c r="F593" s="173">
        <v>42615</v>
      </c>
      <c r="G593" s="173" t="s">
        <v>218</v>
      </c>
      <c r="H593" s="174">
        <v>0</v>
      </c>
      <c r="I593" s="144" t="s">
        <v>47</v>
      </c>
      <c r="L593" s="143" t="s">
        <v>452</v>
      </c>
      <c r="M593" s="177"/>
      <c r="N593" s="144" t="s">
        <v>1432</v>
      </c>
    </row>
    <row r="594" spans="1:15">
      <c r="A594" s="140" t="str">
        <f t="shared" si="9"/>
        <v>06942-00019-01</v>
      </c>
      <c r="C594" s="175" t="s">
        <v>217</v>
      </c>
      <c r="D594" s="176" t="s">
        <v>1119</v>
      </c>
      <c r="E594" s="176" t="s">
        <v>1787</v>
      </c>
      <c r="F594" s="173">
        <v>45058</v>
      </c>
      <c r="G594" s="173" t="s">
        <v>218</v>
      </c>
      <c r="H594" s="174">
        <v>1</v>
      </c>
      <c r="I594" s="144" t="s">
        <v>47</v>
      </c>
      <c r="L594" s="178"/>
      <c r="M594" s="177" t="s">
        <v>2334</v>
      </c>
      <c r="N594" s="144" t="s">
        <v>1432</v>
      </c>
    </row>
    <row r="595" spans="1:15">
      <c r="A595" s="140" t="str">
        <f t="shared" si="9"/>
        <v>06942-00019-02</v>
      </c>
      <c r="C595" s="175" t="s">
        <v>217</v>
      </c>
      <c r="D595" s="176" t="s">
        <v>1119</v>
      </c>
      <c r="E595" s="176" t="s">
        <v>1787</v>
      </c>
      <c r="F595" s="173">
        <v>45244</v>
      </c>
      <c r="G595" s="173" t="s">
        <v>218</v>
      </c>
      <c r="H595" s="174">
        <v>2</v>
      </c>
      <c r="I595" s="144" t="s">
        <v>47</v>
      </c>
      <c r="L595" s="178"/>
      <c r="M595" s="177" t="s">
        <v>2334</v>
      </c>
      <c r="N595" s="144" t="s">
        <v>1432</v>
      </c>
    </row>
    <row r="596" spans="1:15">
      <c r="A596" s="140" t="str">
        <f t="shared" si="9"/>
        <v>06942-00019-03</v>
      </c>
      <c r="C596" s="175" t="s">
        <v>217</v>
      </c>
      <c r="D596" s="176" t="s">
        <v>1119</v>
      </c>
      <c r="E596" s="176" t="s">
        <v>1787</v>
      </c>
      <c r="F596" s="173">
        <v>45342</v>
      </c>
      <c r="G596" s="173" t="s">
        <v>218</v>
      </c>
      <c r="H596" s="174">
        <v>3</v>
      </c>
      <c r="I596" s="144" t="s">
        <v>47</v>
      </c>
      <c r="L596" s="178"/>
      <c r="M596" s="177" t="s">
        <v>2334</v>
      </c>
      <c r="N596" s="144" t="s">
        <v>1432</v>
      </c>
    </row>
    <row r="597" spans="1:15">
      <c r="A597" s="140" t="str">
        <f t="shared" si="9"/>
        <v>06942-00019-04</v>
      </c>
      <c r="C597" s="175" t="s">
        <v>217</v>
      </c>
      <c r="D597" s="176" t="s">
        <v>1119</v>
      </c>
      <c r="E597" s="176" t="s">
        <v>1787</v>
      </c>
      <c r="F597" s="173">
        <v>45444</v>
      </c>
      <c r="G597" s="173" t="s">
        <v>218</v>
      </c>
      <c r="H597" s="174">
        <v>4</v>
      </c>
      <c r="I597" s="144" t="s">
        <v>47</v>
      </c>
      <c r="L597" s="178"/>
      <c r="M597" s="177" t="s">
        <v>2334</v>
      </c>
      <c r="N597" s="144" t="s">
        <v>1432</v>
      </c>
    </row>
    <row r="598" spans="1:15">
      <c r="A598" s="140" t="str">
        <f t="shared" si="9"/>
        <v>06942-00019-05</v>
      </c>
      <c r="C598" s="175" t="s">
        <v>217</v>
      </c>
      <c r="D598" s="176" t="s">
        <v>1119</v>
      </c>
      <c r="E598" s="176" t="s">
        <v>1787</v>
      </c>
      <c r="F598" s="173">
        <v>45719</v>
      </c>
      <c r="G598" s="173" t="s">
        <v>218</v>
      </c>
      <c r="H598" s="174">
        <v>5</v>
      </c>
      <c r="I598" s="144" t="s">
        <v>47</v>
      </c>
      <c r="L598" s="178"/>
      <c r="M598" s="177" t="s">
        <v>2335</v>
      </c>
      <c r="N598" s="144" t="s">
        <v>1432</v>
      </c>
    </row>
    <row r="599" spans="1:15">
      <c r="A599" s="140" t="str">
        <f t="shared" si="9"/>
        <v>06942-00019-06</v>
      </c>
      <c r="C599" s="175" t="s">
        <v>217</v>
      </c>
      <c r="D599" s="176" t="s">
        <v>1119</v>
      </c>
      <c r="E599" s="176" t="s">
        <v>1787</v>
      </c>
      <c r="F599" s="173">
        <v>46316</v>
      </c>
      <c r="G599" s="173" t="s">
        <v>218</v>
      </c>
      <c r="H599" s="174">
        <v>6</v>
      </c>
      <c r="I599" s="144" t="s">
        <v>47</v>
      </c>
      <c r="L599" s="178"/>
      <c r="M599" s="177" t="s">
        <v>2335</v>
      </c>
      <c r="N599" s="144" t="s">
        <v>1432</v>
      </c>
    </row>
    <row r="600" spans="1:15">
      <c r="A600" s="140" t="str">
        <f t="shared" si="9"/>
        <v>06942-00019-07</v>
      </c>
      <c r="C600" s="175" t="s">
        <v>217</v>
      </c>
      <c r="D600" s="176" t="s">
        <v>1119</v>
      </c>
      <c r="E600" s="176" t="s">
        <v>1787</v>
      </c>
      <c r="F600" s="173">
        <v>46947</v>
      </c>
      <c r="G600" s="173" t="s">
        <v>218</v>
      </c>
      <c r="H600" s="174">
        <v>7</v>
      </c>
      <c r="I600" s="144" t="s">
        <v>47</v>
      </c>
      <c r="L600" s="178"/>
      <c r="M600" s="177" t="s">
        <v>2336</v>
      </c>
      <c r="N600" s="144" t="s">
        <v>1432</v>
      </c>
    </row>
    <row r="601" spans="1:15">
      <c r="A601" s="140" t="str">
        <f t="shared" si="9"/>
        <v>06942-00019-08</v>
      </c>
      <c r="C601" s="175" t="s">
        <v>217</v>
      </c>
      <c r="D601" s="176" t="s">
        <v>1119</v>
      </c>
      <c r="E601" s="176" t="s">
        <v>1787</v>
      </c>
      <c r="F601" s="173">
        <v>47097</v>
      </c>
      <c r="G601" s="173" t="s">
        <v>218</v>
      </c>
      <c r="H601" s="174">
        <v>8</v>
      </c>
      <c r="I601" s="144" t="s">
        <v>47</v>
      </c>
      <c r="L601" s="178"/>
      <c r="M601" s="177" t="s">
        <v>2336</v>
      </c>
      <c r="N601" s="144" t="s">
        <v>1432</v>
      </c>
    </row>
    <row r="602" spans="1:15">
      <c r="A602" s="140" t="str">
        <f t="shared" si="9"/>
        <v>06942-00019-09</v>
      </c>
      <c r="C602" s="175" t="s">
        <v>217</v>
      </c>
      <c r="D602" s="176" t="s">
        <v>1119</v>
      </c>
      <c r="E602" s="176" t="s">
        <v>1787</v>
      </c>
      <c r="F602" s="173">
        <v>47519</v>
      </c>
      <c r="G602" s="173" t="s">
        <v>218</v>
      </c>
      <c r="H602" s="174">
        <v>9</v>
      </c>
      <c r="I602" s="144" t="s">
        <v>47</v>
      </c>
      <c r="L602" s="178"/>
      <c r="M602" s="177"/>
      <c r="N602" s="144" t="s">
        <v>1432</v>
      </c>
    </row>
    <row r="603" spans="1:15">
      <c r="A603" s="140" t="str">
        <f t="shared" si="9"/>
        <v>06942-00019-10</v>
      </c>
      <c r="C603" s="175" t="s">
        <v>217</v>
      </c>
      <c r="D603" s="176" t="s">
        <v>1119</v>
      </c>
      <c r="E603" s="176" t="s">
        <v>1787</v>
      </c>
      <c r="F603" s="173">
        <v>48774</v>
      </c>
      <c r="G603" s="173" t="s">
        <v>218</v>
      </c>
      <c r="H603" s="174">
        <v>10</v>
      </c>
      <c r="I603" s="144" t="s">
        <v>1163</v>
      </c>
      <c r="L603" s="178"/>
      <c r="M603" s="177" t="s">
        <v>2336</v>
      </c>
      <c r="N603" s="144" t="s">
        <v>1432</v>
      </c>
    </row>
    <row r="604" spans="1:15">
      <c r="A604" s="140" t="str">
        <f t="shared" si="9"/>
        <v>06942-00019-11</v>
      </c>
      <c r="C604" s="175" t="s">
        <v>217</v>
      </c>
      <c r="D604" s="176" t="s">
        <v>1119</v>
      </c>
      <c r="E604" s="176" t="s">
        <v>1787</v>
      </c>
      <c r="F604" s="173">
        <v>51842</v>
      </c>
      <c r="G604" s="173" t="s">
        <v>218</v>
      </c>
      <c r="H604" s="174">
        <v>11</v>
      </c>
      <c r="I604" s="144" t="s">
        <v>1164</v>
      </c>
      <c r="M604" s="177" t="s">
        <v>2335</v>
      </c>
      <c r="N604" s="144" t="s">
        <v>1432</v>
      </c>
      <c r="O604" s="150"/>
    </row>
    <row r="605" spans="1:15">
      <c r="A605" s="140" t="str">
        <f t="shared" si="9"/>
        <v>06942-00019-12</v>
      </c>
      <c r="B605" s="145" t="s">
        <v>10</v>
      </c>
      <c r="C605" s="175" t="s">
        <v>217</v>
      </c>
      <c r="D605" s="176" t="s">
        <v>1119</v>
      </c>
      <c r="E605" s="176" t="s">
        <v>1787</v>
      </c>
      <c r="F605" s="173">
        <v>55511</v>
      </c>
      <c r="G605" s="173" t="s">
        <v>218</v>
      </c>
      <c r="H605" s="174">
        <v>12</v>
      </c>
      <c r="I605" s="144" t="s">
        <v>453</v>
      </c>
      <c r="J605" s="144" t="s">
        <v>47</v>
      </c>
      <c r="K605" s="144" t="s">
        <v>47</v>
      </c>
      <c r="M605" s="177" t="s">
        <v>2335</v>
      </c>
      <c r="N605" s="144" t="s">
        <v>1432</v>
      </c>
    </row>
    <row r="606" spans="1:15">
      <c r="A606" s="140" t="str">
        <f t="shared" si="9"/>
        <v>06942-00021-00</v>
      </c>
      <c r="C606" s="175" t="s">
        <v>217</v>
      </c>
      <c r="D606" s="176" t="s">
        <v>1119</v>
      </c>
      <c r="E606" s="176" t="s">
        <v>1788</v>
      </c>
      <c r="F606" s="173">
        <v>42615</v>
      </c>
      <c r="G606" s="173" t="s">
        <v>223</v>
      </c>
      <c r="H606" s="174">
        <v>0</v>
      </c>
      <c r="L606" s="179" t="s">
        <v>459</v>
      </c>
      <c r="M606" s="177"/>
      <c r="N606" s="144" t="s">
        <v>1432</v>
      </c>
    </row>
    <row r="607" spans="1:15" ht="27">
      <c r="A607" s="140" t="str">
        <f t="shared" si="9"/>
        <v>06942-00021-01</v>
      </c>
      <c r="B607" s="145" t="s">
        <v>6</v>
      </c>
      <c r="C607" s="175" t="s">
        <v>217</v>
      </c>
      <c r="D607" s="176" t="s">
        <v>1119</v>
      </c>
      <c r="E607" s="176" t="s">
        <v>1788</v>
      </c>
      <c r="F607" s="173">
        <v>45611</v>
      </c>
      <c r="G607" s="173" t="s">
        <v>223</v>
      </c>
      <c r="H607" s="174">
        <v>1</v>
      </c>
      <c r="I607" s="155" t="s">
        <v>360</v>
      </c>
      <c r="J607" s="144" t="s">
        <v>47</v>
      </c>
      <c r="K607" s="144" t="s">
        <v>47</v>
      </c>
      <c r="M607" s="177" t="s">
        <v>2337</v>
      </c>
      <c r="N607" s="144" t="s">
        <v>1432</v>
      </c>
    </row>
    <row r="608" spans="1:15">
      <c r="A608" s="140" t="str">
        <f t="shared" si="9"/>
        <v>06942-00234-00</v>
      </c>
      <c r="C608" s="175" t="s">
        <v>211</v>
      </c>
      <c r="D608" s="176" t="s">
        <v>1119</v>
      </c>
      <c r="E608" s="176" t="s">
        <v>1787</v>
      </c>
      <c r="F608" s="173">
        <v>45048</v>
      </c>
      <c r="G608" s="173" t="s">
        <v>212</v>
      </c>
      <c r="H608" s="174">
        <v>0</v>
      </c>
      <c r="L608" s="178" t="s">
        <v>445</v>
      </c>
      <c r="M608" s="177" t="s">
        <v>501</v>
      </c>
      <c r="N608" s="144" t="s">
        <v>1432</v>
      </c>
    </row>
    <row r="609" spans="1:15">
      <c r="A609" s="140" t="str">
        <f t="shared" si="9"/>
        <v>06942-00234-01</v>
      </c>
      <c r="B609" s="145" t="s">
        <v>10</v>
      </c>
      <c r="C609" s="175" t="s">
        <v>211</v>
      </c>
      <c r="D609" s="176" t="s">
        <v>1119</v>
      </c>
      <c r="E609" s="176" t="s">
        <v>1787</v>
      </c>
      <c r="F609" s="173">
        <v>55511</v>
      </c>
      <c r="G609" s="173" t="s">
        <v>212</v>
      </c>
      <c r="H609" s="174">
        <v>1</v>
      </c>
      <c r="I609" s="155" t="s">
        <v>275</v>
      </c>
      <c r="J609" s="144" t="s">
        <v>446</v>
      </c>
      <c r="K609" s="144" t="s">
        <v>447</v>
      </c>
      <c r="M609" s="177"/>
      <c r="N609" s="144" t="s">
        <v>1432</v>
      </c>
    </row>
    <row r="610" spans="1:15">
      <c r="A610" s="140" t="str">
        <f t="shared" si="9"/>
        <v>06942-00290-00</v>
      </c>
      <c r="C610" s="175" t="s">
        <v>217</v>
      </c>
      <c r="D610" s="176" t="s">
        <v>1119</v>
      </c>
      <c r="E610" s="176" t="s">
        <v>1787</v>
      </c>
      <c r="F610" s="173">
        <v>45102</v>
      </c>
      <c r="G610" s="173" t="s">
        <v>220</v>
      </c>
      <c r="H610" s="174">
        <v>0</v>
      </c>
      <c r="L610" s="143" t="s">
        <v>455</v>
      </c>
      <c r="M610" s="177" t="s">
        <v>2334</v>
      </c>
      <c r="N610" s="144" t="s">
        <v>1432</v>
      </c>
    </row>
    <row r="611" spans="1:15">
      <c r="A611" s="140" t="str">
        <f t="shared" si="9"/>
        <v>06942-00290-01</v>
      </c>
      <c r="C611" s="175" t="s">
        <v>217</v>
      </c>
      <c r="D611" s="176" t="s">
        <v>1119</v>
      </c>
      <c r="E611" s="176" t="s">
        <v>1787</v>
      </c>
      <c r="F611" s="173">
        <v>45611</v>
      </c>
      <c r="G611" s="173" t="s">
        <v>220</v>
      </c>
      <c r="H611" s="174">
        <v>1</v>
      </c>
      <c r="M611" s="177" t="s">
        <v>2334</v>
      </c>
      <c r="N611" s="144" t="s">
        <v>1432</v>
      </c>
    </row>
    <row r="612" spans="1:15">
      <c r="A612" s="140" t="str">
        <f t="shared" si="9"/>
        <v>06942-00290-02</v>
      </c>
      <c r="C612" s="175" t="s">
        <v>217</v>
      </c>
      <c r="D612" s="176" t="s">
        <v>1119</v>
      </c>
      <c r="E612" s="176" t="s">
        <v>1787</v>
      </c>
      <c r="F612" s="173">
        <v>45814</v>
      </c>
      <c r="G612" s="173" t="s">
        <v>220</v>
      </c>
      <c r="H612" s="174">
        <v>2</v>
      </c>
      <c r="M612" s="177" t="s">
        <v>2336</v>
      </c>
      <c r="N612" s="144" t="s">
        <v>1432</v>
      </c>
    </row>
    <row r="613" spans="1:15">
      <c r="A613" s="140" t="str">
        <f t="shared" si="9"/>
        <v>06942-00290-03</v>
      </c>
      <c r="C613" s="175" t="s">
        <v>217</v>
      </c>
      <c r="D613" s="176" t="s">
        <v>1119</v>
      </c>
      <c r="E613" s="176" t="s">
        <v>1787</v>
      </c>
      <c r="F613" s="173">
        <v>46316</v>
      </c>
      <c r="G613" s="173" t="s">
        <v>220</v>
      </c>
      <c r="H613" s="174">
        <v>3</v>
      </c>
      <c r="M613" s="177" t="s">
        <v>2335</v>
      </c>
      <c r="N613" s="144" t="s">
        <v>1432</v>
      </c>
    </row>
    <row r="614" spans="1:15">
      <c r="A614" s="140" t="str">
        <f t="shared" si="9"/>
        <v>06942-00290-04</v>
      </c>
      <c r="C614" s="175" t="s">
        <v>217</v>
      </c>
      <c r="D614" s="176" t="s">
        <v>1119</v>
      </c>
      <c r="E614" s="176" t="s">
        <v>1787</v>
      </c>
      <c r="F614" s="173">
        <v>46947</v>
      </c>
      <c r="G614" s="173" t="s">
        <v>220</v>
      </c>
      <c r="H614" s="174">
        <v>4</v>
      </c>
      <c r="M614" s="177" t="s">
        <v>2336</v>
      </c>
      <c r="N614" s="144" t="s">
        <v>1432</v>
      </c>
    </row>
    <row r="615" spans="1:15">
      <c r="A615" s="140" t="str">
        <f t="shared" si="9"/>
        <v>06942-00290-05</v>
      </c>
      <c r="C615" s="175" t="s">
        <v>217</v>
      </c>
      <c r="D615" s="176" t="s">
        <v>1119</v>
      </c>
      <c r="E615" s="176" t="s">
        <v>1787</v>
      </c>
      <c r="F615" s="173">
        <v>47097</v>
      </c>
      <c r="G615" s="173" t="s">
        <v>220</v>
      </c>
      <c r="H615" s="174">
        <v>5</v>
      </c>
      <c r="M615" s="177" t="s">
        <v>2336</v>
      </c>
      <c r="N615" s="144" t="s">
        <v>1432</v>
      </c>
    </row>
    <row r="616" spans="1:15">
      <c r="A616" s="140" t="str">
        <f t="shared" si="9"/>
        <v>06942-00290-06</v>
      </c>
      <c r="C616" s="175" t="s">
        <v>217</v>
      </c>
      <c r="D616" s="176" t="s">
        <v>1119</v>
      </c>
      <c r="E616" s="176" t="s">
        <v>1787</v>
      </c>
      <c r="F616" s="173">
        <v>47519</v>
      </c>
      <c r="G616" s="173" t="s">
        <v>220</v>
      </c>
      <c r="H616" s="174">
        <v>6</v>
      </c>
      <c r="M616" s="177"/>
      <c r="N616" s="144" t="s">
        <v>1432</v>
      </c>
    </row>
    <row r="617" spans="1:15">
      <c r="A617" s="140" t="str">
        <f t="shared" si="9"/>
        <v>06942-00290-07</v>
      </c>
      <c r="C617" s="175" t="s">
        <v>217</v>
      </c>
      <c r="D617" s="176" t="s">
        <v>1119</v>
      </c>
      <c r="E617" s="176" t="s">
        <v>1787</v>
      </c>
      <c r="F617" s="173">
        <v>48774</v>
      </c>
      <c r="G617" s="173" t="s">
        <v>220</v>
      </c>
      <c r="H617" s="174">
        <v>7</v>
      </c>
      <c r="M617" s="177" t="s">
        <v>2336</v>
      </c>
      <c r="N617" s="144" t="s">
        <v>1432</v>
      </c>
    </row>
    <row r="618" spans="1:15">
      <c r="A618" s="140" t="str">
        <f t="shared" si="9"/>
        <v>06942-00290-08</v>
      </c>
      <c r="C618" s="175" t="s">
        <v>217</v>
      </c>
      <c r="D618" s="176" t="s">
        <v>1119</v>
      </c>
      <c r="E618" s="176" t="s">
        <v>1787</v>
      </c>
      <c r="F618" s="173">
        <v>51842</v>
      </c>
      <c r="G618" s="173" t="s">
        <v>220</v>
      </c>
      <c r="H618" s="174">
        <v>8</v>
      </c>
      <c r="M618" s="177" t="s">
        <v>2338</v>
      </c>
      <c r="N618" s="144" t="s">
        <v>1432</v>
      </c>
      <c r="O618" s="150"/>
    </row>
    <row r="619" spans="1:15">
      <c r="A619" s="140" t="str">
        <f t="shared" si="9"/>
        <v>06942-00290-09</v>
      </c>
      <c r="B619" s="145" t="s">
        <v>6</v>
      </c>
      <c r="C619" s="175" t="s">
        <v>217</v>
      </c>
      <c r="D619" s="176" t="s">
        <v>1119</v>
      </c>
      <c r="E619" s="176" t="s">
        <v>1787</v>
      </c>
      <c r="F619" s="173">
        <v>55511</v>
      </c>
      <c r="G619" s="173" t="s">
        <v>220</v>
      </c>
      <c r="H619" s="174">
        <v>9</v>
      </c>
      <c r="I619" s="144" t="s">
        <v>456</v>
      </c>
      <c r="J619" s="144" t="s">
        <v>47</v>
      </c>
      <c r="K619" s="144" t="s">
        <v>47</v>
      </c>
      <c r="M619" s="177" t="s">
        <v>2338</v>
      </c>
      <c r="N619" s="144" t="s">
        <v>1432</v>
      </c>
    </row>
    <row r="620" spans="1:15">
      <c r="A620" s="140" t="str">
        <f t="shared" si="9"/>
        <v>06942-00365-00</v>
      </c>
      <c r="C620" s="175" t="s">
        <v>211</v>
      </c>
      <c r="D620" s="176" t="s">
        <v>1119</v>
      </c>
      <c r="E620" s="176" t="s">
        <v>1787</v>
      </c>
      <c r="F620" s="173">
        <v>47627</v>
      </c>
      <c r="G620" s="173" t="s">
        <v>214</v>
      </c>
      <c r="H620" s="174">
        <v>0</v>
      </c>
      <c r="I620" s="155"/>
      <c r="L620" s="178"/>
      <c r="M620" s="177" t="s">
        <v>501</v>
      </c>
      <c r="N620" s="144" t="s">
        <v>1432</v>
      </c>
    </row>
    <row r="621" spans="1:15">
      <c r="A621" s="140" t="str">
        <f t="shared" si="9"/>
        <v>06942-00365-01</v>
      </c>
      <c r="B621" s="145" t="s">
        <v>10</v>
      </c>
      <c r="C621" s="175" t="s">
        <v>211</v>
      </c>
      <c r="D621" s="176" t="s">
        <v>1119</v>
      </c>
      <c r="E621" s="176" t="s">
        <v>1787</v>
      </c>
      <c r="F621" s="173">
        <v>55511</v>
      </c>
      <c r="G621" s="173" t="s">
        <v>214</v>
      </c>
      <c r="H621" s="174">
        <v>1</v>
      </c>
      <c r="I621" s="155" t="s">
        <v>448</v>
      </c>
      <c r="J621" s="144" t="s">
        <v>449</v>
      </c>
      <c r="K621" s="144" t="s">
        <v>450</v>
      </c>
      <c r="L621" s="178"/>
      <c r="M621" s="177" t="s">
        <v>501</v>
      </c>
      <c r="N621" s="144" t="s">
        <v>1432</v>
      </c>
    </row>
    <row r="622" spans="1:15" ht="27">
      <c r="A622" s="140" t="str">
        <f t="shared" si="9"/>
        <v>06942-00371-00</v>
      </c>
      <c r="C622" s="175" t="s">
        <v>217</v>
      </c>
      <c r="D622" s="176" t="s">
        <v>1119</v>
      </c>
      <c r="E622" s="176" t="s">
        <v>1787</v>
      </c>
      <c r="F622" s="173">
        <v>49170</v>
      </c>
      <c r="G622" s="173" t="s">
        <v>221</v>
      </c>
      <c r="H622" s="174">
        <v>0</v>
      </c>
      <c r="L622" s="143" t="s">
        <v>457</v>
      </c>
      <c r="M622" s="177" t="s">
        <v>2339</v>
      </c>
      <c r="N622" s="144" t="s">
        <v>1432</v>
      </c>
    </row>
    <row r="623" spans="1:15" ht="27">
      <c r="A623" s="140" t="str">
        <f t="shared" si="9"/>
        <v>06942-00371-01</v>
      </c>
      <c r="C623" s="175" t="s">
        <v>217</v>
      </c>
      <c r="D623" s="176" t="s">
        <v>1119</v>
      </c>
      <c r="E623" s="176" t="s">
        <v>1787</v>
      </c>
      <c r="F623" s="173">
        <v>50895</v>
      </c>
      <c r="G623" s="173" t="s">
        <v>221</v>
      </c>
      <c r="H623" s="174">
        <v>1</v>
      </c>
      <c r="M623" s="177" t="s">
        <v>2340</v>
      </c>
      <c r="N623" s="144" t="s">
        <v>1432</v>
      </c>
      <c r="O623" s="150"/>
    </row>
    <row r="624" spans="1:15" ht="27">
      <c r="A624" s="140" t="str">
        <f t="shared" si="9"/>
        <v>06942-00371-02</v>
      </c>
      <c r="C624" s="175" t="s">
        <v>217</v>
      </c>
      <c r="D624" s="176" t="s">
        <v>1119</v>
      </c>
      <c r="E624" s="176" t="s">
        <v>1787</v>
      </c>
      <c r="F624" s="173">
        <v>51842</v>
      </c>
      <c r="G624" s="173" t="s">
        <v>221</v>
      </c>
      <c r="H624" s="174">
        <v>2</v>
      </c>
      <c r="M624" s="177" t="s">
        <v>2340</v>
      </c>
      <c r="N624" s="144" t="s">
        <v>1432</v>
      </c>
      <c r="O624" s="150"/>
    </row>
    <row r="625" spans="1:15" ht="27">
      <c r="A625" s="140" t="str">
        <f t="shared" si="9"/>
        <v>06942-00371-03</v>
      </c>
      <c r="C625" s="175" t="s">
        <v>217</v>
      </c>
      <c r="D625" s="176" t="s">
        <v>1119</v>
      </c>
      <c r="E625" s="176" t="s">
        <v>1787</v>
      </c>
      <c r="F625" s="173">
        <v>53228</v>
      </c>
      <c r="G625" s="173" t="s">
        <v>221</v>
      </c>
      <c r="H625" s="174">
        <v>3</v>
      </c>
      <c r="M625" s="177" t="s">
        <v>2340</v>
      </c>
      <c r="N625" s="144" t="s">
        <v>1432</v>
      </c>
    </row>
    <row r="626" spans="1:15">
      <c r="A626" s="140" t="str">
        <f t="shared" si="9"/>
        <v>06942-00371-04</v>
      </c>
      <c r="C626" s="175" t="s">
        <v>217</v>
      </c>
      <c r="D626" s="176" t="s">
        <v>1119</v>
      </c>
      <c r="E626" s="176" t="s">
        <v>1787</v>
      </c>
      <c r="F626" s="173">
        <v>54790</v>
      </c>
      <c r="G626" s="173" t="s">
        <v>221</v>
      </c>
      <c r="H626" s="174">
        <v>4</v>
      </c>
      <c r="M626" s="177" t="s">
        <v>2341</v>
      </c>
      <c r="N626" s="144" t="s">
        <v>1432</v>
      </c>
      <c r="O626" s="150"/>
    </row>
    <row r="627" spans="1:15">
      <c r="A627" s="140" t="str">
        <f t="shared" si="9"/>
        <v>06942-00371-05</v>
      </c>
      <c r="B627" s="145" t="s">
        <v>6</v>
      </c>
      <c r="C627" s="175" t="s">
        <v>217</v>
      </c>
      <c r="D627" s="176" t="s">
        <v>1119</v>
      </c>
      <c r="E627" s="176" t="s">
        <v>1787</v>
      </c>
      <c r="F627" s="173">
        <v>55535</v>
      </c>
      <c r="G627" s="173" t="s">
        <v>221</v>
      </c>
      <c r="H627" s="174">
        <v>5</v>
      </c>
      <c r="I627" s="144" t="s">
        <v>458</v>
      </c>
      <c r="J627" s="144" t="s">
        <v>47</v>
      </c>
      <c r="K627" s="144" t="s">
        <v>47</v>
      </c>
      <c r="M627" s="177" t="s">
        <v>2341</v>
      </c>
      <c r="N627" s="144" t="s">
        <v>1432</v>
      </c>
    </row>
    <row r="628" spans="1:15">
      <c r="A628" s="140" t="str">
        <f t="shared" si="9"/>
        <v>06942-00371-06</v>
      </c>
      <c r="C628" s="175" t="s">
        <v>217</v>
      </c>
      <c r="D628" s="176" t="s">
        <v>1119</v>
      </c>
      <c r="E628" s="176" t="s">
        <v>1787</v>
      </c>
      <c r="F628" s="173">
        <v>63345</v>
      </c>
      <c r="G628" s="173" t="s">
        <v>1085</v>
      </c>
      <c r="H628" s="174">
        <v>6</v>
      </c>
      <c r="I628" s="144" t="s">
        <v>1087</v>
      </c>
      <c r="L628" s="143" t="s">
        <v>1074</v>
      </c>
      <c r="M628" s="177" t="s">
        <v>2341</v>
      </c>
      <c r="N628" s="144" t="s">
        <v>1432</v>
      </c>
    </row>
    <row r="629" spans="1:15">
      <c r="A629" s="140" t="str">
        <f t="shared" si="9"/>
        <v>06942-05320-00</v>
      </c>
      <c r="C629" s="175" t="s">
        <v>1860</v>
      </c>
      <c r="D629" s="176" t="s">
        <v>1119</v>
      </c>
      <c r="E629" s="176" t="s">
        <v>1787</v>
      </c>
      <c r="F629" s="173">
        <v>33390</v>
      </c>
      <c r="G629" s="173" t="s">
        <v>210</v>
      </c>
      <c r="H629" s="174">
        <v>0</v>
      </c>
      <c r="L629" s="178" t="s">
        <v>187</v>
      </c>
      <c r="M629" s="177" t="s">
        <v>501</v>
      </c>
      <c r="N629" s="144" t="s">
        <v>1432</v>
      </c>
    </row>
    <row r="630" spans="1:15">
      <c r="A630" s="140" t="str">
        <f t="shared" si="9"/>
        <v>06942-05320-01</v>
      </c>
      <c r="C630" s="175" t="s">
        <v>1860</v>
      </c>
      <c r="D630" s="176" t="s">
        <v>1119</v>
      </c>
      <c r="E630" s="176" t="s">
        <v>1787</v>
      </c>
      <c r="F630" s="173">
        <v>33631</v>
      </c>
      <c r="G630" s="173" t="s">
        <v>210</v>
      </c>
      <c r="H630" s="174">
        <v>1</v>
      </c>
      <c r="L630" s="178"/>
      <c r="M630" s="177" t="s">
        <v>2342</v>
      </c>
      <c r="N630" s="144" t="s">
        <v>1432</v>
      </c>
    </row>
    <row r="631" spans="1:15">
      <c r="A631" s="140" t="str">
        <f t="shared" si="9"/>
        <v>06942-05320-02</v>
      </c>
      <c r="C631" s="175" t="s">
        <v>1860</v>
      </c>
      <c r="D631" s="176" t="s">
        <v>1119</v>
      </c>
      <c r="E631" s="176" t="s">
        <v>1787</v>
      </c>
      <c r="F631" s="173">
        <v>40004</v>
      </c>
      <c r="G631" s="173" t="s">
        <v>210</v>
      </c>
      <c r="H631" s="174">
        <v>2</v>
      </c>
      <c r="L631" s="178"/>
      <c r="M631" s="177" t="s">
        <v>2342</v>
      </c>
      <c r="N631" s="144" t="s">
        <v>1432</v>
      </c>
    </row>
    <row r="632" spans="1:15">
      <c r="A632" s="140" t="str">
        <f t="shared" si="9"/>
        <v>06942-05320-03</v>
      </c>
      <c r="C632" s="175" t="s">
        <v>1860</v>
      </c>
      <c r="D632" s="176" t="s">
        <v>1119</v>
      </c>
      <c r="E632" s="176" t="s">
        <v>1787</v>
      </c>
      <c r="F632" s="173">
        <v>40088</v>
      </c>
      <c r="G632" s="173" t="s">
        <v>210</v>
      </c>
      <c r="H632" s="174">
        <v>3</v>
      </c>
      <c r="L632" s="178"/>
      <c r="M632" s="177" t="s">
        <v>2342</v>
      </c>
      <c r="N632" s="144" t="s">
        <v>1432</v>
      </c>
    </row>
    <row r="633" spans="1:15">
      <c r="A633" s="140" t="str">
        <f t="shared" si="9"/>
        <v>06942-05320-04</v>
      </c>
      <c r="C633" s="175" t="s">
        <v>1860</v>
      </c>
      <c r="D633" s="176" t="s">
        <v>1119</v>
      </c>
      <c r="E633" s="176" t="s">
        <v>1787</v>
      </c>
      <c r="F633" s="173">
        <v>40151</v>
      </c>
      <c r="G633" s="173" t="s">
        <v>210</v>
      </c>
      <c r="H633" s="174">
        <v>4</v>
      </c>
      <c r="L633" s="178"/>
      <c r="M633" s="177" t="s">
        <v>2342</v>
      </c>
      <c r="N633" s="144" t="s">
        <v>1432</v>
      </c>
    </row>
    <row r="634" spans="1:15">
      <c r="A634" s="140" t="str">
        <f t="shared" si="9"/>
        <v>06942-05320-05</v>
      </c>
      <c r="C634" s="175" t="s">
        <v>1860</v>
      </c>
      <c r="D634" s="176" t="s">
        <v>1119</v>
      </c>
      <c r="E634" s="176" t="s">
        <v>1787</v>
      </c>
      <c r="F634" s="173">
        <v>40194</v>
      </c>
      <c r="G634" s="173" t="s">
        <v>210</v>
      </c>
      <c r="H634" s="174">
        <v>5</v>
      </c>
      <c r="L634" s="178"/>
      <c r="M634" s="177" t="s">
        <v>2342</v>
      </c>
      <c r="N634" s="144" t="s">
        <v>1432</v>
      </c>
    </row>
    <row r="635" spans="1:15">
      <c r="A635" s="140" t="str">
        <f t="shared" si="9"/>
        <v>06942-05320-06</v>
      </c>
      <c r="C635" s="175" t="s">
        <v>1860</v>
      </c>
      <c r="D635" s="176" t="s">
        <v>1119</v>
      </c>
      <c r="E635" s="176" t="s">
        <v>1787</v>
      </c>
      <c r="F635" s="173">
        <v>40250</v>
      </c>
      <c r="G635" s="173" t="s">
        <v>210</v>
      </c>
      <c r="H635" s="174">
        <v>6</v>
      </c>
      <c r="L635" s="178"/>
      <c r="M635" s="177" t="s">
        <v>2344</v>
      </c>
      <c r="N635" s="144" t="s">
        <v>1432</v>
      </c>
    </row>
    <row r="636" spans="1:15">
      <c r="A636" s="140" t="str">
        <f t="shared" si="9"/>
        <v>06942-05320-07</v>
      </c>
      <c r="C636" s="175" t="s">
        <v>1860</v>
      </c>
      <c r="D636" s="176" t="s">
        <v>1119</v>
      </c>
      <c r="E636" s="176" t="s">
        <v>1787</v>
      </c>
      <c r="F636" s="173">
        <v>40416</v>
      </c>
      <c r="G636" s="173" t="s">
        <v>210</v>
      </c>
      <c r="H636" s="174">
        <v>7</v>
      </c>
      <c r="L636" s="178"/>
      <c r="M636" s="177" t="s">
        <v>2344</v>
      </c>
      <c r="N636" s="144" t="s">
        <v>1432</v>
      </c>
    </row>
    <row r="637" spans="1:15">
      <c r="A637" s="140" t="str">
        <f t="shared" si="9"/>
        <v>06942-05320-08</v>
      </c>
      <c r="C637" s="175" t="s">
        <v>1860</v>
      </c>
      <c r="D637" s="176" t="s">
        <v>1119</v>
      </c>
      <c r="E637" s="176" t="s">
        <v>1787</v>
      </c>
      <c r="F637" s="173">
        <v>40708</v>
      </c>
      <c r="G637" s="173" t="s">
        <v>210</v>
      </c>
      <c r="H637" s="174">
        <v>8</v>
      </c>
      <c r="L637" s="178"/>
      <c r="M637" s="177" t="s">
        <v>2344</v>
      </c>
      <c r="N637" s="144" t="s">
        <v>1432</v>
      </c>
    </row>
    <row r="638" spans="1:15">
      <c r="A638" s="140" t="str">
        <f t="shared" si="9"/>
        <v>06942-05320-09</v>
      </c>
      <c r="C638" s="175" t="s">
        <v>1860</v>
      </c>
      <c r="D638" s="176" t="s">
        <v>1119</v>
      </c>
      <c r="E638" s="176" t="s">
        <v>1787</v>
      </c>
      <c r="F638" s="173">
        <v>41194</v>
      </c>
      <c r="G638" s="173" t="s">
        <v>210</v>
      </c>
      <c r="H638" s="174">
        <v>9</v>
      </c>
      <c r="L638" s="178"/>
      <c r="M638" s="177" t="s">
        <v>2344</v>
      </c>
      <c r="N638" s="144" t="s">
        <v>1432</v>
      </c>
    </row>
    <row r="639" spans="1:15">
      <c r="A639" s="140" t="str">
        <f t="shared" si="9"/>
        <v>06942-05320-10</v>
      </c>
      <c r="C639" s="175" t="s">
        <v>1860</v>
      </c>
      <c r="D639" s="176" t="s">
        <v>1119</v>
      </c>
      <c r="E639" s="176" t="s">
        <v>1787</v>
      </c>
      <c r="F639" s="173">
        <v>42407</v>
      </c>
      <c r="G639" s="173" t="s">
        <v>210</v>
      </c>
      <c r="H639" s="174">
        <v>10</v>
      </c>
      <c r="L639" s="178"/>
      <c r="M639" s="177" t="s">
        <v>2344</v>
      </c>
      <c r="N639" s="144" t="s">
        <v>1432</v>
      </c>
    </row>
    <row r="640" spans="1:15">
      <c r="A640" s="140" t="str">
        <f t="shared" si="9"/>
        <v>06942-05320-11</v>
      </c>
      <c r="C640" s="175" t="s">
        <v>1860</v>
      </c>
      <c r="D640" s="176" t="s">
        <v>1119</v>
      </c>
      <c r="E640" s="176" t="s">
        <v>1787</v>
      </c>
      <c r="F640" s="173">
        <v>42850</v>
      </c>
      <c r="G640" s="173" t="s">
        <v>210</v>
      </c>
      <c r="H640" s="174">
        <v>11</v>
      </c>
      <c r="L640" s="178"/>
      <c r="M640" s="177" t="s">
        <v>2344</v>
      </c>
      <c r="N640" s="144" t="s">
        <v>1432</v>
      </c>
    </row>
    <row r="641" spans="1:15">
      <c r="A641" s="140" t="str">
        <f t="shared" si="9"/>
        <v>06942-05320-12</v>
      </c>
      <c r="C641" s="175" t="s">
        <v>1860</v>
      </c>
      <c r="D641" s="176" t="s">
        <v>1119</v>
      </c>
      <c r="E641" s="176" t="s">
        <v>1787</v>
      </c>
      <c r="F641" s="173">
        <v>43197</v>
      </c>
      <c r="G641" s="173" t="s">
        <v>210</v>
      </c>
      <c r="H641" s="174">
        <v>12</v>
      </c>
      <c r="L641" s="178"/>
      <c r="M641" s="177" t="s">
        <v>2344</v>
      </c>
      <c r="N641" s="144" t="s">
        <v>1432</v>
      </c>
    </row>
    <row r="642" spans="1:15">
      <c r="A642" s="140" t="str">
        <f t="shared" ref="A642:A705" si="10">G642&amp;"-"&amp;TEXT(H642,"00")</f>
        <v>06942-05320-13</v>
      </c>
      <c r="C642" s="175" t="s">
        <v>1860</v>
      </c>
      <c r="D642" s="176" t="s">
        <v>1119</v>
      </c>
      <c r="E642" s="176" t="s">
        <v>1787</v>
      </c>
      <c r="F642" s="173">
        <v>43413</v>
      </c>
      <c r="G642" s="173" t="s">
        <v>210</v>
      </c>
      <c r="H642" s="174">
        <v>13</v>
      </c>
      <c r="L642" s="178"/>
      <c r="M642" s="177" t="s">
        <v>2344</v>
      </c>
      <c r="N642" s="144" t="s">
        <v>1432</v>
      </c>
    </row>
    <row r="643" spans="1:15">
      <c r="A643" s="140" t="str">
        <f t="shared" si="10"/>
        <v>06942-05320-14</v>
      </c>
      <c r="C643" s="175" t="s">
        <v>1860</v>
      </c>
      <c r="D643" s="176" t="s">
        <v>1119</v>
      </c>
      <c r="E643" s="176" t="s">
        <v>1787</v>
      </c>
      <c r="F643" s="173">
        <v>44430</v>
      </c>
      <c r="G643" s="173" t="s">
        <v>210</v>
      </c>
      <c r="H643" s="174">
        <v>14</v>
      </c>
      <c r="L643" s="178"/>
      <c r="M643" s="177" t="s">
        <v>2344</v>
      </c>
      <c r="N643" s="144" t="s">
        <v>1432</v>
      </c>
    </row>
    <row r="644" spans="1:15">
      <c r="A644" s="140" t="str">
        <f t="shared" si="10"/>
        <v>06942-05320-15</v>
      </c>
      <c r="B644" s="145" t="s">
        <v>10</v>
      </c>
      <c r="C644" s="175" t="s">
        <v>1860</v>
      </c>
      <c r="D644" s="176" t="s">
        <v>1119</v>
      </c>
      <c r="E644" s="176" t="s">
        <v>1787</v>
      </c>
      <c r="F644" s="173">
        <v>55511</v>
      </c>
      <c r="G644" s="173" t="s">
        <v>210</v>
      </c>
      <c r="H644" s="174">
        <v>15</v>
      </c>
      <c r="I644" s="144" t="s">
        <v>442</v>
      </c>
      <c r="J644" s="144" t="s">
        <v>443</v>
      </c>
      <c r="K644" s="144" t="s">
        <v>444</v>
      </c>
      <c r="M644" s="177" t="s">
        <v>2343</v>
      </c>
      <c r="N644" s="144" t="s">
        <v>1432</v>
      </c>
    </row>
    <row r="645" spans="1:15">
      <c r="A645" s="140" t="str">
        <f t="shared" si="10"/>
        <v>07042-00010-00</v>
      </c>
      <c r="C645" s="175" t="s">
        <v>160</v>
      </c>
      <c r="D645" s="176" t="s">
        <v>1119</v>
      </c>
      <c r="E645" s="176" t="s">
        <v>1787</v>
      </c>
      <c r="F645" s="173">
        <v>42494</v>
      </c>
      <c r="G645" s="173" t="s">
        <v>161</v>
      </c>
      <c r="H645" s="174">
        <v>0</v>
      </c>
      <c r="I645" s="155"/>
      <c r="K645" s="150"/>
      <c r="L645" s="178"/>
      <c r="M645" s="177"/>
      <c r="N645" s="144" t="s">
        <v>1432</v>
      </c>
    </row>
    <row r="646" spans="1:15">
      <c r="A646" s="140" t="str">
        <f t="shared" si="10"/>
        <v>07042-00010-01</v>
      </c>
      <c r="C646" s="175" t="s">
        <v>160</v>
      </c>
      <c r="D646" s="176" t="s">
        <v>1119</v>
      </c>
      <c r="E646" s="176" t="s">
        <v>1787</v>
      </c>
      <c r="F646" s="173">
        <v>43925</v>
      </c>
      <c r="G646" s="173" t="s">
        <v>161</v>
      </c>
      <c r="H646" s="174">
        <v>1</v>
      </c>
      <c r="I646" s="155"/>
      <c r="K646" s="150"/>
      <c r="L646" s="178"/>
      <c r="M646" s="177" t="s">
        <v>2345</v>
      </c>
      <c r="N646" s="144" t="s">
        <v>1432</v>
      </c>
    </row>
    <row r="647" spans="1:15">
      <c r="A647" s="140" t="str">
        <f t="shared" si="10"/>
        <v>07042-00010-02</v>
      </c>
      <c r="C647" s="175" t="s">
        <v>160</v>
      </c>
      <c r="D647" s="176" t="s">
        <v>1119</v>
      </c>
      <c r="E647" s="176" t="s">
        <v>1787</v>
      </c>
      <c r="F647" s="173">
        <v>44316</v>
      </c>
      <c r="G647" s="173" t="s">
        <v>161</v>
      </c>
      <c r="H647" s="174">
        <v>2</v>
      </c>
      <c r="I647" s="155"/>
      <c r="K647" s="150"/>
      <c r="L647" s="178"/>
      <c r="M647" s="177" t="s">
        <v>2345</v>
      </c>
      <c r="N647" s="144" t="s">
        <v>1432</v>
      </c>
    </row>
    <row r="648" spans="1:15">
      <c r="A648" s="140" t="str">
        <f t="shared" si="10"/>
        <v>07042-00010-03</v>
      </c>
      <c r="B648" s="145" t="s">
        <v>6</v>
      </c>
      <c r="C648" s="175" t="s">
        <v>160</v>
      </c>
      <c r="D648" s="176" t="s">
        <v>1119</v>
      </c>
      <c r="E648" s="176" t="s">
        <v>1787</v>
      </c>
      <c r="F648" s="173">
        <v>45867</v>
      </c>
      <c r="G648" s="173" t="s">
        <v>161</v>
      </c>
      <c r="H648" s="174">
        <v>3</v>
      </c>
      <c r="I648" s="144" t="s">
        <v>413</v>
      </c>
      <c r="J648" s="144" t="s">
        <v>414</v>
      </c>
      <c r="K648" s="150" t="s">
        <v>47</v>
      </c>
      <c r="L648" s="178"/>
      <c r="M648" s="177" t="s">
        <v>2346</v>
      </c>
      <c r="N648" s="144" t="s">
        <v>1432</v>
      </c>
    </row>
    <row r="649" spans="1:15">
      <c r="A649" s="140" t="str">
        <f t="shared" si="10"/>
        <v>07042-00026-00</v>
      </c>
      <c r="C649" s="175" t="s">
        <v>164</v>
      </c>
      <c r="D649" s="176" t="s">
        <v>1119</v>
      </c>
      <c r="E649" s="176" t="s">
        <v>1787</v>
      </c>
      <c r="F649" s="173">
        <v>62633</v>
      </c>
      <c r="G649" s="173" t="s">
        <v>165</v>
      </c>
      <c r="H649" s="174">
        <v>0</v>
      </c>
      <c r="K649" s="150"/>
      <c r="L649" s="178"/>
      <c r="M649" s="177" t="s">
        <v>1870</v>
      </c>
      <c r="N649" s="144" t="s">
        <v>1432</v>
      </c>
    </row>
    <row r="650" spans="1:15">
      <c r="A650" s="140" t="str">
        <f t="shared" si="10"/>
        <v>07042-00059-00</v>
      </c>
      <c r="C650" s="175" t="s">
        <v>162</v>
      </c>
      <c r="D650" s="176" t="s">
        <v>1119</v>
      </c>
      <c r="E650" s="176" t="s">
        <v>1787</v>
      </c>
      <c r="F650" s="173">
        <v>48569</v>
      </c>
      <c r="G650" s="173" t="s">
        <v>163</v>
      </c>
      <c r="H650" s="174">
        <v>0</v>
      </c>
      <c r="K650" s="150"/>
      <c r="L650" s="178"/>
      <c r="M650" s="177" t="s">
        <v>2347</v>
      </c>
      <c r="N650" s="144" t="s">
        <v>1432</v>
      </c>
    </row>
    <row r="651" spans="1:15">
      <c r="A651" s="140" t="str">
        <f t="shared" si="10"/>
        <v>07042-00059-01</v>
      </c>
      <c r="C651" s="175" t="s">
        <v>162</v>
      </c>
      <c r="D651" s="176" t="s">
        <v>1119</v>
      </c>
      <c r="E651" s="176" t="s">
        <v>1787</v>
      </c>
      <c r="F651" s="173">
        <v>50296</v>
      </c>
      <c r="G651" s="173" t="s">
        <v>163</v>
      </c>
      <c r="H651" s="174">
        <v>1</v>
      </c>
      <c r="K651" s="150"/>
      <c r="L651" s="178"/>
      <c r="M651" s="177" t="s">
        <v>2348</v>
      </c>
      <c r="N651" s="144" t="s">
        <v>1432</v>
      </c>
    </row>
    <row r="652" spans="1:15">
      <c r="A652" s="140" t="str">
        <f t="shared" si="10"/>
        <v>07042-00059-02</v>
      </c>
      <c r="C652" s="175" t="s">
        <v>162</v>
      </c>
      <c r="D652" s="176" t="s">
        <v>1119</v>
      </c>
      <c r="E652" s="176" t="s">
        <v>1787</v>
      </c>
      <c r="F652" s="173">
        <v>50883</v>
      </c>
      <c r="G652" s="173" t="s">
        <v>163</v>
      </c>
      <c r="H652" s="174">
        <v>2</v>
      </c>
      <c r="K652" s="150"/>
      <c r="L652" s="178"/>
      <c r="M652" s="177" t="s">
        <v>2349</v>
      </c>
      <c r="N652" s="144" t="s">
        <v>1432</v>
      </c>
    </row>
    <row r="653" spans="1:15">
      <c r="A653" s="140" t="str">
        <f t="shared" si="10"/>
        <v>07042-00059-03</v>
      </c>
      <c r="C653" s="175" t="s">
        <v>162</v>
      </c>
      <c r="D653" s="176" t="s">
        <v>1119</v>
      </c>
      <c r="E653" s="176" t="s">
        <v>1787</v>
      </c>
      <c r="F653" s="173">
        <v>51908</v>
      </c>
      <c r="G653" s="173" t="s">
        <v>163</v>
      </c>
      <c r="H653" s="174">
        <v>3</v>
      </c>
      <c r="K653" s="150"/>
      <c r="L653" s="178"/>
      <c r="M653" s="177" t="s">
        <v>2349</v>
      </c>
      <c r="N653" s="144" t="s">
        <v>1432</v>
      </c>
      <c r="O653" s="150"/>
    </row>
    <row r="654" spans="1:15">
      <c r="A654" s="140" t="str">
        <f t="shared" si="10"/>
        <v>07042-00059-04</v>
      </c>
      <c r="B654" s="145" t="s">
        <v>6</v>
      </c>
      <c r="C654" s="175" t="s">
        <v>162</v>
      </c>
      <c r="D654" s="176" t="s">
        <v>1119</v>
      </c>
      <c r="E654" s="176" t="s">
        <v>1787</v>
      </c>
      <c r="F654" s="173">
        <v>54378</v>
      </c>
      <c r="G654" s="173" t="s">
        <v>163</v>
      </c>
      <c r="H654" s="174">
        <v>4</v>
      </c>
      <c r="I654" s="144" t="s">
        <v>298</v>
      </c>
      <c r="K654" s="150" t="s">
        <v>47</v>
      </c>
      <c r="L654" s="178"/>
      <c r="M654" s="177" t="s">
        <v>2347</v>
      </c>
      <c r="N654" s="144" t="s">
        <v>1432</v>
      </c>
    </row>
    <row r="655" spans="1:15">
      <c r="A655" s="140" t="str">
        <f t="shared" si="10"/>
        <v>07101-00026-00</v>
      </c>
      <c r="C655" s="175" t="s">
        <v>170</v>
      </c>
      <c r="D655" s="176" t="s">
        <v>1230</v>
      </c>
      <c r="E655" s="176"/>
      <c r="F655" s="173" t="s">
        <v>1551</v>
      </c>
      <c r="G655" s="173" t="s">
        <v>1549</v>
      </c>
      <c r="H655" s="174">
        <v>0</v>
      </c>
      <c r="I655" s="144" t="s">
        <v>1552</v>
      </c>
      <c r="L655" s="143" t="s">
        <v>1550</v>
      </c>
      <c r="M655" s="177"/>
      <c r="N655" s="144" t="s">
        <v>1553</v>
      </c>
    </row>
    <row r="656" spans="1:15">
      <c r="A656" s="140" t="str">
        <f t="shared" si="10"/>
        <v>07142-00010-00</v>
      </c>
      <c r="C656" s="175" t="s">
        <v>166</v>
      </c>
      <c r="D656" s="176" t="s">
        <v>1119</v>
      </c>
      <c r="E656" s="176" t="s">
        <v>1787</v>
      </c>
      <c r="F656" s="173">
        <v>43950</v>
      </c>
      <c r="G656" s="173" t="s">
        <v>167</v>
      </c>
      <c r="H656" s="174">
        <v>0</v>
      </c>
      <c r="K656" s="150"/>
      <c r="L656" s="178"/>
      <c r="M656" s="177" t="s">
        <v>514</v>
      </c>
      <c r="N656" s="144" t="s">
        <v>1432</v>
      </c>
    </row>
    <row r="657" spans="1:15">
      <c r="A657" s="140" t="str">
        <f t="shared" si="10"/>
        <v>07142-00010-01</v>
      </c>
      <c r="B657" s="145" t="s">
        <v>6</v>
      </c>
      <c r="C657" s="175" t="s">
        <v>166</v>
      </c>
      <c r="D657" s="176" t="s">
        <v>1119</v>
      </c>
      <c r="E657" s="176" t="s">
        <v>1787</v>
      </c>
      <c r="F657" s="173">
        <v>44470</v>
      </c>
      <c r="G657" s="173" t="s">
        <v>167</v>
      </c>
      <c r="H657" s="174">
        <v>1</v>
      </c>
      <c r="I657" s="144" t="s">
        <v>418</v>
      </c>
      <c r="K657" s="150"/>
      <c r="L657" s="178"/>
      <c r="M657" s="177" t="s">
        <v>514</v>
      </c>
      <c r="N657" s="144" t="s">
        <v>1432</v>
      </c>
    </row>
    <row r="658" spans="1:15">
      <c r="A658" s="140" t="str">
        <f t="shared" si="10"/>
        <v>07142-00040-00</v>
      </c>
      <c r="C658" s="175" t="s">
        <v>170</v>
      </c>
      <c r="D658" s="176" t="s">
        <v>1119</v>
      </c>
      <c r="E658" s="176" t="s">
        <v>1787</v>
      </c>
      <c r="F658" s="173">
        <v>61666</v>
      </c>
      <c r="G658" s="173" t="s">
        <v>171</v>
      </c>
      <c r="H658" s="174">
        <v>0</v>
      </c>
      <c r="K658" s="150"/>
      <c r="L658" s="178"/>
      <c r="M658" s="177" t="s">
        <v>1871</v>
      </c>
      <c r="N658" s="144" t="s">
        <v>1432</v>
      </c>
    </row>
    <row r="659" spans="1:15">
      <c r="A659" s="140" t="str">
        <f t="shared" si="10"/>
        <v>07142-00040-01</v>
      </c>
      <c r="C659" s="175" t="s">
        <v>170</v>
      </c>
      <c r="D659" s="176" t="s">
        <v>1119</v>
      </c>
      <c r="E659" s="176" t="s">
        <v>1787</v>
      </c>
      <c r="F659" s="173">
        <v>62633</v>
      </c>
      <c r="G659" s="173" t="s">
        <v>171</v>
      </c>
      <c r="H659" s="174">
        <v>1</v>
      </c>
      <c r="K659" s="150"/>
      <c r="L659" s="178"/>
      <c r="M659" s="177" t="s">
        <v>1871</v>
      </c>
      <c r="N659" s="144" t="s">
        <v>1432</v>
      </c>
    </row>
    <row r="660" spans="1:15">
      <c r="A660" s="140" t="str">
        <f t="shared" si="10"/>
        <v>07142-00057-00</v>
      </c>
      <c r="C660" s="175" t="s">
        <v>168</v>
      </c>
      <c r="D660" s="176" t="s">
        <v>1119</v>
      </c>
      <c r="E660" s="176" t="s">
        <v>1787</v>
      </c>
      <c r="F660" s="173">
        <v>50567</v>
      </c>
      <c r="G660" s="173" t="s">
        <v>169</v>
      </c>
      <c r="H660" s="174">
        <v>0</v>
      </c>
      <c r="K660" s="150"/>
      <c r="L660" s="178" t="s">
        <v>187</v>
      </c>
      <c r="M660" s="177" t="s">
        <v>1857</v>
      </c>
      <c r="N660" s="144" t="s">
        <v>1432</v>
      </c>
    </row>
    <row r="661" spans="1:15">
      <c r="A661" s="140" t="str">
        <f t="shared" si="10"/>
        <v>07142-00057-01</v>
      </c>
      <c r="C661" s="175" t="s">
        <v>168</v>
      </c>
      <c r="D661" s="176" t="s">
        <v>1119</v>
      </c>
      <c r="E661" s="176" t="s">
        <v>1787</v>
      </c>
      <c r="F661" s="173">
        <v>50883</v>
      </c>
      <c r="G661" s="173" t="s">
        <v>169</v>
      </c>
      <c r="H661" s="174">
        <v>1</v>
      </c>
      <c r="K661" s="150"/>
      <c r="L661" s="178"/>
      <c r="M661" s="177" t="s">
        <v>1857</v>
      </c>
      <c r="N661" s="144" t="s">
        <v>1432</v>
      </c>
      <c r="O661" s="150"/>
    </row>
    <row r="662" spans="1:15">
      <c r="A662" s="140" t="str">
        <f t="shared" si="10"/>
        <v>07142-00057-02</v>
      </c>
      <c r="C662" s="175" t="s">
        <v>168</v>
      </c>
      <c r="D662" s="176" t="s">
        <v>1119</v>
      </c>
      <c r="E662" s="176" t="s">
        <v>1787</v>
      </c>
      <c r="F662" s="173">
        <v>53196</v>
      </c>
      <c r="G662" s="173" t="s">
        <v>169</v>
      </c>
      <c r="H662" s="174">
        <v>2</v>
      </c>
      <c r="K662" s="150"/>
      <c r="L662" s="178"/>
      <c r="M662" s="177" t="s">
        <v>1857</v>
      </c>
      <c r="N662" s="144" t="s">
        <v>1432</v>
      </c>
    </row>
    <row r="663" spans="1:15">
      <c r="A663" s="140" t="str">
        <f t="shared" si="10"/>
        <v>07142-00057-03</v>
      </c>
      <c r="B663" s="145" t="s">
        <v>6</v>
      </c>
      <c r="C663" s="175" t="s">
        <v>168</v>
      </c>
      <c r="D663" s="176" t="s">
        <v>1119</v>
      </c>
      <c r="E663" s="176" t="s">
        <v>1787</v>
      </c>
      <c r="F663" s="173">
        <v>53624</v>
      </c>
      <c r="G663" s="173" t="s">
        <v>169</v>
      </c>
      <c r="H663" s="174">
        <v>3</v>
      </c>
      <c r="I663" s="144" t="s">
        <v>312</v>
      </c>
      <c r="K663" s="150"/>
      <c r="M663" s="177" t="s">
        <v>2350</v>
      </c>
      <c r="N663" s="144" t="s">
        <v>1432</v>
      </c>
    </row>
    <row r="664" spans="1:15">
      <c r="A664" s="140" t="str">
        <f t="shared" si="10"/>
        <v>07143-00044-00</v>
      </c>
      <c r="C664" s="175"/>
      <c r="D664" s="176" t="s">
        <v>1118</v>
      </c>
      <c r="E664" s="176"/>
      <c r="F664" s="173">
        <v>48731</v>
      </c>
      <c r="G664" s="173" t="s">
        <v>25</v>
      </c>
      <c r="H664" s="174">
        <v>0</v>
      </c>
      <c r="I664" s="146"/>
      <c r="L664" s="178"/>
      <c r="M664" s="177" t="s">
        <v>1857</v>
      </c>
      <c r="N664" s="144" t="s">
        <v>1432</v>
      </c>
    </row>
    <row r="665" spans="1:15">
      <c r="A665" s="140" t="str">
        <f t="shared" si="10"/>
        <v>07143-00044-01</v>
      </c>
      <c r="C665" s="175"/>
      <c r="D665" s="176" t="s">
        <v>1118</v>
      </c>
      <c r="E665" s="176"/>
      <c r="F665" s="173">
        <v>50851</v>
      </c>
      <c r="G665" s="173" t="s">
        <v>25</v>
      </c>
      <c r="H665" s="174">
        <v>1</v>
      </c>
      <c r="I665" s="146"/>
      <c r="L665" s="178"/>
      <c r="M665" s="177" t="s">
        <v>1857</v>
      </c>
      <c r="N665" s="144" t="s">
        <v>1432</v>
      </c>
    </row>
    <row r="666" spans="1:15">
      <c r="A666" s="140" t="str">
        <f t="shared" si="10"/>
        <v>07143-00044-02</v>
      </c>
      <c r="C666" s="175"/>
      <c r="D666" s="176" t="s">
        <v>1118</v>
      </c>
      <c r="E666" s="176"/>
      <c r="F666" s="173">
        <v>47167</v>
      </c>
      <c r="G666" s="173" t="s">
        <v>25</v>
      </c>
      <c r="H666" s="174">
        <v>2</v>
      </c>
      <c r="I666" s="146"/>
      <c r="L666" s="178"/>
      <c r="M666" s="177" t="s">
        <v>1857</v>
      </c>
      <c r="N666" s="144" t="s">
        <v>1432</v>
      </c>
    </row>
    <row r="667" spans="1:15">
      <c r="A667" s="140" t="str">
        <f t="shared" si="10"/>
        <v>07143-00044-03</v>
      </c>
      <c r="C667" s="175"/>
      <c r="D667" s="176" t="s">
        <v>1118</v>
      </c>
      <c r="E667" s="176"/>
      <c r="F667" s="173">
        <v>62604</v>
      </c>
      <c r="G667" s="173" t="s">
        <v>25</v>
      </c>
      <c r="H667" s="174">
        <v>3</v>
      </c>
      <c r="I667" s="146"/>
      <c r="L667" s="178" t="s">
        <v>1795</v>
      </c>
      <c r="M667" s="177" t="s">
        <v>1857</v>
      </c>
      <c r="N667" s="144" t="s">
        <v>1432</v>
      </c>
    </row>
    <row r="668" spans="1:15">
      <c r="A668" s="140" t="str">
        <f t="shared" si="10"/>
        <v>16502-06460-00</v>
      </c>
      <c r="C668" s="175" t="s">
        <v>234</v>
      </c>
      <c r="D668" s="176" t="s">
        <v>1786</v>
      </c>
      <c r="E668" s="176" t="s">
        <v>1861</v>
      </c>
      <c r="F668" s="173" t="s">
        <v>1736</v>
      </c>
      <c r="G668" s="164" t="s">
        <v>1731</v>
      </c>
      <c r="H668" s="174">
        <v>0</v>
      </c>
      <c r="I668" s="144" t="s">
        <v>1740</v>
      </c>
      <c r="L668" s="143" t="s">
        <v>1734</v>
      </c>
      <c r="M668" s="177" t="s">
        <v>2320</v>
      </c>
      <c r="N668" s="144" t="s">
        <v>47</v>
      </c>
    </row>
    <row r="669" spans="1:15">
      <c r="A669" s="140" t="str">
        <f t="shared" si="10"/>
        <v>16502-06460-01</v>
      </c>
      <c r="C669" s="175" t="s">
        <v>234</v>
      </c>
      <c r="D669" s="176" t="s">
        <v>1786</v>
      </c>
      <c r="E669" s="176" t="s">
        <v>1861</v>
      </c>
      <c r="F669" s="173" t="s">
        <v>1737</v>
      </c>
      <c r="G669" s="164" t="s">
        <v>1731</v>
      </c>
      <c r="H669" s="174">
        <v>1</v>
      </c>
      <c r="I669" s="144" t="s">
        <v>1740</v>
      </c>
      <c r="L669" s="143" t="s">
        <v>1738</v>
      </c>
      <c r="M669" s="177"/>
      <c r="N669" s="144" t="s">
        <v>47</v>
      </c>
    </row>
    <row r="670" spans="1:15">
      <c r="A670" s="140" t="str">
        <f t="shared" si="10"/>
        <v>16502-06460-02</v>
      </c>
      <c r="C670" s="175" t="s">
        <v>234</v>
      </c>
      <c r="D670" s="176" t="s">
        <v>1786</v>
      </c>
      <c r="E670" s="176" t="s">
        <v>1861</v>
      </c>
      <c r="F670" s="173" t="s">
        <v>1735</v>
      </c>
      <c r="G670" s="164" t="s">
        <v>1731</v>
      </c>
      <c r="H670" s="174">
        <v>2</v>
      </c>
      <c r="I670" s="144" t="s">
        <v>1740</v>
      </c>
      <c r="L670" s="143" t="s">
        <v>1739</v>
      </c>
      <c r="M670" s="177"/>
      <c r="N670" s="144" t="s">
        <v>47</v>
      </c>
    </row>
    <row r="671" spans="1:15">
      <c r="A671" s="140" t="str">
        <f t="shared" si="10"/>
        <v>16502-06470-00</v>
      </c>
      <c r="C671" s="175" t="s">
        <v>234</v>
      </c>
      <c r="D671" s="176" t="s">
        <v>1786</v>
      </c>
      <c r="E671" s="176" t="s">
        <v>1862</v>
      </c>
      <c r="F671" s="173" t="s">
        <v>1736</v>
      </c>
      <c r="G671" s="164" t="s">
        <v>1733</v>
      </c>
      <c r="H671" s="174">
        <v>0</v>
      </c>
      <c r="I671" s="144" t="s">
        <v>1740</v>
      </c>
      <c r="L671" s="143" t="s">
        <v>1734</v>
      </c>
      <c r="M671" s="177"/>
      <c r="N671" s="144" t="s">
        <v>47</v>
      </c>
    </row>
    <row r="672" spans="1:15">
      <c r="A672" s="140" t="str">
        <f t="shared" si="10"/>
        <v>16502-06470-01</v>
      </c>
      <c r="C672" s="175" t="s">
        <v>234</v>
      </c>
      <c r="D672" s="176" t="s">
        <v>1786</v>
      </c>
      <c r="E672" s="176" t="s">
        <v>1862</v>
      </c>
      <c r="F672" s="173" t="s">
        <v>1737</v>
      </c>
      <c r="G672" s="164" t="s">
        <v>1733</v>
      </c>
      <c r="H672" s="174">
        <v>1</v>
      </c>
      <c r="I672" s="144" t="s">
        <v>1740</v>
      </c>
      <c r="L672" s="143" t="s">
        <v>1738</v>
      </c>
      <c r="M672" s="177" t="s">
        <v>2320</v>
      </c>
      <c r="N672" s="144" t="s">
        <v>47</v>
      </c>
    </row>
    <row r="673" spans="1:14">
      <c r="A673" s="140" t="str">
        <f t="shared" si="10"/>
        <v>16502-06470-02</v>
      </c>
      <c r="C673" s="175" t="s">
        <v>234</v>
      </c>
      <c r="D673" s="176" t="s">
        <v>1786</v>
      </c>
      <c r="E673" s="176" t="s">
        <v>1862</v>
      </c>
      <c r="F673" s="173" t="s">
        <v>1735</v>
      </c>
      <c r="G673" s="164" t="s">
        <v>1733</v>
      </c>
      <c r="H673" s="174">
        <v>2</v>
      </c>
      <c r="I673" s="144" t="s">
        <v>1740</v>
      </c>
      <c r="L673" s="143" t="s">
        <v>1739</v>
      </c>
      <c r="M673" s="177" t="s">
        <v>2320</v>
      </c>
      <c r="N673" s="144" t="s">
        <v>47</v>
      </c>
    </row>
    <row r="674" spans="1:14">
      <c r="A674" s="140" t="str">
        <f t="shared" si="10"/>
        <v>16502-06550-00</v>
      </c>
      <c r="C674" s="175" t="s">
        <v>471</v>
      </c>
      <c r="D674" s="176" t="s">
        <v>1786</v>
      </c>
      <c r="E674" s="176" t="s">
        <v>1861</v>
      </c>
      <c r="F674" s="173" t="s">
        <v>1751</v>
      </c>
      <c r="G674" s="173" t="s">
        <v>1749</v>
      </c>
      <c r="H674" s="174">
        <v>0</v>
      </c>
      <c r="I674" s="144" t="s">
        <v>1752</v>
      </c>
      <c r="L674" s="143" t="s">
        <v>1753</v>
      </c>
      <c r="M674" s="177"/>
      <c r="N674" s="144" t="s">
        <v>47</v>
      </c>
    </row>
    <row r="675" spans="1:14">
      <c r="A675" s="140" t="str">
        <f t="shared" si="10"/>
        <v>16502-06560-00</v>
      </c>
      <c r="C675" s="175" t="s">
        <v>471</v>
      </c>
      <c r="D675" s="176" t="s">
        <v>1786</v>
      </c>
      <c r="E675" s="176" t="s">
        <v>1862</v>
      </c>
      <c r="F675" s="173" t="s">
        <v>1751</v>
      </c>
      <c r="G675" s="173" t="s">
        <v>1750</v>
      </c>
      <c r="H675" s="174">
        <v>0</v>
      </c>
      <c r="I675" s="144" t="s">
        <v>1752</v>
      </c>
      <c r="L675" s="143" t="s">
        <v>1753</v>
      </c>
      <c r="M675" s="177"/>
      <c r="N675" s="144" t="s">
        <v>47</v>
      </c>
    </row>
    <row r="676" spans="1:14">
      <c r="A676" s="140" t="str">
        <f t="shared" si="10"/>
        <v>17050-05220-00</v>
      </c>
      <c r="C676" s="175" t="s">
        <v>36</v>
      </c>
      <c r="D676" s="176" t="s">
        <v>1312</v>
      </c>
      <c r="E676" s="176"/>
      <c r="F676" s="173" t="s">
        <v>1316</v>
      </c>
      <c r="G676" s="173" t="s">
        <v>1315</v>
      </c>
      <c r="H676" s="174">
        <v>0</v>
      </c>
      <c r="L676" s="143" t="s">
        <v>1325</v>
      </c>
      <c r="M676" s="177"/>
      <c r="N676" s="144" t="s">
        <v>1432</v>
      </c>
    </row>
    <row r="677" spans="1:14">
      <c r="A677" s="140" t="str">
        <f t="shared" si="10"/>
        <v>17050-05220-01</v>
      </c>
      <c r="C677" s="175" t="s">
        <v>36</v>
      </c>
      <c r="D677" s="176" t="s">
        <v>1312</v>
      </c>
      <c r="E677" s="176"/>
      <c r="F677" s="173" t="s">
        <v>1317</v>
      </c>
      <c r="G677" s="173" t="s">
        <v>1315</v>
      </c>
      <c r="H677" s="174">
        <v>1</v>
      </c>
      <c r="L677" s="143" t="s">
        <v>1326</v>
      </c>
      <c r="M677" s="177" t="s">
        <v>2352</v>
      </c>
      <c r="N677" s="144" t="s">
        <v>1432</v>
      </c>
    </row>
    <row r="678" spans="1:14">
      <c r="A678" s="140" t="str">
        <f t="shared" si="10"/>
        <v>17050-05220-02</v>
      </c>
      <c r="C678" s="175" t="s">
        <v>36</v>
      </c>
      <c r="D678" s="176" t="s">
        <v>1312</v>
      </c>
      <c r="E678" s="176"/>
      <c r="F678" s="173" t="s">
        <v>1318</v>
      </c>
      <c r="G678" s="173" t="s">
        <v>1315</v>
      </c>
      <c r="H678" s="174">
        <v>2</v>
      </c>
      <c r="I678" s="144" t="s">
        <v>1329</v>
      </c>
      <c r="L678" s="143" t="s">
        <v>1831</v>
      </c>
      <c r="M678" s="177" t="s">
        <v>2351</v>
      </c>
      <c r="N678" s="144" t="s">
        <v>1432</v>
      </c>
    </row>
    <row r="679" spans="1:14">
      <c r="A679" s="140" t="str">
        <f t="shared" si="10"/>
        <v>17050-05220-03</v>
      </c>
      <c r="C679" s="175" t="s">
        <v>36</v>
      </c>
      <c r="D679" s="176" t="s">
        <v>1312</v>
      </c>
      <c r="E679" s="176"/>
      <c r="F679" s="173" t="s">
        <v>1319</v>
      </c>
      <c r="G679" s="173" t="s">
        <v>1315</v>
      </c>
      <c r="H679" s="174">
        <v>3</v>
      </c>
      <c r="I679" s="144" t="s">
        <v>1329</v>
      </c>
      <c r="L679" s="143" t="s">
        <v>1327</v>
      </c>
      <c r="M679" s="177"/>
      <c r="N679" s="144" t="s">
        <v>1432</v>
      </c>
    </row>
    <row r="680" spans="1:14">
      <c r="A680" s="140" t="str">
        <f t="shared" si="10"/>
        <v>17050-05227-00</v>
      </c>
      <c r="C680" s="175" t="s">
        <v>36</v>
      </c>
      <c r="D680" s="176" t="s">
        <v>1312</v>
      </c>
      <c r="E680" s="176"/>
      <c r="F680" s="173" t="s">
        <v>1330</v>
      </c>
      <c r="G680" s="173" t="s">
        <v>1328</v>
      </c>
      <c r="H680" s="174">
        <v>0</v>
      </c>
      <c r="L680" s="143" t="s">
        <v>1325</v>
      </c>
      <c r="M680" s="177" t="s">
        <v>1643</v>
      </c>
      <c r="N680" s="144" t="s">
        <v>1432</v>
      </c>
    </row>
    <row r="681" spans="1:14" ht="27">
      <c r="A681" s="140" t="str">
        <f t="shared" si="10"/>
        <v>17050-05227-01</v>
      </c>
      <c r="C681" s="175" t="s">
        <v>36</v>
      </c>
      <c r="D681" s="176" t="s">
        <v>1312</v>
      </c>
      <c r="E681" s="176"/>
      <c r="F681" s="173" t="s">
        <v>1331</v>
      </c>
      <c r="G681" s="173" t="s">
        <v>1328</v>
      </c>
      <c r="H681" s="174">
        <v>1</v>
      </c>
      <c r="L681" s="143" t="s">
        <v>1332</v>
      </c>
      <c r="M681" s="177" t="s">
        <v>2354</v>
      </c>
      <c r="N681" s="144" t="s">
        <v>1432</v>
      </c>
    </row>
    <row r="682" spans="1:14">
      <c r="A682" s="140" t="str">
        <f t="shared" si="10"/>
        <v>17301-40991-00</v>
      </c>
      <c r="D682" s="162" t="s">
        <v>2033</v>
      </c>
      <c r="E682" s="162" t="s">
        <v>2033</v>
      </c>
      <c r="F682" s="173" t="s">
        <v>2045</v>
      </c>
      <c r="G682" s="161" t="s">
        <v>2042</v>
      </c>
      <c r="H682" s="174">
        <v>0</v>
      </c>
      <c r="L682" s="143" t="s">
        <v>2056</v>
      </c>
    </row>
    <row r="683" spans="1:14">
      <c r="A683" s="140" t="str">
        <f t="shared" si="10"/>
        <v>17301-40991-01</v>
      </c>
      <c r="D683" s="162" t="s">
        <v>2033</v>
      </c>
      <c r="E683" s="162" t="s">
        <v>2033</v>
      </c>
      <c r="F683" s="173" t="s">
        <v>2046</v>
      </c>
      <c r="G683" s="161" t="s">
        <v>2042</v>
      </c>
      <c r="H683" s="174">
        <v>1</v>
      </c>
      <c r="L683" s="143" t="s">
        <v>2057</v>
      </c>
    </row>
    <row r="684" spans="1:14">
      <c r="A684" s="140" t="str">
        <f t="shared" si="10"/>
        <v>17301-40991-02</v>
      </c>
      <c r="D684" s="162" t="s">
        <v>2033</v>
      </c>
      <c r="E684" s="162" t="s">
        <v>2033</v>
      </c>
      <c r="F684" s="173" t="s">
        <v>2047</v>
      </c>
      <c r="G684" s="161" t="s">
        <v>2042</v>
      </c>
      <c r="H684" s="174">
        <v>2</v>
      </c>
      <c r="L684" s="143" t="s">
        <v>2065</v>
      </c>
    </row>
    <row r="685" spans="1:14">
      <c r="A685" s="140" t="str">
        <f t="shared" si="10"/>
        <v>17301-40991-03</v>
      </c>
      <c r="D685" s="162" t="s">
        <v>2033</v>
      </c>
      <c r="E685" s="162" t="s">
        <v>2033</v>
      </c>
      <c r="F685" s="173" t="s">
        <v>2048</v>
      </c>
      <c r="G685" s="161" t="s">
        <v>2042</v>
      </c>
      <c r="H685" s="174">
        <v>3</v>
      </c>
      <c r="L685" s="143" t="s">
        <v>2071</v>
      </c>
    </row>
    <row r="686" spans="1:14">
      <c r="A686" s="140" t="str">
        <f t="shared" si="10"/>
        <v>17301-40995-00</v>
      </c>
      <c r="D686" s="162" t="s">
        <v>2033</v>
      </c>
      <c r="E686" s="162" t="s">
        <v>2033</v>
      </c>
      <c r="F686" s="173" t="s">
        <v>2059</v>
      </c>
      <c r="G686" s="161" t="s">
        <v>2058</v>
      </c>
      <c r="H686" s="174">
        <v>0</v>
      </c>
    </row>
    <row r="687" spans="1:14">
      <c r="A687" s="140" t="str">
        <f t="shared" si="10"/>
        <v>17301-40995-01</v>
      </c>
      <c r="D687" s="162" t="s">
        <v>2033</v>
      </c>
      <c r="E687" s="162" t="s">
        <v>2033</v>
      </c>
      <c r="F687" s="173" t="s">
        <v>2060</v>
      </c>
      <c r="G687" s="161" t="s">
        <v>2058</v>
      </c>
      <c r="H687" s="174">
        <v>1</v>
      </c>
      <c r="L687" s="143" t="s">
        <v>2063</v>
      </c>
    </row>
    <row r="688" spans="1:14">
      <c r="A688" s="140" t="str">
        <f t="shared" si="10"/>
        <v>17301-40995-02</v>
      </c>
      <c r="D688" s="162" t="s">
        <v>2033</v>
      </c>
      <c r="E688" s="162" t="s">
        <v>2033</v>
      </c>
      <c r="F688" s="173" t="s">
        <v>2061</v>
      </c>
      <c r="G688" s="161" t="s">
        <v>2058</v>
      </c>
      <c r="H688" s="174">
        <v>2</v>
      </c>
      <c r="L688" s="143" t="s">
        <v>2064</v>
      </c>
    </row>
    <row r="689" spans="1:14">
      <c r="A689" s="140" t="str">
        <f t="shared" si="10"/>
        <v>17301-40995-03</v>
      </c>
      <c r="D689" s="162" t="s">
        <v>2033</v>
      </c>
      <c r="E689" s="162" t="s">
        <v>2033</v>
      </c>
      <c r="F689" s="173" t="s">
        <v>2046</v>
      </c>
      <c r="G689" s="161" t="s">
        <v>2058</v>
      </c>
      <c r="H689" s="174">
        <v>3</v>
      </c>
      <c r="L689" s="143" t="s">
        <v>2057</v>
      </c>
    </row>
    <row r="690" spans="1:14">
      <c r="A690" s="140" t="str">
        <f t="shared" si="10"/>
        <v>17301-40995-04</v>
      </c>
      <c r="D690" s="162" t="s">
        <v>2033</v>
      </c>
      <c r="E690" s="162" t="s">
        <v>2033</v>
      </c>
      <c r="F690" s="173" t="s">
        <v>2047</v>
      </c>
      <c r="G690" s="161" t="s">
        <v>2058</v>
      </c>
      <c r="H690" s="174">
        <v>4</v>
      </c>
      <c r="L690" s="143" t="s">
        <v>2065</v>
      </c>
    </row>
    <row r="691" spans="1:14">
      <c r="A691" s="140" t="str">
        <f t="shared" si="10"/>
        <v>17301-40995-05</v>
      </c>
      <c r="D691" s="162" t="s">
        <v>2033</v>
      </c>
      <c r="E691" s="162" t="s">
        <v>2033</v>
      </c>
      <c r="F691" s="173" t="s">
        <v>2062</v>
      </c>
      <c r="G691" s="161" t="s">
        <v>2058</v>
      </c>
      <c r="H691" s="174">
        <v>5</v>
      </c>
      <c r="L691" s="143" t="s">
        <v>2066</v>
      </c>
    </row>
    <row r="692" spans="1:14">
      <c r="A692" s="140" t="str">
        <f t="shared" si="10"/>
        <v>17301-40996-00</v>
      </c>
      <c r="D692" s="162" t="s">
        <v>2033</v>
      </c>
      <c r="E692" s="162" t="s">
        <v>2033</v>
      </c>
      <c r="F692" s="173" t="s">
        <v>2049</v>
      </c>
      <c r="G692" s="161" t="s">
        <v>2043</v>
      </c>
      <c r="H692" s="174">
        <v>0</v>
      </c>
      <c r="L692" s="150" t="s">
        <v>2053</v>
      </c>
    </row>
    <row r="693" spans="1:14">
      <c r="A693" s="140" t="str">
        <f t="shared" si="10"/>
        <v>17301-40996-01</v>
      </c>
      <c r="D693" s="162" t="s">
        <v>2033</v>
      </c>
      <c r="E693" s="162" t="s">
        <v>2033</v>
      </c>
      <c r="F693" s="173" t="s">
        <v>2051</v>
      </c>
      <c r="G693" s="161" t="s">
        <v>2043</v>
      </c>
      <c r="H693" s="174">
        <v>1</v>
      </c>
      <c r="L693" s="143" t="s">
        <v>2054</v>
      </c>
    </row>
    <row r="694" spans="1:14">
      <c r="A694" s="140" t="str">
        <f t="shared" si="10"/>
        <v>17301-40996-02</v>
      </c>
      <c r="D694" s="162" t="s">
        <v>2033</v>
      </c>
      <c r="E694" s="162" t="s">
        <v>2033</v>
      </c>
      <c r="F694" s="173" t="s">
        <v>2052</v>
      </c>
      <c r="G694" s="161" t="s">
        <v>2043</v>
      </c>
      <c r="H694" s="174">
        <v>2</v>
      </c>
      <c r="L694" s="143" t="s">
        <v>2055</v>
      </c>
    </row>
    <row r="695" spans="1:14">
      <c r="A695" s="140" t="str">
        <f t="shared" si="10"/>
        <v>17301-40997-00</v>
      </c>
      <c r="D695" s="162" t="s">
        <v>2033</v>
      </c>
      <c r="E695" s="162" t="s">
        <v>2033</v>
      </c>
      <c r="F695" s="173" t="s">
        <v>2038</v>
      </c>
      <c r="G695" s="161" t="s">
        <v>2032</v>
      </c>
      <c r="H695" s="174">
        <v>0</v>
      </c>
      <c r="L695" s="156" t="s">
        <v>2067</v>
      </c>
    </row>
    <row r="696" spans="1:14">
      <c r="A696" s="140" t="str">
        <f t="shared" si="10"/>
        <v>17301-40997-01</v>
      </c>
      <c r="D696" s="162" t="s">
        <v>2033</v>
      </c>
      <c r="E696" s="162" t="s">
        <v>2033</v>
      </c>
      <c r="F696" s="173" t="s">
        <v>2039</v>
      </c>
      <c r="G696" s="161" t="s">
        <v>2032</v>
      </c>
      <c r="H696" s="174">
        <v>1</v>
      </c>
      <c r="L696" s="156" t="s">
        <v>2068</v>
      </c>
    </row>
    <row r="697" spans="1:14">
      <c r="A697" s="140" t="str">
        <f t="shared" si="10"/>
        <v>17301-40997-02</v>
      </c>
      <c r="D697" s="162" t="s">
        <v>2033</v>
      </c>
      <c r="E697" s="162" t="s">
        <v>2033</v>
      </c>
      <c r="F697" s="173" t="s">
        <v>2040</v>
      </c>
      <c r="G697" s="161" t="s">
        <v>2032</v>
      </c>
      <c r="H697" s="174">
        <v>2</v>
      </c>
      <c r="L697" s="156" t="s">
        <v>2069</v>
      </c>
    </row>
    <row r="698" spans="1:14">
      <c r="A698" s="140" t="str">
        <f t="shared" si="10"/>
        <v>17301-40997-03</v>
      </c>
      <c r="D698" s="162" t="s">
        <v>2033</v>
      </c>
      <c r="E698" s="162" t="s">
        <v>2033</v>
      </c>
      <c r="F698" s="173" t="s">
        <v>2041</v>
      </c>
      <c r="G698" s="161" t="s">
        <v>2032</v>
      </c>
      <c r="H698" s="174">
        <v>3</v>
      </c>
      <c r="L698" s="156" t="s">
        <v>2070</v>
      </c>
    </row>
    <row r="699" spans="1:14">
      <c r="A699" s="140" t="str">
        <f t="shared" si="10"/>
        <v>17301-40998-00</v>
      </c>
      <c r="D699" s="162" t="s">
        <v>2033</v>
      </c>
      <c r="E699" s="162" t="s">
        <v>2033</v>
      </c>
      <c r="F699" s="173" t="s">
        <v>2038</v>
      </c>
      <c r="G699" s="161" t="s">
        <v>2035</v>
      </c>
      <c r="H699" s="174">
        <v>0</v>
      </c>
      <c r="L699" s="156" t="s">
        <v>2067</v>
      </c>
    </row>
    <row r="700" spans="1:14">
      <c r="A700" s="140" t="str">
        <f t="shared" si="10"/>
        <v>17301-40998-01</v>
      </c>
      <c r="D700" s="162" t="s">
        <v>2033</v>
      </c>
      <c r="E700" s="162" t="s">
        <v>2033</v>
      </c>
      <c r="F700" s="173" t="s">
        <v>2039</v>
      </c>
      <c r="G700" s="161" t="s">
        <v>2035</v>
      </c>
      <c r="H700" s="174">
        <v>1</v>
      </c>
      <c r="L700" s="156" t="s">
        <v>2068</v>
      </c>
    </row>
    <row r="701" spans="1:14">
      <c r="A701" s="140" t="str">
        <f t="shared" si="10"/>
        <v>17301-43431-00</v>
      </c>
      <c r="C701" s="175" t="s">
        <v>47</v>
      </c>
      <c r="D701" s="176" t="s">
        <v>1166</v>
      </c>
      <c r="E701" s="176"/>
      <c r="F701" s="173">
        <v>49087</v>
      </c>
      <c r="G701" s="173" t="s">
        <v>1176</v>
      </c>
      <c r="H701" s="174">
        <v>0</v>
      </c>
      <c r="L701" s="143" t="s">
        <v>1177</v>
      </c>
      <c r="M701" s="177"/>
      <c r="N701" s="144" t="s">
        <v>1432</v>
      </c>
    </row>
    <row r="702" spans="1:14">
      <c r="A702" s="140" t="str">
        <f t="shared" si="10"/>
        <v>17301-43431-01</v>
      </c>
      <c r="C702" s="175" t="s">
        <v>47</v>
      </c>
      <c r="D702" s="176" t="s">
        <v>1166</v>
      </c>
      <c r="E702" s="176"/>
      <c r="F702" s="173">
        <v>54362</v>
      </c>
      <c r="G702" s="173" t="s">
        <v>1176</v>
      </c>
      <c r="H702" s="174">
        <v>1</v>
      </c>
      <c r="L702" s="143" t="s">
        <v>1178</v>
      </c>
      <c r="M702" s="177"/>
      <c r="N702" s="144" t="s">
        <v>1432</v>
      </c>
    </row>
    <row r="703" spans="1:14">
      <c r="A703" s="140" t="str">
        <f t="shared" si="10"/>
        <v>17301-43431-02</v>
      </c>
      <c r="C703" s="175" t="s">
        <v>47</v>
      </c>
      <c r="D703" s="176" t="s">
        <v>1166</v>
      </c>
      <c r="E703" s="176"/>
      <c r="F703" s="173">
        <v>55036</v>
      </c>
      <c r="G703" s="173" t="s">
        <v>1176</v>
      </c>
      <c r="H703" s="174">
        <v>2</v>
      </c>
      <c r="L703" s="143" t="s">
        <v>1179</v>
      </c>
      <c r="M703" s="177"/>
      <c r="N703" s="144" t="s">
        <v>1432</v>
      </c>
    </row>
    <row r="704" spans="1:14">
      <c r="A704" s="140" t="str">
        <f t="shared" si="10"/>
        <v>17301-43431-03</v>
      </c>
      <c r="C704" s="175" t="s">
        <v>47</v>
      </c>
      <c r="D704" s="176" t="s">
        <v>1166</v>
      </c>
      <c r="E704" s="176"/>
      <c r="F704" s="173">
        <v>55967</v>
      </c>
      <c r="G704" s="173" t="s">
        <v>1176</v>
      </c>
      <c r="H704" s="174">
        <v>3</v>
      </c>
      <c r="L704" s="143" t="s">
        <v>1180</v>
      </c>
      <c r="M704" s="177"/>
      <c r="N704" s="144" t="s">
        <v>1432</v>
      </c>
    </row>
    <row r="705" spans="1:14">
      <c r="A705" s="140" t="str">
        <f t="shared" si="10"/>
        <v>17301-43432-00</v>
      </c>
      <c r="C705" s="175"/>
      <c r="D705" s="176" t="s">
        <v>1166</v>
      </c>
      <c r="E705" s="176"/>
      <c r="F705" s="173" t="s">
        <v>2185</v>
      </c>
      <c r="G705" s="173" t="s">
        <v>1182</v>
      </c>
      <c r="H705" s="174">
        <v>0</v>
      </c>
      <c r="L705" s="143" t="s">
        <v>1177</v>
      </c>
      <c r="M705" s="177"/>
      <c r="N705" s="144" t="s">
        <v>1432</v>
      </c>
    </row>
    <row r="706" spans="1:14">
      <c r="A706" s="140" t="str">
        <f t="shared" ref="A706:A769" si="11">G706&amp;"-"&amp;TEXT(H706,"00")</f>
        <v>17301-43432-01</v>
      </c>
      <c r="C706" s="175"/>
      <c r="D706" s="176" t="s">
        <v>1166</v>
      </c>
      <c r="E706" s="176"/>
      <c r="F706" s="173">
        <v>54362</v>
      </c>
      <c r="G706" s="173" t="s">
        <v>1182</v>
      </c>
      <c r="H706" s="174">
        <v>1</v>
      </c>
      <c r="L706" s="143" t="s">
        <v>1178</v>
      </c>
      <c r="M706" s="177"/>
      <c r="N706" s="144" t="s">
        <v>1432</v>
      </c>
    </row>
    <row r="707" spans="1:14">
      <c r="A707" s="140" t="str">
        <f t="shared" si="11"/>
        <v>17301-43432-02</v>
      </c>
      <c r="C707" s="175"/>
      <c r="D707" s="176" t="s">
        <v>1166</v>
      </c>
      <c r="E707" s="176"/>
      <c r="F707" s="173">
        <v>55036</v>
      </c>
      <c r="G707" s="173" t="s">
        <v>1182</v>
      </c>
      <c r="H707" s="174">
        <v>2</v>
      </c>
      <c r="L707" s="143" t="s">
        <v>1179</v>
      </c>
      <c r="M707" s="177"/>
      <c r="N707" s="144" t="s">
        <v>1432</v>
      </c>
    </row>
    <row r="708" spans="1:14">
      <c r="A708" s="140" t="str">
        <f t="shared" si="11"/>
        <v>17301-43432-03</v>
      </c>
      <c r="C708" s="175"/>
      <c r="D708" s="176" t="s">
        <v>1166</v>
      </c>
      <c r="E708" s="176"/>
      <c r="F708" s="173">
        <v>55967</v>
      </c>
      <c r="G708" s="173" t="s">
        <v>1182</v>
      </c>
      <c r="H708" s="174">
        <v>3</v>
      </c>
      <c r="L708" s="143" t="s">
        <v>1180</v>
      </c>
      <c r="M708" s="177"/>
      <c r="N708" s="144" t="s">
        <v>1432</v>
      </c>
    </row>
    <row r="709" spans="1:14">
      <c r="A709" s="140" t="str">
        <f t="shared" si="11"/>
        <v>17301-43435-00</v>
      </c>
      <c r="C709" s="175"/>
      <c r="D709" s="176" t="s">
        <v>1166</v>
      </c>
      <c r="E709" s="176"/>
      <c r="F709" s="173" t="s">
        <v>1191</v>
      </c>
      <c r="G709" s="173" t="s">
        <v>1190</v>
      </c>
      <c r="H709" s="174">
        <v>0</v>
      </c>
      <c r="L709" s="143" t="s">
        <v>1177</v>
      </c>
      <c r="M709" s="177"/>
      <c r="N709" s="144" t="s">
        <v>1432</v>
      </c>
    </row>
    <row r="710" spans="1:14">
      <c r="A710" s="140" t="str">
        <f t="shared" si="11"/>
        <v>17301-43435-01</v>
      </c>
      <c r="C710" s="175"/>
      <c r="D710" s="176" t="s">
        <v>1166</v>
      </c>
      <c r="E710" s="176"/>
      <c r="F710" s="173">
        <v>54362</v>
      </c>
      <c r="G710" s="173" t="s">
        <v>1190</v>
      </c>
      <c r="H710" s="174">
        <v>1</v>
      </c>
      <c r="L710" s="143" t="s">
        <v>1178</v>
      </c>
      <c r="M710" s="177"/>
      <c r="N710" s="144" t="s">
        <v>1432</v>
      </c>
    </row>
    <row r="711" spans="1:14">
      <c r="A711" s="140" t="str">
        <f t="shared" si="11"/>
        <v>17301-43435-02</v>
      </c>
      <c r="C711" s="175"/>
      <c r="D711" s="176" t="s">
        <v>1166</v>
      </c>
      <c r="E711" s="176"/>
      <c r="F711" s="173">
        <v>55036</v>
      </c>
      <c r="G711" s="173" t="s">
        <v>1190</v>
      </c>
      <c r="H711" s="174">
        <v>2</v>
      </c>
      <c r="L711" s="143" t="s">
        <v>1179</v>
      </c>
      <c r="M711" s="177"/>
      <c r="N711" s="144" t="s">
        <v>1432</v>
      </c>
    </row>
    <row r="712" spans="1:14">
      <c r="A712" s="140" t="str">
        <f t="shared" si="11"/>
        <v>17301-43435-03</v>
      </c>
      <c r="C712" s="175"/>
      <c r="D712" s="176" t="s">
        <v>1166</v>
      </c>
      <c r="E712" s="176"/>
      <c r="F712" s="173">
        <v>55967</v>
      </c>
      <c r="G712" s="173" t="s">
        <v>1190</v>
      </c>
      <c r="H712" s="174">
        <v>3</v>
      </c>
      <c r="L712" s="143" t="s">
        <v>1180</v>
      </c>
      <c r="M712" s="177"/>
      <c r="N712" s="144" t="s">
        <v>1432</v>
      </c>
    </row>
    <row r="713" spans="1:14">
      <c r="A713" s="140" t="str">
        <f t="shared" si="11"/>
        <v>17301-43436-00</v>
      </c>
      <c r="C713" s="175"/>
      <c r="D713" s="176" t="s">
        <v>1166</v>
      </c>
      <c r="E713" s="176"/>
      <c r="F713" s="173">
        <v>50116</v>
      </c>
      <c r="G713" s="173" t="s">
        <v>1193</v>
      </c>
      <c r="H713" s="174">
        <v>0</v>
      </c>
      <c r="L713" s="143" t="s">
        <v>1177</v>
      </c>
      <c r="M713" s="177"/>
      <c r="N713" s="144" t="s">
        <v>1432</v>
      </c>
    </row>
    <row r="714" spans="1:14">
      <c r="A714" s="140" t="str">
        <f t="shared" si="11"/>
        <v>17301-43436-01</v>
      </c>
      <c r="C714" s="175"/>
      <c r="D714" s="176" t="s">
        <v>1166</v>
      </c>
      <c r="E714" s="176"/>
      <c r="F714" s="173">
        <v>54362</v>
      </c>
      <c r="G714" s="173" t="s">
        <v>1193</v>
      </c>
      <c r="H714" s="174">
        <v>1</v>
      </c>
      <c r="L714" s="143" t="s">
        <v>1178</v>
      </c>
      <c r="M714" s="177"/>
      <c r="N714" s="144" t="s">
        <v>1432</v>
      </c>
    </row>
    <row r="715" spans="1:14">
      <c r="A715" s="140" t="str">
        <f t="shared" si="11"/>
        <v>17301-43436-02</v>
      </c>
      <c r="C715" s="175"/>
      <c r="D715" s="176" t="s">
        <v>1166</v>
      </c>
      <c r="E715" s="176"/>
      <c r="F715" s="173">
        <v>55036</v>
      </c>
      <c r="G715" s="173" t="s">
        <v>1193</v>
      </c>
      <c r="H715" s="174">
        <v>2</v>
      </c>
      <c r="L715" s="143" t="s">
        <v>1179</v>
      </c>
      <c r="M715" s="177"/>
      <c r="N715" s="144" t="s">
        <v>1432</v>
      </c>
    </row>
    <row r="716" spans="1:14">
      <c r="A716" s="140" t="str">
        <f t="shared" si="11"/>
        <v>17301-43436-03</v>
      </c>
      <c r="C716" s="175"/>
      <c r="D716" s="176" t="s">
        <v>1166</v>
      </c>
      <c r="E716" s="176"/>
      <c r="F716" s="173">
        <v>55967</v>
      </c>
      <c r="G716" s="173" t="s">
        <v>1193</v>
      </c>
      <c r="H716" s="174">
        <v>3</v>
      </c>
      <c r="L716" s="143" t="s">
        <v>1180</v>
      </c>
      <c r="M716" s="177"/>
      <c r="N716" s="144" t="s">
        <v>1432</v>
      </c>
    </row>
    <row r="717" spans="1:14">
      <c r="A717" s="140" t="str">
        <f t="shared" si="11"/>
        <v>17301-43438-00</v>
      </c>
      <c r="C717" s="175"/>
      <c r="D717" s="176" t="s">
        <v>1166</v>
      </c>
      <c r="E717" s="176"/>
      <c r="F717" s="173">
        <v>53936</v>
      </c>
      <c r="G717" s="173" t="s">
        <v>1215</v>
      </c>
      <c r="H717" s="174">
        <v>0</v>
      </c>
      <c r="L717" s="143" t="s">
        <v>1177</v>
      </c>
      <c r="M717" s="177"/>
      <c r="N717" s="144" t="s">
        <v>1432</v>
      </c>
    </row>
    <row r="718" spans="1:14">
      <c r="A718" s="140" t="str">
        <f t="shared" si="11"/>
        <v>17301-43438-01</v>
      </c>
      <c r="C718" s="175"/>
      <c r="D718" s="176" t="s">
        <v>1166</v>
      </c>
      <c r="E718" s="176"/>
      <c r="F718" s="173">
        <v>54362</v>
      </c>
      <c r="G718" s="173" t="s">
        <v>1215</v>
      </c>
      <c r="H718" s="174">
        <v>1</v>
      </c>
      <c r="L718" s="143" t="s">
        <v>1178</v>
      </c>
      <c r="M718" s="177"/>
      <c r="N718" s="144" t="s">
        <v>1432</v>
      </c>
    </row>
    <row r="719" spans="1:14">
      <c r="A719" s="140" t="str">
        <f t="shared" si="11"/>
        <v>17301-43438-02</v>
      </c>
      <c r="C719" s="175"/>
      <c r="D719" s="176" t="s">
        <v>1166</v>
      </c>
      <c r="E719" s="176"/>
      <c r="F719" s="173">
        <v>55036</v>
      </c>
      <c r="G719" s="173" t="s">
        <v>1215</v>
      </c>
      <c r="H719" s="174">
        <v>2</v>
      </c>
      <c r="L719" s="143" t="s">
        <v>1179</v>
      </c>
      <c r="M719" s="177"/>
      <c r="N719" s="144" t="s">
        <v>1432</v>
      </c>
    </row>
    <row r="720" spans="1:14">
      <c r="A720" s="140" t="str">
        <f t="shared" si="11"/>
        <v>17301-43438-03</v>
      </c>
      <c r="C720" s="175"/>
      <c r="D720" s="176" t="s">
        <v>1166</v>
      </c>
      <c r="E720" s="176"/>
      <c r="F720" s="173" t="s">
        <v>1216</v>
      </c>
      <c r="G720" s="173" t="s">
        <v>1215</v>
      </c>
      <c r="H720" s="174">
        <v>3</v>
      </c>
      <c r="L720" s="143" t="s">
        <v>1180</v>
      </c>
      <c r="M720" s="177"/>
      <c r="N720" s="144" t="s">
        <v>1432</v>
      </c>
    </row>
    <row r="721" spans="1:15">
      <c r="A721" s="140" t="str">
        <f t="shared" si="11"/>
        <v>17301-43650-00</v>
      </c>
      <c r="B721" s="145" t="s">
        <v>10</v>
      </c>
      <c r="C721" s="175" t="s">
        <v>11</v>
      </c>
      <c r="D721" s="176" t="s">
        <v>1118</v>
      </c>
      <c r="E721" s="176"/>
      <c r="F721" s="173">
        <v>33457</v>
      </c>
      <c r="G721" s="173" t="s">
        <v>12</v>
      </c>
      <c r="H721" s="174">
        <v>0</v>
      </c>
      <c r="J721" s="144" t="s">
        <v>47</v>
      </c>
      <c r="K721" s="144" t="s">
        <v>47</v>
      </c>
      <c r="L721" s="178"/>
      <c r="M721" s="177" t="s">
        <v>2307</v>
      </c>
      <c r="N721" s="144" t="s">
        <v>1432</v>
      </c>
    </row>
    <row r="722" spans="1:15" ht="27">
      <c r="A722" s="140" t="str">
        <f t="shared" si="11"/>
        <v>17301-43650-01</v>
      </c>
      <c r="C722" s="175" t="s">
        <v>11</v>
      </c>
      <c r="D722" s="176" t="s">
        <v>1118</v>
      </c>
      <c r="E722" s="176"/>
      <c r="F722" s="173">
        <v>42659</v>
      </c>
      <c r="G722" s="173" t="s">
        <v>12</v>
      </c>
      <c r="H722" s="174">
        <v>1</v>
      </c>
      <c r="I722" s="146"/>
      <c r="L722" s="178"/>
      <c r="M722" s="177" t="s">
        <v>2355</v>
      </c>
      <c r="N722" s="144" t="s">
        <v>1432</v>
      </c>
    </row>
    <row r="723" spans="1:15" ht="27">
      <c r="A723" s="140" t="str">
        <f t="shared" si="11"/>
        <v>17301-43650-02</v>
      </c>
      <c r="C723" s="175" t="s">
        <v>11</v>
      </c>
      <c r="D723" s="176" t="s">
        <v>1118</v>
      </c>
      <c r="E723" s="176"/>
      <c r="F723" s="173">
        <v>43461</v>
      </c>
      <c r="G723" s="173" t="s">
        <v>12</v>
      </c>
      <c r="H723" s="174">
        <v>2</v>
      </c>
      <c r="I723" s="146">
        <v>1.7</v>
      </c>
      <c r="L723" s="178"/>
      <c r="M723" s="177" t="s">
        <v>2356</v>
      </c>
      <c r="N723" s="144" t="s">
        <v>1432</v>
      </c>
    </row>
    <row r="724" spans="1:15">
      <c r="A724" s="140" t="str">
        <f t="shared" si="11"/>
        <v>17301-43651-00</v>
      </c>
      <c r="B724" s="145" t="s">
        <v>10</v>
      </c>
      <c r="C724" s="175"/>
      <c r="D724" s="176" t="s">
        <v>1118</v>
      </c>
      <c r="E724" s="176"/>
      <c r="F724" s="173" t="s">
        <v>15</v>
      </c>
      <c r="G724" s="173" t="s">
        <v>14</v>
      </c>
      <c r="H724" s="174">
        <v>0</v>
      </c>
      <c r="J724" s="144" t="s">
        <v>47</v>
      </c>
      <c r="K724" s="144" t="s">
        <v>47</v>
      </c>
      <c r="L724" s="178"/>
      <c r="M724" s="177"/>
      <c r="N724" s="144" t="s">
        <v>1432</v>
      </c>
    </row>
    <row r="725" spans="1:15">
      <c r="A725" s="140" t="str">
        <f t="shared" si="11"/>
        <v>17301-43651-01</v>
      </c>
      <c r="C725" s="175"/>
      <c r="D725" s="176" t="s">
        <v>1118</v>
      </c>
      <c r="E725" s="176"/>
      <c r="F725" s="173">
        <v>42834</v>
      </c>
      <c r="G725" s="173" t="s">
        <v>14</v>
      </c>
      <c r="H725" s="174">
        <v>1</v>
      </c>
      <c r="I725" s="146"/>
      <c r="L725" s="178"/>
      <c r="M725" s="177" t="s">
        <v>2357</v>
      </c>
      <c r="N725" s="144" t="s">
        <v>1432</v>
      </c>
    </row>
    <row r="726" spans="1:15">
      <c r="A726" s="140" t="str">
        <f t="shared" si="11"/>
        <v>17301-43651-02</v>
      </c>
      <c r="C726" s="175"/>
      <c r="D726" s="176" t="s">
        <v>1118</v>
      </c>
      <c r="E726" s="176"/>
      <c r="F726" s="173">
        <v>43461</v>
      </c>
      <c r="G726" s="173" t="s">
        <v>14</v>
      </c>
      <c r="H726" s="174">
        <v>2</v>
      </c>
      <c r="I726" s="146">
        <v>1.7</v>
      </c>
      <c r="L726" s="178"/>
      <c r="M726" s="177" t="s">
        <v>2358</v>
      </c>
      <c r="N726" s="144" t="s">
        <v>1432</v>
      </c>
    </row>
    <row r="727" spans="1:15">
      <c r="A727" s="140" t="str">
        <f t="shared" si="11"/>
        <v>17301-43660-00</v>
      </c>
      <c r="B727" s="145" t="s">
        <v>10</v>
      </c>
      <c r="C727" s="175"/>
      <c r="D727" s="176" t="s">
        <v>1118</v>
      </c>
      <c r="E727" s="176"/>
      <c r="F727" s="173" t="s">
        <v>261</v>
      </c>
      <c r="G727" s="173" t="s">
        <v>17</v>
      </c>
      <c r="H727" s="174">
        <v>0</v>
      </c>
      <c r="J727" s="144" t="s">
        <v>47</v>
      </c>
      <c r="K727" s="144" t="s">
        <v>47</v>
      </c>
      <c r="L727" s="178"/>
      <c r="M727" s="177"/>
      <c r="N727" s="144" t="s">
        <v>1432</v>
      </c>
    </row>
    <row r="728" spans="1:15">
      <c r="A728" s="140" t="str">
        <f t="shared" si="11"/>
        <v>17301-43660-01</v>
      </c>
      <c r="C728" s="175"/>
      <c r="D728" s="176" t="s">
        <v>1118</v>
      </c>
      <c r="E728" s="176"/>
      <c r="F728" s="173">
        <v>45171</v>
      </c>
      <c r="G728" s="173" t="s">
        <v>17</v>
      </c>
      <c r="H728" s="174">
        <v>1</v>
      </c>
      <c r="I728" s="146"/>
      <c r="L728" s="178"/>
      <c r="M728" s="177"/>
      <c r="N728" s="144" t="s">
        <v>1432</v>
      </c>
    </row>
    <row r="729" spans="1:15">
      <c r="A729" s="140" t="str">
        <f t="shared" si="11"/>
        <v>17301-43660-02</v>
      </c>
      <c r="C729" s="175"/>
      <c r="D729" s="176" t="s">
        <v>1118</v>
      </c>
      <c r="E729" s="176"/>
      <c r="F729" s="173">
        <v>45521</v>
      </c>
      <c r="G729" s="173" t="s">
        <v>17</v>
      </c>
      <c r="H729" s="174">
        <v>2</v>
      </c>
      <c r="I729" s="146"/>
      <c r="L729" s="178"/>
      <c r="M729" s="177" t="s">
        <v>2334</v>
      </c>
      <c r="N729" s="144" t="s">
        <v>1432</v>
      </c>
    </row>
    <row r="730" spans="1:15">
      <c r="A730" s="140" t="str">
        <f t="shared" si="11"/>
        <v>17301-43660-03</v>
      </c>
      <c r="C730" s="175"/>
      <c r="D730" s="176" t="s">
        <v>1118</v>
      </c>
      <c r="E730" s="176"/>
      <c r="F730" s="173">
        <v>46104</v>
      </c>
      <c r="G730" s="173" t="s">
        <v>17</v>
      </c>
      <c r="H730" s="174">
        <v>3</v>
      </c>
      <c r="I730" s="146"/>
      <c r="L730" s="178"/>
      <c r="M730" s="177"/>
      <c r="N730" s="144" t="s">
        <v>1432</v>
      </c>
    </row>
    <row r="731" spans="1:15" ht="40.5">
      <c r="A731" s="140" t="str">
        <f t="shared" si="11"/>
        <v>17301-43660-04</v>
      </c>
      <c r="C731" s="175"/>
      <c r="D731" s="176" t="s">
        <v>1118</v>
      </c>
      <c r="E731" s="176"/>
      <c r="F731" s="173">
        <v>46656</v>
      </c>
      <c r="G731" s="173" t="s">
        <v>17</v>
      </c>
      <c r="H731" s="174">
        <v>4</v>
      </c>
      <c r="I731" s="146"/>
      <c r="L731" s="178"/>
      <c r="M731" s="177" t="s">
        <v>2359</v>
      </c>
      <c r="N731" s="144" t="s">
        <v>1432</v>
      </c>
    </row>
    <row r="732" spans="1:15" ht="40.5">
      <c r="A732" s="140" t="str">
        <f t="shared" si="11"/>
        <v>17301-43660-05</v>
      </c>
      <c r="C732" s="175"/>
      <c r="D732" s="176" t="s">
        <v>1118</v>
      </c>
      <c r="E732" s="176"/>
      <c r="F732" s="173">
        <v>46839</v>
      </c>
      <c r="G732" s="173" t="s">
        <v>17</v>
      </c>
      <c r="H732" s="174">
        <v>5</v>
      </c>
      <c r="I732" s="146"/>
      <c r="L732" s="178"/>
      <c r="M732" s="177" t="s">
        <v>2360</v>
      </c>
      <c r="N732" s="144" t="s">
        <v>1432</v>
      </c>
    </row>
    <row r="733" spans="1:15" ht="40.5">
      <c r="A733" s="140" t="str">
        <f t="shared" si="11"/>
        <v>17301-43660-06</v>
      </c>
      <c r="C733" s="175"/>
      <c r="D733" s="176" t="s">
        <v>1118</v>
      </c>
      <c r="E733" s="176"/>
      <c r="F733" s="173">
        <v>47472</v>
      </c>
      <c r="G733" s="173" t="s">
        <v>17</v>
      </c>
      <c r="H733" s="174">
        <v>6</v>
      </c>
      <c r="I733" s="146"/>
      <c r="L733" s="178"/>
      <c r="M733" s="177" t="s">
        <v>2361</v>
      </c>
      <c r="N733" s="144" t="s">
        <v>1432</v>
      </c>
    </row>
    <row r="734" spans="1:15">
      <c r="A734" s="140" t="str">
        <f t="shared" si="11"/>
        <v>17301-43660-07</v>
      </c>
      <c r="C734" s="175"/>
      <c r="D734" s="176" t="s">
        <v>1118</v>
      </c>
      <c r="E734" s="176"/>
      <c r="F734" s="173">
        <v>49660</v>
      </c>
      <c r="G734" s="173" t="s">
        <v>17</v>
      </c>
      <c r="H734" s="174">
        <v>7</v>
      </c>
      <c r="I734" s="146"/>
      <c r="L734" s="178"/>
      <c r="M734" s="177"/>
      <c r="N734" s="144" t="s">
        <v>1432</v>
      </c>
    </row>
    <row r="735" spans="1:15">
      <c r="A735" s="140" t="str">
        <f t="shared" si="11"/>
        <v>17301-43660-08</v>
      </c>
      <c r="C735" s="175"/>
      <c r="D735" s="176" t="s">
        <v>1118</v>
      </c>
      <c r="E735" s="176"/>
      <c r="F735" s="173">
        <v>47167</v>
      </c>
      <c r="G735" s="173" t="s">
        <v>17</v>
      </c>
      <c r="H735" s="174">
        <v>8</v>
      </c>
      <c r="I735" s="146"/>
      <c r="L735" s="178"/>
      <c r="M735" s="177"/>
      <c r="N735" s="144" t="s">
        <v>1432</v>
      </c>
    </row>
    <row r="736" spans="1:15">
      <c r="A736" s="140" t="str">
        <f t="shared" si="11"/>
        <v>17301-43660-09</v>
      </c>
      <c r="C736" s="175"/>
      <c r="D736" s="176" t="s">
        <v>1118</v>
      </c>
      <c r="E736" s="176"/>
      <c r="F736" s="173">
        <v>54923</v>
      </c>
      <c r="G736" s="173" t="s">
        <v>17</v>
      </c>
      <c r="H736" s="174">
        <v>9</v>
      </c>
      <c r="I736" s="146">
        <v>1.33</v>
      </c>
      <c r="L736" s="178"/>
      <c r="M736" s="177"/>
      <c r="N736" s="144" t="s">
        <v>1432</v>
      </c>
      <c r="O736" s="150"/>
    </row>
    <row r="737" spans="1:15">
      <c r="A737" s="140" t="str">
        <f t="shared" si="11"/>
        <v>17301-43661-00</v>
      </c>
      <c r="C737" s="175"/>
      <c r="D737" s="176" t="s">
        <v>1118</v>
      </c>
      <c r="E737" s="176"/>
      <c r="F737" s="173" t="s">
        <v>261</v>
      </c>
      <c r="G737" s="173" t="s">
        <v>18</v>
      </c>
      <c r="H737" s="174">
        <v>0</v>
      </c>
      <c r="I737" s="146"/>
      <c r="L737" s="178"/>
      <c r="M737" s="177"/>
      <c r="N737" s="144" t="s">
        <v>1432</v>
      </c>
    </row>
    <row r="738" spans="1:15">
      <c r="A738" s="140" t="str">
        <f t="shared" si="11"/>
        <v>17301-43661-01</v>
      </c>
      <c r="C738" s="175"/>
      <c r="D738" s="176" t="s">
        <v>1118</v>
      </c>
      <c r="E738" s="176"/>
      <c r="F738" s="173">
        <v>45171</v>
      </c>
      <c r="G738" s="173" t="s">
        <v>18</v>
      </c>
      <c r="H738" s="174">
        <v>1</v>
      </c>
      <c r="I738" s="146"/>
      <c r="L738" s="178"/>
      <c r="M738" s="177" t="s">
        <v>2334</v>
      </c>
      <c r="N738" s="144" t="s">
        <v>1432</v>
      </c>
    </row>
    <row r="739" spans="1:15">
      <c r="A739" s="140" t="str">
        <f t="shared" si="11"/>
        <v>17301-43661-02</v>
      </c>
      <c r="C739" s="175"/>
      <c r="D739" s="176" t="s">
        <v>1118</v>
      </c>
      <c r="E739" s="176"/>
      <c r="F739" s="173">
        <v>45521</v>
      </c>
      <c r="G739" s="173" t="s">
        <v>18</v>
      </c>
      <c r="H739" s="174">
        <v>2</v>
      </c>
      <c r="I739" s="146"/>
      <c r="L739" s="178"/>
      <c r="M739" s="177" t="s">
        <v>2334</v>
      </c>
      <c r="N739" s="144" t="s">
        <v>1432</v>
      </c>
    </row>
    <row r="740" spans="1:15">
      <c r="A740" s="140" t="str">
        <f t="shared" si="11"/>
        <v>17301-43661-03</v>
      </c>
      <c r="C740" s="175"/>
      <c r="D740" s="176" t="s">
        <v>1118</v>
      </c>
      <c r="E740" s="176"/>
      <c r="F740" s="173">
        <v>46104</v>
      </c>
      <c r="G740" s="173" t="s">
        <v>18</v>
      </c>
      <c r="H740" s="174">
        <v>3</v>
      </c>
      <c r="I740" s="146"/>
      <c r="L740" s="178"/>
      <c r="M740" s="177"/>
      <c r="N740" s="144" t="s">
        <v>1432</v>
      </c>
    </row>
    <row r="741" spans="1:15" ht="27">
      <c r="A741" s="140" t="str">
        <f t="shared" si="11"/>
        <v>17301-43661-04</v>
      </c>
      <c r="C741" s="175"/>
      <c r="D741" s="176" t="s">
        <v>1118</v>
      </c>
      <c r="E741" s="176"/>
      <c r="F741" s="173">
        <v>46538</v>
      </c>
      <c r="G741" s="173" t="s">
        <v>18</v>
      </c>
      <c r="H741" s="174">
        <v>4</v>
      </c>
      <c r="I741" s="146"/>
      <c r="L741" s="178"/>
      <c r="M741" s="177" t="s">
        <v>2362</v>
      </c>
      <c r="N741" s="144" t="s">
        <v>1432</v>
      </c>
    </row>
    <row r="742" spans="1:15" ht="27">
      <c r="A742" s="140" t="str">
        <f t="shared" si="11"/>
        <v>17301-43661-05</v>
      </c>
      <c r="C742" s="175"/>
      <c r="D742" s="176" t="s">
        <v>1118</v>
      </c>
      <c r="E742" s="176"/>
      <c r="F742" s="173">
        <v>46839</v>
      </c>
      <c r="G742" s="173" t="s">
        <v>18</v>
      </c>
      <c r="H742" s="174">
        <v>5</v>
      </c>
      <c r="I742" s="146"/>
      <c r="L742" s="178"/>
      <c r="M742" s="177" t="s">
        <v>2362</v>
      </c>
      <c r="N742" s="144" t="s">
        <v>1432</v>
      </c>
    </row>
    <row r="743" spans="1:15" ht="40.5">
      <c r="A743" s="140" t="str">
        <f t="shared" si="11"/>
        <v>17301-43661-06</v>
      </c>
      <c r="C743" s="175"/>
      <c r="D743" s="176" t="s">
        <v>1118</v>
      </c>
      <c r="E743" s="176"/>
      <c r="F743" s="173">
        <v>47472</v>
      </c>
      <c r="G743" s="173" t="s">
        <v>18</v>
      </c>
      <c r="H743" s="174">
        <v>6</v>
      </c>
      <c r="I743" s="146"/>
      <c r="L743" s="178"/>
      <c r="M743" s="177" t="s">
        <v>2363</v>
      </c>
      <c r="N743" s="144" t="s">
        <v>1432</v>
      </c>
    </row>
    <row r="744" spans="1:15">
      <c r="A744" s="140" t="str">
        <f t="shared" si="11"/>
        <v>17301-43661-07</v>
      </c>
      <c r="C744" s="175"/>
      <c r="D744" s="176" t="s">
        <v>1118</v>
      </c>
      <c r="E744" s="176"/>
      <c r="F744" s="173">
        <v>49660</v>
      </c>
      <c r="G744" s="173" t="s">
        <v>18</v>
      </c>
      <c r="H744" s="174">
        <v>7</v>
      </c>
      <c r="I744" s="146"/>
      <c r="L744" s="178"/>
      <c r="M744" s="177"/>
      <c r="N744" s="144" t="s">
        <v>1432</v>
      </c>
    </row>
    <row r="745" spans="1:15">
      <c r="A745" s="140" t="str">
        <f t="shared" si="11"/>
        <v>17301-43661-08</v>
      </c>
      <c r="C745" s="175"/>
      <c r="D745" s="176" t="s">
        <v>1118</v>
      </c>
      <c r="E745" s="176"/>
      <c r="F745" s="173">
        <v>47167</v>
      </c>
      <c r="G745" s="173" t="s">
        <v>18</v>
      </c>
      <c r="H745" s="174">
        <v>8</v>
      </c>
      <c r="I745" s="146"/>
      <c r="L745" s="178"/>
      <c r="M745" s="177"/>
      <c r="N745" s="144" t="s">
        <v>1432</v>
      </c>
    </row>
    <row r="746" spans="1:15">
      <c r="A746" s="140" t="str">
        <f t="shared" si="11"/>
        <v>17301-43661-09</v>
      </c>
      <c r="C746" s="175"/>
      <c r="D746" s="176" t="s">
        <v>1118</v>
      </c>
      <c r="E746" s="176"/>
      <c r="F746" s="173">
        <v>54923</v>
      </c>
      <c r="G746" s="173" t="s">
        <v>18</v>
      </c>
      <c r="H746" s="174">
        <v>9</v>
      </c>
      <c r="I746" s="146">
        <v>1.33</v>
      </c>
      <c r="L746" s="178"/>
      <c r="M746" s="177"/>
      <c r="N746" s="144" t="s">
        <v>1432</v>
      </c>
    </row>
    <row r="747" spans="1:15" ht="40.5">
      <c r="A747" s="140" t="str">
        <f t="shared" si="11"/>
        <v>17301-43664-00</v>
      </c>
      <c r="C747" s="175"/>
      <c r="D747" s="176" t="s">
        <v>1118</v>
      </c>
      <c r="E747" s="176"/>
      <c r="F747" s="173">
        <v>49074</v>
      </c>
      <c r="G747" s="173" t="s">
        <v>19</v>
      </c>
      <c r="H747" s="174">
        <v>0</v>
      </c>
      <c r="I747" s="146"/>
      <c r="L747" s="178"/>
      <c r="M747" s="177" t="s">
        <v>2364</v>
      </c>
      <c r="N747" s="144" t="s">
        <v>1432</v>
      </c>
    </row>
    <row r="748" spans="1:15" ht="40.5">
      <c r="A748" s="140" t="str">
        <f t="shared" si="11"/>
        <v>17301-43664-01</v>
      </c>
      <c r="C748" s="175"/>
      <c r="D748" s="176" t="s">
        <v>1118</v>
      </c>
      <c r="E748" s="176"/>
      <c r="F748" s="173">
        <v>49660</v>
      </c>
      <c r="G748" s="173" t="s">
        <v>19</v>
      </c>
      <c r="H748" s="174">
        <v>1</v>
      </c>
      <c r="I748" s="146"/>
      <c r="L748" s="178"/>
      <c r="M748" s="177" t="s">
        <v>2364</v>
      </c>
      <c r="N748" s="144" t="s">
        <v>1432</v>
      </c>
    </row>
    <row r="749" spans="1:15" ht="40.5">
      <c r="A749" s="140" t="str">
        <f t="shared" si="11"/>
        <v>17301-43664-02</v>
      </c>
      <c r="C749" s="175"/>
      <c r="D749" s="176" t="s">
        <v>1118</v>
      </c>
      <c r="E749" s="176"/>
      <c r="F749" s="173">
        <v>50119</v>
      </c>
      <c r="G749" s="173" t="s">
        <v>19</v>
      </c>
      <c r="H749" s="174">
        <v>2</v>
      </c>
      <c r="I749" s="146"/>
      <c r="L749" s="178"/>
      <c r="M749" s="177" t="s">
        <v>2364</v>
      </c>
      <c r="N749" s="144" t="s">
        <v>1432</v>
      </c>
    </row>
    <row r="750" spans="1:15" ht="40.5">
      <c r="A750" s="140" t="str">
        <f t="shared" si="11"/>
        <v>17301-43664-03</v>
      </c>
      <c r="C750" s="175"/>
      <c r="D750" s="176" t="s">
        <v>1118</v>
      </c>
      <c r="E750" s="176"/>
      <c r="F750" s="173">
        <v>50924</v>
      </c>
      <c r="G750" s="173" t="s">
        <v>19</v>
      </c>
      <c r="H750" s="174">
        <v>3</v>
      </c>
      <c r="I750" s="146"/>
      <c r="L750" s="178"/>
      <c r="M750" s="177" t="s">
        <v>2364</v>
      </c>
      <c r="N750" s="144" t="s">
        <v>1432</v>
      </c>
      <c r="O750" s="150"/>
    </row>
    <row r="751" spans="1:15" ht="40.5">
      <c r="A751" s="140" t="str">
        <f t="shared" si="11"/>
        <v>17301-43664-04</v>
      </c>
      <c r="C751" s="175"/>
      <c r="D751" s="176" t="s">
        <v>1118</v>
      </c>
      <c r="E751" s="176"/>
      <c r="F751" s="173">
        <v>51129</v>
      </c>
      <c r="G751" s="173" t="s">
        <v>19</v>
      </c>
      <c r="H751" s="174">
        <v>4</v>
      </c>
      <c r="I751" s="146"/>
      <c r="L751" s="178"/>
      <c r="M751" s="177" t="s">
        <v>2364</v>
      </c>
      <c r="N751" s="144" t="s">
        <v>1432</v>
      </c>
      <c r="O751" s="150"/>
    </row>
    <row r="752" spans="1:15" ht="40.5">
      <c r="A752" s="140" t="str">
        <f t="shared" si="11"/>
        <v>17301-43664-05</v>
      </c>
      <c r="C752" s="175"/>
      <c r="D752" s="176" t="s">
        <v>1118</v>
      </c>
      <c r="E752" s="176"/>
      <c r="F752" s="173">
        <v>50879</v>
      </c>
      <c r="G752" s="173" t="s">
        <v>19</v>
      </c>
      <c r="H752" s="174">
        <v>5</v>
      </c>
      <c r="I752" s="146"/>
      <c r="L752" s="178"/>
      <c r="M752" s="177" t="s">
        <v>2364</v>
      </c>
      <c r="N752" s="144" t="s">
        <v>1432</v>
      </c>
    </row>
    <row r="753" spans="1:15" ht="40.5">
      <c r="A753" s="140" t="str">
        <f t="shared" si="11"/>
        <v>17301-43664-06</v>
      </c>
      <c r="C753" s="175"/>
      <c r="D753" s="176" t="s">
        <v>1118</v>
      </c>
      <c r="E753" s="176"/>
      <c r="F753" s="173">
        <v>51498</v>
      </c>
      <c r="G753" s="173" t="s">
        <v>19</v>
      </c>
      <c r="H753" s="174">
        <v>6</v>
      </c>
      <c r="I753" s="146"/>
      <c r="L753" s="178"/>
      <c r="M753" s="177" t="s">
        <v>2364</v>
      </c>
      <c r="N753" s="144" t="s">
        <v>1432</v>
      </c>
    </row>
    <row r="754" spans="1:15" ht="40.5">
      <c r="A754" s="140" t="str">
        <f t="shared" si="11"/>
        <v>17301-43664-07</v>
      </c>
      <c r="C754" s="175"/>
      <c r="D754" s="176" t="s">
        <v>1118</v>
      </c>
      <c r="E754" s="176"/>
      <c r="F754" s="173">
        <v>47167</v>
      </c>
      <c r="G754" s="173" t="s">
        <v>19</v>
      </c>
      <c r="H754" s="174">
        <v>7</v>
      </c>
      <c r="I754" s="146"/>
      <c r="L754" s="178"/>
      <c r="M754" s="177" t="s">
        <v>2365</v>
      </c>
      <c r="N754" s="144" t="s">
        <v>1432</v>
      </c>
    </row>
    <row r="755" spans="1:15" ht="40.5">
      <c r="A755" s="140" t="str">
        <f t="shared" si="11"/>
        <v>17301-43664-08</v>
      </c>
      <c r="C755" s="175"/>
      <c r="D755" s="176" t="s">
        <v>1118</v>
      </c>
      <c r="E755" s="176"/>
      <c r="F755" s="173">
        <v>52999</v>
      </c>
      <c r="G755" s="173" t="s">
        <v>19</v>
      </c>
      <c r="H755" s="174">
        <v>8</v>
      </c>
      <c r="I755" s="146"/>
      <c r="L755" s="178"/>
      <c r="M755" s="177" t="s">
        <v>2364</v>
      </c>
      <c r="N755" s="144" t="s">
        <v>1432</v>
      </c>
    </row>
    <row r="756" spans="1:15" ht="40.5">
      <c r="A756" s="140" t="str">
        <f t="shared" si="11"/>
        <v>17301-43664-09</v>
      </c>
      <c r="C756" s="175"/>
      <c r="D756" s="176" t="s">
        <v>1118</v>
      </c>
      <c r="E756" s="176"/>
      <c r="F756" s="173">
        <v>53855</v>
      </c>
      <c r="G756" s="173" t="s">
        <v>19</v>
      </c>
      <c r="H756" s="174">
        <v>9</v>
      </c>
      <c r="I756" s="146"/>
      <c r="L756" s="178"/>
      <c r="M756" s="177" t="s">
        <v>2364</v>
      </c>
      <c r="N756" s="144" t="s">
        <v>1432</v>
      </c>
    </row>
    <row r="757" spans="1:15" ht="40.5">
      <c r="A757" s="140" t="str">
        <f t="shared" si="11"/>
        <v>17301-43664-10</v>
      </c>
      <c r="C757" s="175"/>
      <c r="D757" s="176" t="s">
        <v>1118</v>
      </c>
      <c r="E757" s="176"/>
      <c r="F757" s="173">
        <v>54923</v>
      </c>
      <c r="G757" s="173" t="s">
        <v>19</v>
      </c>
      <c r="H757" s="174">
        <v>10</v>
      </c>
      <c r="I757" s="146"/>
      <c r="L757" s="178"/>
      <c r="M757" s="177" t="s">
        <v>2364</v>
      </c>
      <c r="N757" s="144" t="s">
        <v>1432</v>
      </c>
    </row>
    <row r="758" spans="1:15" ht="40.5">
      <c r="A758" s="140" t="str">
        <f t="shared" si="11"/>
        <v>17301-43664-11</v>
      </c>
      <c r="C758" s="175"/>
      <c r="D758" s="176" t="s">
        <v>1118</v>
      </c>
      <c r="E758" s="176"/>
      <c r="F758" s="173">
        <v>55660</v>
      </c>
      <c r="G758" s="173" t="s">
        <v>19</v>
      </c>
      <c r="H758" s="174">
        <v>11</v>
      </c>
      <c r="I758" s="146"/>
      <c r="L758" s="178"/>
      <c r="M758" s="177" t="s">
        <v>2364</v>
      </c>
      <c r="N758" s="144" t="s">
        <v>1432</v>
      </c>
    </row>
    <row r="759" spans="1:15" ht="40.5">
      <c r="A759" s="140" t="str">
        <f t="shared" si="11"/>
        <v>17301-43664-12</v>
      </c>
      <c r="C759" s="175"/>
      <c r="D759" s="176" t="s">
        <v>1118</v>
      </c>
      <c r="E759" s="176"/>
      <c r="F759" s="173">
        <v>56577</v>
      </c>
      <c r="G759" s="173" t="s">
        <v>19</v>
      </c>
      <c r="H759" s="174">
        <v>12</v>
      </c>
      <c r="I759" s="146">
        <v>1.65</v>
      </c>
      <c r="L759" s="178"/>
      <c r="M759" s="177" t="s">
        <v>2364</v>
      </c>
      <c r="N759" s="144" t="s">
        <v>1432</v>
      </c>
    </row>
    <row r="760" spans="1:15" ht="40.5">
      <c r="A760" s="140" t="str">
        <f t="shared" si="11"/>
        <v>17301-43665-00</v>
      </c>
      <c r="C760" s="175"/>
      <c r="D760" s="176" t="s">
        <v>1118</v>
      </c>
      <c r="E760" s="176"/>
      <c r="F760" s="173">
        <v>49074</v>
      </c>
      <c r="G760" s="173" t="s">
        <v>21</v>
      </c>
      <c r="H760" s="174">
        <v>0</v>
      </c>
      <c r="I760" s="146"/>
      <c r="L760" s="178"/>
      <c r="M760" s="177" t="s">
        <v>2366</v>
      </c>
      <c r="N760" s="144" t="s">
        <v>1432</v>
      </c>
    </row>
    <row r="761" spans="1:15" ht="40.5">
      <c r="A761" s="140" t="str">
        <f t="shared" si="11"/>
        <v>17301-43665-01</v>
      </c>
      <c r="C761" s="175"/>
      <c r="D761" s="176" t="s">
        <v>1118</v>
      </c>
      <c r="E761" s="176"/>
      <c r="F761" s="173">
        <v>49660</v>
      </c>
      <c r="G761" s="173" t="s">
        <v>21</v>
      </c>
      <c r="H761" s="174">
        <v>1</v>
      </c>
      <c r="I761" s="146"/>
      <c r="L761" s="178"/>
      <c r="M761" s="177" t="s">
        <v>2366</v>
      </c>
      <c r="N761" s="144" t="s">
        <v>1432</v>
      </c>
    </row>
    <row r="762" spans="1:15" ht="40.5">
      <c r="A762" s="140" t="str">
        <f t="shared" si="11"/>
        <v>17301-43665-02</v>
      </c>
      <c r="C762" s="175"/>
      <c r="D762" s="176" t="s">
        <v>1118</v>
      </c>
      <c r="E762" s="176"/>
      <c r="F762" s="173">
        <v>50119</v>
      </c>
      <c r="G762" s="173" t="s">
        <v>21</v>
      </c>
      <c r="H762" s="174">
        <v>2</v>
      </c>
      <c r="I762" s="146"/>
      <c r="L762" s="178"/>
      <c r="M762" s="177" t="s">
        <v>2367</v>
      </c>
      <c r="N762" s="144" t="s">
        <v>1432</v>
      </c>
    </row>
    <row r="763" spans="1:15" ht="40.5">
      <c r="A763" s="140" t="str">
        <f t="shared" si="11"/>
        <v>17301-43665-03</v>
      </c>
      <c r="C763" s="175"/>
      <c r="D763" s="176" t="s">
        <v>1118</v>
      </c>
      <c r="E763" s="176"/>
      <c r="F763" s="173">
        <v>50924</v>
      </c>
      <c r="G763" s="173" t="s">
        <v>21</v>
      </c>
      <c r="H763" s="174">
        <v>3</v>
      </c>
      <c r="I763" s="146"/>
      <c r="L763" s="178"/>
      <c r="M763" s="177" t="s">
        <v>2367</v>
      </c>
      <c r="N763" s="144" t="s">
        <v>1432</v>
      </c>
      <c r="O763" s="150"/>
    </row>
    <row r="764" spans="1:15" ht="40.5">
      <c r="A764" s="140" t="str">
        <f t="shared" si="11"/>
        <v>17301-43665-04</v>
      </c>
      <c r="C764" s="175"/>
      <c r="D764" s="176" t="s">
        <v>1118</v>
      </c>
      <c r="E764" s="176"/>
      <c r="F764" s="173">
        <v>51129</v>
      </c>
      <c r="G764" s="173" t="s">
        <v>21</v>
      </c>
      <c r="H764" s="174">
        <v>4</v>
      </c>
      <c r="I764" s="146"/>
      <c r="L764" s="178"/>
      <c r="M764" s="177" t="s">
        <v>2367</v>
      </c>
      <c r="N764" s="144" t="s">
        <v>1432</v>
      </c>
      <c r="O764" s="150"/>
    </row>
    <row r="765" spans="1:15" ht="40.5">
      <c r="A765" s="140" t="str">
        <f t="shared" si="11"/>
        <v>17301-43665-05</v>
      </c>
      <c r="C765" s="175"/>
      <c r="D765" s="176" t="s">
        <v>1118</v>
      </c>
      <c r="E765" s="176"/>
      <c r="F765" s="173">
        <v>50879</v>
      </c>
      <c r="G765" s="173" t="s">
        <v>21</v>
      </c>
      <c r="H765" s="174">
        <v>5</v>
      </c>
      <c r="I765" s="146"/>
      <c r="L765" s="178"/>
      <c r="M765" s="177" t="s">
        <v>2367</v>
      </c>
      <c r="N765" s="144" t="s">
        <v>1432</v>
      </c>
    </row>
    <row r="766" spans="1:15" ht="40.5">
      <c r="A766" s="140" t="str">
        <f t="shared" si="11"/>
        <v>17301-43665-06</v>
      </c>
      <c r="C766" s="175"/>
      <c r="D766" s="176" t="s">
        <v>1118</v>
      </c>
      <c r="E766" s="176"/>
      <c r="F766" s="173">
        <v>51498</v>
      </c>
      <c r="G766" s="173" t="s">
        <v>21</v>
      </c>
      <c r="H766" s="174">
        <v>6</v>
      </c>
      <c r="I766" s="146"/>
      <c r="L766" s="178"/>
      <c r="M766" s="177" t="s">
        <v>2367</v>
      </c>
      <c r="N766" s="144" t="s">
        <v>1432</v>
      </c>
    </row>
    <row r="767" spans="1:15" ht="40.5">
      <c r="A767" s="140" t="str">
        <f t="shared" si="11"/>
        <v>17301-43665-07</v>
      </c>
      <c r="C767" s="175"/>
      <c r="D767" s="176" t="s">
        <v>1118</v>
      </c>
      <c r="E767" s="176"/>
      <c r="F767" s="173">
        <v>47167</v>
      </c>
      <c r="G767" s="173" t="s">
        <v>21</v>
      </c>
      <c r="H767" s="174">
        <v>7</v>
      </c>
      <c r="I767" s="146"/>
      <c r="L767" s="178"/>
      <c r="M767" s="177" t="s">
        <v>2368</v>
      </c>
      <c r="N767" s="144" t="s">
        <v>1432</v>
      </c>
    </row>
    <row r="768" spans="1:15" ht="40.5">
      <c r="A768" s="140" t="str">
        <f t="shared" si="11"/>
        <v>17301-43665-08</v>
      </c>
      <c r="C768" s="175"/>
      <c r="D768" s="176" t="s">
        <v>1118</v>
      </c>
      <c r="E768" s="176"/>
      <c r="F768" s="173">
        <v>52999</v>
      </c>
      <c r="G768" s="173" t="s">
        <v>21</v>
      </c>
      <c r="H768" s="174">
        <v>8</v>
      </c>
      <c r="I768" s="146"/>
      <c r="L768" s="178"/>
      <c r="M768" s="177" t="s">
        <v>2366</v>
      </c>
      <c r="N768" s="144" t="s">
        <v>1432</v>
      </c>
    </row>
    <row r="769" spans="1:15" ht="40.5">
      <c r="A769" s="140" t="str">
        <f t="shared" si="11"/>
        <v>17301-43665-09</v>
      </c>
      <c r="C769" s="175"/>
      <c r="D769" s="176" t="s">
        <v>1118</v>
      </c>
      <c r="E769" s="176"/>
      <c r="F769" s="173">
        <v>53855</v>
      </c>
      <c r="G769" s="173" t="s">
        <v>21</v>
      </c>
      <c r="H769" s="174">
        <v>9</v>
      </c>
      <c r="I769" s="146"/>
      <c r="L769" s="178"/>
      <c r="M769" s="177" t="s">
        <v>2366</v>
      </c>
      <c r="N769" s="144" t="s">
        <v>1432</v>
      </c>
    </row>
    <row r="770" spans="1:15" ht="40.5">
      <c r="A770" s="140" t="str">
        <f t="shared" ref="A770:A833" si="12">G770&amp;"-"&amp;TEXT(H770,"00")</f>
        <v>17301-43665-10</v>
      </c>
      <c r="C770" s="175"/>
      <c r="D770" s="176" t="s">
        <v>1118</v>
      </c>
      <c r="E770" s="176"/>
      <c r="F770" s="173">
        <v>54923</v>
      </c>
      <c r="G770" s="173" t="s">
        <v>21</v>
      </c>
      <c r="H770" s="174">
        <v>10</v>
      </c>
      <c r="I770" s="146"/>
      <c r="L770" s="178"/>
      <c r="M770" s="177" t="s">
        <v>2366</v>
      </c>
      <c r="N770" s="144" t="s">
        <v>1432</v>
      </c>
    </row>
    <row r="771" spans="1:15" ht="40.5">
      <c r="A771" s="140" t="str">
        <f t="shared" si="12"/>
        <v>17301-43665-11</v>
      </c>
      <c r="C771" s="175"/>
      <c r="D771" s="176" t="s">
        <v>1118</v>
      </c>
      <c r="E771" s="176"/>
      <c r="F771" s="173">
        <v>55660</v>
      </c>
      <c r="G771" s="173" t="s">
        <v>21</v>
      </c>
      <c r="H771" s="174">
        <v>11</v>
      </c>
      <c r="I771" s="146"/>
      <c r="L771" s="178"/>
      <c r="M771" s="177" t="s">
        <v>2366</v>
      </c>
      <c r="N771" s="144" t="s">
        <v>1432</v>
      </c>
    </row>
    <row r="772" spans="1:15" ht="27">
      <c r="A772" s="140" t="str">
        <f t="shared" si="12"/>
        <v>17301-43665-12</v>
      </c>
      <c r="C772" s="175"/>
      <c r="D772" s="176" t="s">
        <v>1118</v>
      </c>
      <c r="E772" s="176"/>
      <c r="F772" s="173">
        <v>56577</v>
      </c>
      <c r="G772" s="173" t="s">
        <v>21</v>
      </c>
      <c r="H772" s="174">
        <v>12</v>
      </c>
      <c r="I772" s="146">
        <v>1.65</v>
      </c>
      <c r="L772" s="178"/>
      <c r="M772" s="177" t="s">
        <v>2369</v>
      </c>
      <c r="N772" s="144" t="s">
        <v>1432</v>
      </c>
    </row>
    <row r="773" spans="1:15">
      <c r="A773" s="140" t="str">
        <f t="shared" si="12"/>
        <v>17301-43666-00</v>
      </c>
      <c r="C773" s="175"/>
      <c r="D773" s="176" t="s">
        <v>1118</v>
      </c>
      <c r="E773" s="176"/>
      <c r="F773" s="173">
        <v>43314</v>
      </c>
      <c r="G773" s="173" t="s">
        <v>23</v>
      </c>
      <c r="H773" s="174">
        <v>0</v>
      </c>
      <c r="I773" s="146"/>
      <c r="L773" s="178"/>
      <c r="M773" s="177"/>
      <c r="N773" s="144" t="s">
        <v>1432</v>
      </c>
    </row>
    <row r="774" spans="1:15">
      <c r="A774" s="140" t="str">
        <f t="shared" si="12"/>
        <v>17301-43666-01</v>
      </c>
      <c r="C774" s="175"/>
      <c r="D774" s="176" t="s">
        <v>1118</v>
      </c>
      <c r="E774" s="176"/>
      <c r="F774" s="173">
        <v>49660</v>
      </c>
      <c r="G774" s="173" t="s">
        <v>23</v>
      </c>
      <c r="H774" s="174">
        <v>1</v>
      </c>
      <c r="I774" s="146"/>
      <c r="L774" s="178"/>
      <c r="M774" s="177"/>
      <c r="N774" s="144" t="s">
        <v>1432</v>
      </c>
    </row>
    <row r="775" spans="1:15">
      <c r="A775" s="140" t="str">
        <f t="shared" si="12"/>
        <v>17301-43666-02</v>
      </c>
      <c r="C775" s="175"/>
      <c r="D775" s="176" t="s">
        <v>1118</v>
      </c>
      <c r="E775" s="176"/>
      <c r="F775" s="173">
        <v>50119</v>
      </c>
      <c r="G775" s="173" t="s">
        <v>23</v>
      </c>
      <c r="H775" s="174">
        <v>2</v>
      </c>
      <c r="I775" s="146"/>
      <c r="L775" s="178"/>
      <c r="M775" s="177"/>
      <c r="N775" s="144" t="s">
        <v>1432</v>
      </c>
    </row>
    <row r="776" spans="1:15">
      <c r="A776" s="140" t="str">
        <f t="shared" si="12"/>
        <v>17301-43666-03</v>
      </c>
      <c r="C776" s="175"/>
      <c r="D776" s="176" t="s">
        <v>1118</v>
      </c>
      <c r="E776" s="176"/>
      <c r="F776" s="173">
        <v>50924</v>
      </c>
      <c r="G776" s="173" t="s">
        <v>23</v>
      </c>
      <c r="H776" s="174">
        <v>3</v>
      </c>
      <c r="I776" s="146"/>
      <c r="L776" s="178"/>
      <c r="M776" s="177"/>
      <c r="N776" s="144" t="s">
        <v>1432</v>
      </c>
      <c r="O776" s="150"/>
    </row>
    <row r="777" spans="1:15">
      <c r="A777" s="140" t="str">
        <f t="shared" si="12"/>
        <v>17301-43666-04</v>
      </c>
      <c r="C777" s="175"/>
      <c r="D777" s="176" t="s">
        <v>1118</v>
      </c>
      <c r="E777" s="176"/>
      <c r="F777" s="173">
        <v>51129</v>
      </c>
      <c r="G777" s="173" t="s">
        <v>23</v>
      </c>
      <c r="H777" s="174">
        <v>4</v>
      </c>
      <c r="I777" s="146"/>
      <c r="L777" s="178"/>
      <c r="M777" s="177"/>
      <c r="N777" s="144" t="s">
        <v>1432</v>
      </c>
      <c r="O777" s="150"/>
    </row>
    <row r="778" spans="1:15">
      <c r="A778" s="140" t="str">
        <f t="shared" si="12"/>
        <v>17301-43666-05</v>
      </c>
      <c r="C778" s="175"/>
      <c r="D778" s="176" t="s">
        <v>1118</v>
      </c>
      <c r="E778" s="176"/>
      <c r="F778" s="173">
        <v>50879</v>
      </c>
      <c r="G778" s="173" t="s">
        <v>23</v>
      </c>
      <c r="H778" s="174">
        <v>5</v>
      </c>
      <c r="I778" s="146"/>
      <c r="L778" s="178"/>
      <c r="M778" s="177"/>
      <c r="N778" s="144" t="s">
        <v>1432</v>
      </c>
    </row>
    <row r="779" spans="1:15">
      <c r="A779" s="140" t="str">
        <f t="shared" si="12"/>
        <v>17301-43666-06</v>
      </c>
      <c r="C779" s="175"/>
      <c r="D779" s="176" t="s">
        <v>1118</v>
      </c>
      <c r="E779" s="176"/>
      <c r="F779" s="173">
        <v>51498</v>
      </c>
      <c r="G779" s="173" t="s">
        <v>23</v>
      </c>
      <c r="H779" s="174">
        <v>6</v>
      </c>
      <c r="I779" s="146"/>
      <c r="L779" s="178"/>
      <c r="M779" s="177"/>
      <c r="N779" s="144" t="s">
        <v>1432</v>
      </c>
    </row>
    <row r="780" spans="1:15">
      <c r="A780" s="140" t="str">
        <f t="shared" si="12"/>
        <v>17301-43666-07</v>
      </c>
      <c r="C780" s="175"/>
      <c r="D780" s="176" t="s">
        <v>1118</v>
      </c>
      <c r="E780" s="176"/>
      <c r="F780" s="173">
        <v>47167</v>
      </c>
      <c r="G780" s="173" t="s">
        <v>23</v>
      </c>
      <c r="H780" s="174">
        <v>7</v>
      </c>
      <c r="I780" s="146"/>
      <c r="L780" s="178"/>
      <c r="M780" s="177"/>
      <c r="N780" s="144" t="s">
        <v>1432</v>
      </c>
    </row>
    <row r="781" spans="1:15">
      <c r="A781" s="140" t="str">
        <f t="shared" si="12"/>
        <v>17301-43666-08</v>
      </c>
      <c r="C781" s="175"/>
      <c r="D781" s="176" t="s">
        <v>1118</v>
      </c>
      <c r="E781" s="176"/>
      <c r="F781" s="173">
        <v>52999</v>
      </c>
      <c r="G781" s="173" t="s">
        <v>23</v>
      </c>
      <c r="H781" s="174">
        <v>8</v>
      </c>
      <c r="I781" s="146"/>
      <c r="L781" s="178"/>
      <c r="M781" s="177"/>
      <c r="N781" s="144" t="s">
        <v>1432</v>
      </c>
    </row>
    <row r="782" spans="1:15">
      <c r="A782" s="140" t="str">
        <f t="shared" si="12"/>
        <v>17301-43666-09</v>
      </c>
      <c r="C782" s="175"/>
      <c r="D782" s="176" t="s">
        <v>1118</v>
      </c>
      <c r="E782" s="176"/>
      <c r="F782" s="173">
        <v>53855</v>
      </c>
      <c r="G782" s="173" t="s">
        <v>23</v>
      </c>
      <c r="H782" s="174">
        <v>9</v>
      </c>
      <c r="I782" s="146"/>
      <c r="L782" s="178"/>
      <c r="M782" s="177"/>
      <c r="N782" s="144" t="s">
        <v>1432</v>
      </c>
    </row>
    <row r="783" spans="1:15">
      <c r="A783" s="140" t="str">
        <f t="shared" si="12"/>
        <v>17301-43666-10</v>
      </c>
      <c r="C783" s="175"/>
      <c r="D783" s="176" t="s">
        <v>1118</v>
      </c>
      <c r="E783" s="176"/>
      <c r="F783" s="173">
        <v>54923</v>
      </c>
      <c r="G783" s="173" t="s">
        <v>23</v>
      </c>
      <c r="H783" s="174">
        <v>10</v>
      </c>
      <c r="I783" s="146"/>
      <c r="L783" s="178"/>
      <c r="M783" s="177"/>
      <c r="N783" s="144" t="s">
        <v>1432</v>
      </c>
    </row>
    <row r="784" spans="1:15">
      <c r="A784" s="140" t="str">
        <f t="shared" si="12"/>
        <v>17301-43666-11</v>
      </c>
      <c r="C784" s="175"/>
      <c r="D784" s="176" t="s">
        <v>1118</v>
      </c>
      <c r="E784" s="176"/>
      <c r="F784" s="173">
        <v>55660</v>
      </c>
      <c r="G784" s="173" t="s">
        <v>23</v>
      </c>
      <c r="H784" s="174">
        <v>11</v>
      </c>
      <c r="I784" s="146"/>
      <c r="L784" s="178"/>
      <c r="M784" s="177"/>
      <c r="N784" s="144" t="s">
        <v>1432</v>
      </c>
    </row>
    <row r="785" spans="1:14">
      <c r="A785" s="140" t="str">
        <f t="shared" si="12"/>
        <v>17301-43666-12</v>
      </c>
      <c r="C785" s="175"/>
      <c r="D785" s="176" t="s">
        <v>1118</v>
      </c>
      <c r="E785" s="176"/>
      <c r="F785" s="173">
        <v>56577</v>
      </c>
      <c r="G785" s="173" t="s">
        <v>23</v>
      </c>
      <c r="H785" s="174">
        <v>12</v>
      </c>
      <c r="I785" s="146">
        <v>1.65</v>
      </c>
      <c r="L785" s="178"/>
      <c r="M785" s="177"/>
      <c r="N785" s="144" t="s">
        <v>1432</v>
      </c>
    </row>
    <row r="786" spans="1:14" ht="27">
      <c r="A786" s="140" t="str">
        <f t="shared" si="12"/>
        <v>17301-43667-00</v>
      </c>
      <c r="C786" s="175"/>
      <c r="D786" s="176" t="s">
        <v>1118</v>
      </c>
      <c r="E786" s="176"/>
      <c r="F786" s="173" t="s">
        <v>1605</v>
      </c>
      <c r="G786" s="173" t="s">
        <v>1604</v>
      </c>
      <c r="H786" s="174">
        <v>0</v>
      </c>
      <c r="I786" s="144" t="s">
        <v>1623</v>
      </c>
      <c r="L786" s="143" t="s">
        <v>1608</v>
      </c>
      <c r="M786" s="177" t="s">
        <v>2370</v>
      </c>
      <c r="N786" s="144" t="s">
        <v>47</v>
      </c>
    </row>
    <row r="787" spans="1:14" ht="27">
      <c r="A787" s="140" t="str">
        <f t="shared" si="12"/>
        <v>17301-43667-01</v>
      </c>
      <c r="C787" s="175"/>
      <c r="D787" s="176" t="s">
        <v>1118</v>
      </c>
      <c r="E787" s="176"/>
      <c r="F787" s="173" t="s">
        <v>1606</v>
      </c>
      <c r="G787" s="173" t="s">
        <v>1604</v>
      </c>
      <c r="H787" s="174">
        <v>1</v>
      </c>
      <c r="I787" s="144" t="s">
        <v>1622</v>
      </c>
      <c r="L787" s="143" t="s">
        <v>1624</v>
      </c>
      <c r="M787" s="177" t="s">
        <v>2370</v>
      </c>
      <c r="N787" s="144" t="s">
        <v>47</v>
      </c>
    </row>
    <row r="788" spans="1:14" ht="27">
      <c r="A788" s="140" t="str">
        <f t="shared" si="12"/>
        <v>17301-43667-02</v>
      </c>
      <c r="C788" s="175"/>
      <c r="D788" s="176" t="s">
        <v>1118</v>
      </c>
      <c r="E788" s="176"/>
      <c r="F788" s="173" t="s">
        <v>1607</v>
      </c>
      <c r="G788" s="173" t="s">
        <v>1604</v>
      </c>
      <c r="H788" s="174">
        <v>2</v>
      </c>
      <c r="I788" s="144" t="s">
        <v>1625</v>
      </c>
      <c r="L788" s="143" t="s">
        <v>1624</v>
      </c>
      <c r="M788" s="177" t="s">
        <v>2371</v>
      </c>
      <c r="N788" s="144" t="s">
        <v>47</v>
      </c>
    </row>
    <row r="789" spans="1:14" ht="27">
      <c r="A789" s="140" t="str">
        <f t="shared" si="12"/>
        <v>17301-43667-03</v>
      </c>
      <c r="C789" s="175"/>
      <c r="D789" s="176" t="s">
        <v>1118</v>
      </c>
      <c r="E789" s="176"/>
      <c r="F789" s="173" t="s">
        <v>1610</v>
      </c>
      <c r="G789" s="173" t="s">
        <v>1604</v>
      </c>
      <c r="H789" s="174">
        <v>3</v>
      </c>
      <c r="I789" s="144" t="s">
        <v>1626</v>
      </c>
      <c r="L789" s="156" t="s">
        <v>1627</v>
      </c>
      <c r="M789" s="177" t="s">
        <v>2371</v>
      </c>
      <c r="N789" s="144" t="s">
        <v>47</v>
      </c>
    </row>
    <row r="790" spans="1:14" ht="67.5">
      <c r="A790" s="140" t="str">
        <f t="shared" si="12"/>
        <v>17301-43667-04</v>
      </c>
      <c r="C790" s="175"/>
      <c r="D790" s="176" t="s">
        <v>1118</v>
      </c>
      <c r="E790" s="176"/>
      <c r="F790" s="173" t="s">
        <v>1611</v>
      </c>
      <c r="G790" s="173" t="s">
        <v>1604</v>
      </c>
      <c r="H790" s="174">
        <v>4</v>
      </c>
      <c r="I790" s="144" t="s">
        <v>1628</v>
      </c>
      <c r="L790" s="156" t="s">
        <v>1629</v>
      </c>
      <c r="M790" s="177" t="s">
        <v>2371</v>
      </c>
      <c r="N790" s="144" t="s">
        <v>47</v>
      </c>
    </row>
    <row r="791" spans="1:14" ht="27">
      <c r="A791" s="140" t="str">
        <f t="shared" si="12"/>
        <v>17301-43667-05</v>
      </c>
      <c r="C791" s="175"/>
      <c r="D791" s="176" t="s">
        <v>1118</v>
      </c>
      <c r="E791" s="176"/>
      <c r="F791" s="173" t="s">
        <v>1613</v>
      </c>
      <c r="G791" s="173" t="s">
        <v>1604</v>
      </c>
      <c r="H791" s="174">
        <v>5</v>
      </c>
      <c r="I791" s="144" t="s">
        <v>1628</v>
      </c>
      <c r="L791" s="143" t="s">
        <v>1632</v>
      </c>
      <c r="M791" s="177" t="s">
        <v>2371</v>
      </c>
      <c r="N791" s="144" t="s">
        <v>47</v>
      </c>
    </row>
    <row r="792" spans="1:14" ht="27">
      <c r="A792" s="140" t="str">
        <f t="shared" si="12"/>
        <v>17301-43667-06</v>
      </c>
      <c r="C792" s="175"/>
      <c r="D792" s="176" t="s">
        <v>1118</v>
      </c>
      <c r="E792" s="176"/>
      <c r="F792" s="173" t="s">
        <v>1612</v>
      </c>
      <c r="G792" s="173" t="s">
        <v>1604</v>
      </c>
      <c r="H792" s="174">
        <v>6</v>
      </c>
      <c r="I792" s="144" t="s">
        <v>1628</v>
      </c>
      <c r="L792" s="143" t="s">
        <v>1630</v>
      </c>
      <c r="M792" s="177" t="s">
        <v>2371</v>
      </c>
      <c r="N792" s="144" t="s">
        <v>47</v>
      </c>
    </row>
    <row r="793" spans="1:14" ht="27">
      <c r="A793" s="140" t="str">
        <f t="shared" si="12"/>
        <v>17301-43667-07</v>
      </c>
      <c r="C793" s="175"/>
      <c r="D793" s="176" t="s">
        <v>1118</v>
      </c>
      <c r="E793" s="176"/>
      <c r="F793" s="173" t="s">
        <v>1614</v>
      </c>
      <c r="G793" s="173" t="s">
        <v>1604</v>
      </c>
      <c r="H793" s="174">
        <v>7</v>
      </c>
      <c r="I793" s="144" t="s">
        <v>1633</v>
      </c>
      <c r="L793" s="143" t="s">
        <v>1631</v>
      </c>
      <c r="M793" s="177" t="s">
        <v>2371</v>
      </c>
      <c r="N793" s="144" t="s">
        <v>47</v>
      </c>
    </row>
    <row r="794" spans="1:14" ht="27">
      <c r="A794" s="140" t="str">
        <f t="shared" si="12"/>
        <v>17301-43671-00</v>
      </c>
      <c r="C794" s="175"/>
      <c r="D794" s="176" t="s">
        <v>1118</v>
      </c>
      <c r="E794" s="176"/>
      <c r="F794" s="173" t="s">
        <v>1637</v>
      </c>
      <c r="G794" s="173" t="s">
        <v>1636</v>
      </c>
      <c r="H794" s="174">
        <v>0</v>
      </c>
      <c r="I794" s="144" t="s">
        <v>1638</v>
      </c>
      <c r="L794" s="156" t="s">
        <v>1639</v>
      </c>
      <c r="M794" s="177" t="s">
        <v>2371</v>
      </c>
      <c r="N794" s="144" t="s">
        <v>47</v>
      </c>
    </row>
    <row r="795" spans="1:14">
      <c r="A795" s="140" t="str">
        <f t="shared" si="12"/>
        <v>17301-43673-00</v>
      </c>
      <c r="C795" s="175" t="s">
        <v>162</v>
      </c>
      <c r="D795" s="176" t="s">
        <v>1118</v>
      </c>
      <c r="E795" s="176" t="s">
        <v>1863</v>
      </c>
      <c r="F795" s="173" t="s">
        <v>1812</v>
      </c>
      <c r="G795" s="173" t="s">
        <v>1809</v>
      </c>
      <c r="H795" s="174">
        <v>0</v>
      </c>
      <c r="I795" s="144" t="s">
        <v>1810</v>
      </c>
      <c r="L795" s="143" t="s">
        <v>1811</v>
      </c>
    </row>
    <row r="796" spans="1:14">
      <c r="A796" s="140" t="str">
        <f t="shared" si="12"/>
        <v>17301-43690-00</v>
      </c>
      <c r="C796" s="175" t="s">
        <v>174</v>
      </c>
      <c r="D796" s="176" t="s">
        <v>1118</v>
      </c>
      <c r="E796" s="176"/>
      <c r="F796" s="173" t="s">
        <v>1437</v>
      </c>
      <c r="G796" s="173" t="s">
        <v>1436</v>
      </c>
      <c r="H796" s="174">
        <v>0</v>
      </c>
      <c r="L796" s="143" t="s">
        <v>1440</v>
      </c>
      <c r="M796" s="177"/>
      <c r="N796" s="144" t="s">
        <v>47</v>
      </c>
    </row>
    <row r="797" spans="1:14">
      <c r="A797" s="140" t="str">
        <f t="shared" si="12"/>
        <v>17301-43690-01</v>
      </c>
      <c r="C797" s="175" t="s">
        <v>174</v>
      </c>
      <c r="D797" s="176" t="s">
        <v>1118</v>
      </c>
      <c r="E797" s="176"/>
      <c r="F797" s="173" t="s">
        <v>1438</v>
      </c>
      <c r="G797" s="173" t="s">
        <v>1436</v>
      </c>
      <c r="H797" s="174">
        <v>1</v>
      </c>
      <c r="L797" s="143" t="s">
        <v>1834</v>
      </c>
      <c r="M797" s="177"/>
      <c r="N797" s="144" t="s">
        <v>47</v>
      </c>
    </row>
    <row r="798" spans="1:14">
      <c r="A798" s="140" t="str">
        <f t="shared" si="12"/>
        <v>17301-43690-02</v>
      </c>
      <c r="C798" s="175" t="s">
        <v>174</v>
      </c>
      <c r="D798" s="176" t="s">
        <v>1118</v>
      </c>
      <c r="E798" s="176"/>
      <c r="F798" s="173" t="s">
        <v>1439</v>
      </c>
      <c r="G798" s="173" t="s">
        <v>603</v>
      </c>
      <c r="H798" s="174">
        <v>2</v>
      </c>
      <c r="I798" s="144" t="s">
        <v>1441</v>
      </c>
      <c r="L798" s="143" t="s">
        <v>1835</v>
      </c>
      <c r="M798" s="177"/>
      <c r="N798" s="144" t="s">
        <v>47</v>
      </c>
    </row>
    <row r="799" spans="1:14">
      <c r="A799" s="140" t="str">
        <f t="shared" si="12"/>
        <v>17301-43690-03</v>
      </c>
      <c r="C799" s="175" t="s">
        <v>174</v>
      </c>
      <c r="D799" s="176" t="s">
        <v>1118</v>
      </c>
      <c r="E799" s="176"/>
      <c r="F799" s="173" t="s">
        <v>1435</v>
      </c>
      <c r="G799" s="173" t="s">
        <v>603</v>
      </c>
      <c r="H799" s="174">
        <v>3</v>
      </c>
      <c r="I799" s="144" t="s">
        <v>1441</v>
      </c>
      <c r="L799" s="143" t="s">
        <v>1836</v>
      </c>
      <c r="M799" s="177"/>
      <c r="N799" s="144" t="s">
        <v>47</v>
      </c>
    </row>
    <row r="800" spans="1:14">
      <c r="A800" s="140" t="str">
        <f t="shared" si="12"/>
        <v>17301-43691-00</v>
      </c>
      <c r="C800" s="175" t="s">
        <v>174</v>
      </c>
      <c r="D800" s="176" t="s">
        <v>1118</v>
      </c>
      <c r="E800" s="176"/>
      <c r="F800" s="173">
        <v>55360</v>
      </c>
      <c r="G800" s="173" t="s">
        <v>605</v>
      </c>
      <c r="H800" s="174">
        <v>0</v>
      </c>
      <c r="I800" s="144" t="s">
        <v>47</v>
      </c>
      <c r="L800" s="143" t="s">
        <v>1825</v>
      </c>
      <c r="M800" s="177" t="s">
        <v>1869</v>
      </c>
      <c r="N800" s="144" t="s">
        <v>1432</v>
      </c>
    </row>
    <row r="801" spans="1:14">
      <c r="A801" s="140" t="str">
        <f t="shared" si="12"/>
        <v>17301-43691-01</v>
      </c>
      <c r="C801" s="175" t="s">
        <v>174</v>
      </c>
      <c r="D801" s="176" t="s">
        <v>1118</v>
      </c>
      <c r="E801" s="176"/>
      <c r="F801" s="173">
        <v>61597</v>
      </c>
      <c r="G801" s="173" t="s">
        <v>605</v>
      </c>
      <c r="H801" s="174">
        <v>1</v>
      </c>
      <c r="I801" s="144" t="s">
        <v>1155</v>
      </c>
      <c r="L801" s="143" t="s">
        <v>1442</v>
      </c>
      <c r="M801" s="177" t="s">
        <v>1869</v>
      </c>
      <c r="N801" s="144" t="s">
        <v>1432</v>
      </c>
    </row>
    <row r="802" spans="1:14">
      <c r="A802" s="140" t="str">
        <f t="shared" si="12"/>
        <v>17301-43691-02</v>
      </c>
      <c r="C802" s="175" t="s">
        <v>174</v>
      </c>
      <c r="D802" s="176" t="s">
        <v>1118</v>
      </c>
      <c r="E802" s="176"/>
      <c r="F802" s="173">
        <v>62887</v>
      </c>
      <c r="G802" s="173" t="s">
        <v>605</v>
      </c>
      <c r="H802" s="174">
        <v>2</v>
      </c>
      <c r="I802" s="144" t="s">
        <v>1156</v>
      </c>
      <c r="L802" s="143" t="s">
        <v>1443</v>
      </c>
      <c r="M802" s="177" t="s">
        <v>1869</v>
      </c>
      <c r="N802" s="144" t="s">
        <v>1432</v>
      </c>
    </row>
    <row r="803" spans="1:14">
      <c r="A803" s="140" t="str">
        <f t="shared" si="12"/>
        <v>17301-43695-00</v>
      </c>
      <c r="C803" s="175" t="s">
        <v>1601</v>
      </c>
      <c r="D803" s="176" t="s">
        <v>1118</v>
      </c>
      <c r="E803" s="176"/>
      <c r="F803" s="173" t="s">
        <v>1599</v>
      </c>
      <c r="G803" s="161" t="s">
        <v>1125</v>
      </c>
      <c r="H803" s="174">
        <v>0</v>
      </c>
      <c r="L803" s="143" t="s">
        <v>1608</v>
      </c>
      <c r="M803" s="177" t="s">
        <v>2372</v>
      </c>
      <c r="N803" s="144" t="s">
        <v>47</v>
      </c>
    </row>
    <row r="804" spans="1:14">
      <c r="A804" s="140" t="str">
        <f t="shared" si="12"/>
        <v>17301-43695-01</v>
      </c>
      <c r="C804" s="175" t="s">
        <v>1601</v>
      </c>
      <c r="D804" s="176" t="s">
        <v>1118</v>
      </c>
      <c r="E804" s="176"/>
      <c r="F804" s="173" t="s">
        <v>1600</v>
      </c>
      <c r="G804" s="161" t="s">
        <v>1125</v>
      </c>
      <c r="H804" s="174">
        <v>1</v>
      </c>
      <c r="L804" s="143" t="s">
        <v>1609</v>
      </c>
      <c r="M804" s="177" t="s">
        <v>2372</v>
      </c>
      <c r="N804" s="144" t="s">
        <v>47</v>
      </c>
    </row>
    <row r="805" spans="1:14">
      <c r="A805" s="140" t="str">
        <f t="shared" si="12"/>
        <v>17301-43696-00</v>
      </c>
      <c r="C805" s="175" t="s">
        <v>172</v>
      </c>
      <c r="D805" s="176" t="s">
        <v>1118</v>
      </c>
      <c r="E805" s="176"/>
      <c r="F805" s="173" t="s">
        <v>1406</v>
      </c>
      <c r="G805" s="173" t="s">
        <v>1407</v>
      </c>
      <c r="H805" s="174">
        <v>0</v>
      </c>
      <c r="I805" s="144" t="s">
        <v>1409</v>
      </c>
      <c r="L805" s="143" t="s">
        <v>1833</v>
      </c>
      <c r="M805" s="177"/>
      <c r="N805" s="144" t="s">
        <v>1432</v>
      </c>
    </row>
    <row r="806" spans="1:14">
      <c r="A806" s="140" t="str">
        <f t="shared" si="12"/>
        <v>17301-43820-00</v>
      </c>
      <c r="C806" s="175" t="s">
        <v>197</v>
      </c>
      <c r="D806" s="176" t="s">
        <v>1118</v>
      </c>
      <c r="E806" s="176"/>
      <c r="F806" s="173" t="s">
        <v>1567</v>
      </c>
      <c r="G806" s="163" t="s">
        <v>1563</v>
      </c>
      <c r="H806" s="174">
        <v>0</v>
      </c>
      <c r="I806" s="144" t="s">
        <v>1588</v>
      </c>
      <c r="M806" s="177" t="s">
        <v>2305</v>
      </c>
      <c r="N806" s="144" t="s">
        <v>47</v>
      </c>
    </row>
    <row r="807" spans="1:14">
      <c r="A807" s="140" t="str">
        <f t="shared" si="12"/>
        <v>17301-43820-01</v>
      </c>
      <c r="C807" s="175" t="s">
        <v>197</v>
      </c>
      <c r="D807" s="176" t="s">
        <v>1118</v>
      </c>
      <c r="E807" s="176"/>
      <c r="F807" s="173" t="s">
        <v>1568</v>
      </c>
      <c r="G807" s="163" t="s">
        <v>1563</v>
      </c>
      <c r="H807" s="174">
        <v>1</v>
      </c>
      <c r="I807" s="144" t="s">
        <v>1588</v>
      </c>
      <c r="L807" s="143" t="s">
        <v>1575</v>
      </c>
      <c r="M807" s="177" t="s">
        <v>2305</v>
      </c>
      <c r="N807" s="144" t="s">
        <v>47</v>
      </c>
    </row>
    <row r="808" spans="1:14">
      <c r="A808" s="140" t="str">
        <f t="shared" si="12"/>
        <v>17301-43820-02</v>
      </c>
      <c r="C808" s="175" t="s">
        <v>197</v>
      </c>
      <c r="D808" s="176" t="s">
        <v>1118</v>
      </c>
      <c r="E808" s="176"/>
      <c r="F808" s="173" t="s">
        <v>1569</v>
      </c>
      <c r="G808" s="163" t="s">
        <v>1563</v>
      </c>
      <c r="H808" s="174">
        <v>2</v>
      </c>
      <c r="I808" s="144" t="s">
        <v>1588</v>
      </c>
      <c r="L808" s="143" t="s">
        <v>1576</v>
      </c>
      <c r="M808" s="177" t="s">
        <v>1593</v>
      </c>
      <c r="N808" s="144" t="s">
        <v>47</v>
      </c>
    </row>
    <row r="809" spans="1:14">
      <c r="A809" s="140" t="str">
        <f t="shared" si="12"/>
        <v>17301-43820-03</v>
      </c>
      <c r="C809" s="175" t="s">
        <v>197</v>
      </c>
      <c r="D809" s="176" t="s">
        <v>1118</v>
      </c>
      <c r="E809" s="176"/>
      <c r="F809" s="173" t="s">
        <v>1570</v>
      </c>
      <c r="G809" s="163" t="s">
        <v>1563</v>
      </c>
      <c r="H809" s="174">
        <v>3</v>
      </c>
      <c r="I809" s="144" t="s">
        <v>1441</v>
      </c>
      <c r="L809" s="143" t="s">
        <v>1577</v>
      </c>
      <c r="M809" s="177" t="s">
        <v>2305</v>
      </c>
      <c r="N809" s="144" t="s">
        <v>47</v>
      </c>
    </row>
    <row r="810" spans="1:14">
      <c r="A810" s="140" t="str">
        <f t="shared" si="12"/>
        <v>17301-43820-04</v>
      </c>
      <c r="C810" s="175" t="s">
        <v>197</v>
      </c>
      <c r="D810" s="176" t="s">
        <v>1118</v>
      </c>
      <c r="E810" s="176"/>
      <c r="F810" s="173" t="s">
        <v>1571</v>
      </c>
      <c r="G810" s="163" t="s">
        <v>1563</v>
      </c>
      <c r="H810" s="174">
        <v>4</v>
      </c>
      <c r="I810" s="144" t="s">
        <v>1589</v>
      </c>
      <c r="L810" s="143" t="s">
        <v>1590</v>
      </c>
      <c r="M810" s="177" t="s">
        <v>2305</v>
      </c>
      <c r="N810" s="144" t="s">
        <v>47</v>
      </c>
    </row>
    <row r="811" spans="1:14" ht="27">
      <c r="A811" s="140" t="str">
        <f t="shared" si="12"/>
        <v>17301-43820-05</v>
      </c>
      <c r="C811" s="175" t="s">
        <v>197</v>
      </c>
      <c r="D811" s="176" t="s">
        <v>1118</v>
      </c>
      <c r="E811" s="176"/>
      <c r="F811" s="173" t="s">
        <v>1572</v>
      </c>
      <c r="G811" s="163" t="s">
        <v>1563</v>
      </c>
      <c r="H811" s="174">
        <v>5</v>
      </c>
      <c r="I811" s="144" t="s">
        <v>1591</v>
      </c>
      <c r="L811" s="156" t="s">
        <v>1578</v>
      </c>
      <c r="M811" s="177" t="s">
        <v>2305</v>
      </c>
      <c r="N811" s="144" t="s">
        <v>47</v>
      </c>
    </row>
    <row r="812" spans="1:14">
      <c r="A812" s="140" t="str">
        <f t="shared" si="12"/>
        <v>17301-43820-06</v>
      </c>
      <c r="C812" s="175" t="s">
        <v>197</v>
      </c>
      <c r="D812" s="176" t="s">
        <v>1118</v>
      </c>
      <c r="E812" s="176"/>
      <c r="F812" s="173" t="s">
        <v>1573</v>
      </c>
      <c r="G812" s="163" t="s">
        <v>1563</v>
      </c>
      <c r="H812" s="174">
        <v>6</v>
      </c>
      <c r="I812" s="144" t="s">
        <v>1586</v>
      </c>
      <c r="L812" s="143" t="s">
        <v>1579</v>
      </c>
      <c r="M812" s="177" t="s">
        <v>2305</v>
      </c>
      <c r="N812" s="144" t="s">
        <v>47</v>
      </c>
    </row>
    <row r="813" spans="1:14">
      <c r="A813" s="140" t="str">
        <f t="shared" si="12"/>
        <v>17301-43820-07</v>
      </c>
      <c r="C813" s="175" t="s">
        <v>197</v>
      </c>
      <c r="D813" s="176" t="s">
        <v>1118</v>
      </c>
      <c r="E813" s="176"/>
      <c r="F813" s="173" t="s">
        <v>1574</v>
      </c>
      <c r="G813" s="163" t="s">
        <v>1563</v>
      </c>
      <c r="H813" s="174">
        <v>7</v>
      </c>
      <c r="I813" s="144" t="s">
        <v>1592</v>
      </c>
      <c r="L813" s="143" t="s">
        <v>1580</v>
      </c>
      <c r="M813" s="177" t="s">
        <v>2305</v>
      </c>
      <c r="N813" s="144" t="s">
        <v>47</v>
      </c>
    </row>
    <row r="814" spans="1:14">
      <c r="A814" s="140" t="str">
        <f t="shared" si="12"/>
        <v>17301-43821-00</v>
      </c>
      <c r="C814" s="175" t="s">
        <v>197</v>
      </c>
      <c r="D814" s="176" t="s">
        <v>1118</v>
      </c>
      <c r="E814" s="176"/>
      <c r="F814" s="173" t="s">
        <v>1581</v>
      </c>
      <c r="G814" s="161" t="s">
        <v>1565</v>
      </c>
      <c r="H814" s="174">
        <v>0</v>
      </c>
      <c r="L814" s="143" t="s">
        <v>1584</v>
      </c>
      <c r="M814" s="177" t="s">
        <v>2305</v>
      </c>
      <c r="N814" s="144" t="s">
        <v>47</v>
      </c>
    </row>
    <row r="815" spans="1:14">
      <c r="A815" s="140" t="str">
        <f t="shared" si="12"/>
        <v>17301-43821-01</v>
      </c>
      <c r="C815" s="175" t="s">
        <v>197</v>
      </c>
      <c r="D815" s="176" t="s">
        <v>1118</v>
      </c>
      <c r="E815" s="176"/>
      <c r="F815" s="173" t="s">
        <v>1582</v>
      </c>
      <c r="G815" s="161" t="s">
        <v>1565</v>
      </c>
      <c r="H815" s="174">
        <v>1</v>
      </c>
      <c r="L815" s="143" t="s">
        <v>1585</v>
      </c>
      <c r="M815" s="177" t="s">
        <v>2305</v>
      </c>
      <c r="N815" s="144" t="s">
        <v>47</v>
      </c>
    </row>
    <row r="816" spans="1:14">
      <c r="A816" s="140" t="str">
        <f t="shared" si="12"/>
        <v>17301-43821-02</v>
      </c>
      <c r="C816" s="175" t="s">
        <v>197</v>
      </c>
      <c r="D816" s="176" t="s">
        <v>1118</v>
      </c>
      <c r="E816" s="176"/>
      <c r="F816" s="173" t="s">
        <v>1573</v>
      </c>
      <c r="G816" s="161" t="s">
        <v>1565</v>
      </c>
      <c r="H816" s="174">
        <v>2</v>
      </c>
      <c r="I816" s="144" t="s">
        <v>1441</v>
      </c>
      <c r="L816" s="143" t="s">
        <v>1579</v>
      </c>
      <c r="M816" s="177" t="s">
        <v>2305</v>
      </c>
      <c r="N816" s="144" t="s">
        <v>47</v>
      </c>
    </row>
    <row r="817" spans="1:14">
      <c r="A817" s="140" t="str">
        <f t="shared" si="12"/>
        <v>17301-43821-03</v>
      </c>
      <c r="C817" s="175" t="s">
        <v>197</v>
      </c>
      <c r="D817" s="176" t="s">
        <v>1118</v>
      </c>
      <c r="E817" s="176"/>
      <c r="F817" s="173" t="s">
        <v>1583</v>
      </c>
      <c r="G817" s="161" t="s">
        <v>1565</v>
      </c>
      <c r="H817" s="174">
        <v>3</v>
      </c>
      <c r="I817" s="144" t="s">
        <v>1589</v>
      </c>
      <c r="L817" s="143" t="s">
        <v>1580</v>
      </c>
      <c r="M817" s="177" t="s">
        <v>2305</v>
      </c>
      <c r="N817" s="144" t="s">
        <v>47</v>
      </c>
    </row>
    <row r="818" spans="1:14">
      <c r="A818" s="140" t="str">
        <f t="shared" si="12"/>
        <v>17301-43830-00</v>
      </c>
      <c r="C818" s="175" t="s">
        <v>1221</v>
      </c>
      <c r="D818" s="176" t="s">
        <v>1118</v>
      </c>
      <c r="E818" s="176"/>
      <c r="F818" s="173">
        <v>51442</v>
      </c>
      <c r="G818" s="173" t="s">
        <v>1217</v>
      </c>
      <c r="H818" s="174">
        <v>0</v>
      </c>
      <c r="L818" s="143" t="s">
        <v>1177</v>
      </c>
      <c r="M818" s="177" t="s">
        <v>2305</v>
      </c>
      <c r="N818" s="144" t="s">
        <v>1432</v>
      </c>
    </row>
    <row r="819" spans="1:14">
      <c r="A819" s="140" t="str">
        <f t="shared" si="12"/>
        <v>17301-43830-01</v>
      </c>
      <c r="C819" s="175" t="s">
        <v>1221</v>
      </c>
      <c r="D819" s="176" t="s">
        <v>1118</v>
      </c>
      <c r="E819" s="176"/>
      <c r="F819" s="173">
        <v>54055</v>
      </c>
      <c r="G819" s="173" t="s">
        <v>1217</v>
      </c>
      <c r="H819" s="174">
        <v>1</v>
      </c>
      <c r="I819" s="144" t="s">
        <v>1202</v>
      </c>
      <c r="L819" s="143" t="s">
        <v>1204</v>
      </c>
      <c r="M819" s="177" t="s">
        <v>2305</v>
      </c>
      <c r="N819" s="144" t="s">
        <v>1432</v>
      </c>
    </row>
    <row r="820" spans="1:14">
      <c r="A820" s="140" t="str">
        <f t="shared" si="12"/>
        <v>17301-43830-02</v>
      </c>
      <c r="C820" s="175" t="s">
        <v>1221</v>
      </c>
      <c r="D820" s="176" t="s">
        <v>1118</v>
      </c>
      <c r="E820" s="176"/>
      <c r="F820" s="173">
        <v>61727</v>
      </c>
      <c r="G820" s="173" t="s">
        <v>1217</v>
      </c>
      <c r="H820" s="174">
        <v>2</v>
      </c>
      <c r="I820" s="144" t="s">
        <v>1210</v>
      </c>
      <c r="L820" s="143" t="s">
        <v>1826</v>
      </c>
      <c r="M820" s="177" t="s">
        <v>2305</v>
      </c>
      <c r="N820" s="144" t="s">
        <v>1432</v>
      </c>
    </row>
    <row r="821" spans="1:14">
      <c r="A821" s="140" t="str">
        <f t="shared" si="12"/>
        <v>17301-43830-03</v>
      </c>
      <c r="C821" s="175" t="s">
        <v>1221</v>
      </c>
      <c r="D821" s="176" t="s">
        <v>1118</v>
      </c>
      <c r="E821" s="176"/>
      <c r="F821" s="173">
        <v>62317</v>
      </c>
      <c r="G821" s="173" t="s">
        <v>1213</v>
      </c>
      <c r="H821" s="174">
        <v>3</v>
      </c>
      <c r="I821" s="144" t="s">
        <v>1210</v>
      </c>
      <c r="L821" s="143" t="s">
        <v>1705</v>
      </c>
      <c r="M821" s="177" t="s">
        <v>2305</v>
      </c>
      <c r="N821" s="144" t="s">
        <v>1432</v>
      </c>
    </row>
    <row r="822" spans="1:14">
      <c r="A822" s="140" t="str">
        <f t="shared" si="12"/>
        <v>17301-43840-00</v>
      </c>
      <c r="C822" s="175" t="s">
        <v>1696</v>
      </c>
      <c r="D822" s="176" t="s">
        <v>1118</v>
      </c>
      <c r="E822" s="176"/>
      <c r="F822" s="173" t="s">
        <v>1465</v>
      </c>
      <c r="G822" s="173" t="s">
        <v>1454</v>
      </c>
      <c r="H822" s="174">
        <v>0</v>
      </c>
      <c r="L822" s="143" t="s">
        <v>1463</v>
      </c>
      <c r="M822" s="177"/>
      <c r="N822" s="144" t="s">
        <v>47</v>
      </c>
    </row>
    <row r="823" spans="1:14">
      <c r="A823" s="140" t="str">
        <f t="shared" si="12"/>
        <v>17301-43840-01</v>
      </c>
      <c r="C823" s="175" t="s">
        <v>1696</v>
      </c>
      <c r="D823" s="176" t="s">
        <v>1118</v>
      </c>
      <c r="E823" s="176"/>
      <c r="F823" s="173" t="s">
        <v>1464</v>
      </c>
      <c r="G823" s="173" t="s">
        <v>1454</v>
      </c>
      <c r="H823" s="174">
        <v>1</v>
      </c>
      <c r="I823" s="144" t="s">
        <v>1466</v>
      </c>
      <c r="L823" s="143" t="s">
        <v>1467</v>
      </c>
      <c r="M823" s="177" t="s">
        <v>2320</v>
      </c>
      <c r="N823" s="144" t="s">
        <v>47</v>
      </c>
    </row>
    <row r="824" spans="1:14">
      <c r="A824" s="140" t="str">
        <f t="shared" si="12"/>
        <v>17301-43840-02</v>
      </c>
      <c r="C824" s="175" t="s">
        <v>1696</v>
      </c>
      <c r="D824" s="176" t="s">
        <v>1118</v>
      </c>
      <c r="E824" s="176"/>
      <c r="F824" s="173" t="s">
        <v>1456</v>
      </c>
      <c r="G824" s="173" t="s">
        <v>1454</v>
      </c>
      <c r="H824" s="174">
        <v>2</v>
      </c>
      <c r="I824" s="144" t="s">
        <v>1468</v>
      </c>
      <c r="L824" s="143" t="s">
        <v>1469</v>
      </c>
      <c r="M824" s="177" t="s">
        <v>2320</v>
      </c>
      <c r="N824" s="144" t="s">
        <v>47</v>
      </c>
    </row>
    <row r="825" spans="1:14">
      <c r="A825" s="140" t="str">
        <f t="shared" si="12"/>
        <v>17301-43840-03</v>
      </c>
      <c r="C825" s="175" t="s">
        <v>1696</v>
      </c>
      <c r="D825" s="176" t="s">
        <v>1118</v>
      </c>
      <c r="E825" s="176"/>
      <c r="F825" s="173" t="s">
        <v>1457</v>
      </c>
      <c r="G825" s="173" t="s">
        <v>1454</v>
      </c>
      <c r="H825" s="174">
        <v>3</v>
      </c>
      <c r="I825" s="144" t="s">
        <v>1468</v>
      </c>
      <c r="L825" s="143" t="s">
        <v>1470</v>
      </c>
      <c r="M825" s="177" t="s">
        <v>2320</v>
      </c>
      <c r="N825" s="144" t="s">
        <v>47</v>
      </c>
    </row>
    <row r="826" spans="1:14">
      <c r="A826" s="140" t="str">
        <f t="shared" si="12"/>
        <v>17301-43840-04</v>
      </c>
      <c r="C826" s="175" t="s">
        <v>1696</v>
      </c>
      <c r="D826" s="176" t="s">
        <v>1118</v>
      </c>
      <c r="E826" s="176"/>
      <c r="F826" s="173" t="s">
        <v>1458</v>
      </c>
      <c r="G826" s="173" t="s">
        <v>1454</v>
      </c>
      <c r="H826" s="174">
        <v>4</v>
      </c>
      <c r="I826" s="144" t="s">
        <v>1468</v>
      </c>
      <c r="L826" s="143" t="s">
        <v>1837</v>
      </c>
      <c r="M826" s="177" t="s">
        <v>2320</v>
      </c>
      <c r="N826" s="144" t="s">
        <v>47</v>
      </c>
    </row>
    <row r="827" spans="1:14" ht="27">
      <c r="A827" s="140" t="str">
        <f t="shared" si="12"/>
        <v>17301-43840-05</v>
      </c>
      <c r="C827" s="175" t="s">
        <v>1696</v>
      </c>
      <c r="D827" s="176" t="s">
        <v>1118</v>
      </c>
      <c r="E827" s="176"/>
      <c r="F827" s="173" t="s">
        <v>1459</v>
      </c>
      <c r="G827" s="173" t="s">
        <v>1454</v>
      </c>
      <c r="H827" s="174">
        <v>5</v>
      </c>
      <c r="I827" s="144" t="s">
        <v>1471</v>
      </c>
      <c r="L827" s="156" t="s">
        <v>1838</v>
      </c>
      <c r="M827" s="177" t="s">
        <v>2320</v>
      </c>
      <c r="N827" s="144" t="s">
        <v>47</v>
      </c>
    </row>
    <row r="828" spans="1:14" ht="54">
      <c r="A828" s="140" t="str">
        <f t="shared" si="12"/>
        <v>17301-43840-06</v>
      </c>
      <c r="C828" s="175" t="s">
        <v>1696</v>
      </c>
      <c r="D828" s="176" t="s">
        <v>1118</v>
      </c>
      <c r="E828" s="176"/>
      <c r="F828" s="173" t="s">
        <v>1460</v>
      </c>
      <c r="G828" s="173" t="s">
        <v>1454</v>
      </c>
      <c r="H828" s="174">
        <v>6</v>
      </c>
      <c r="I828" s="144" t="s">
        <v>1472</v>
      </c>
      <c r="L828" s="156" t="s">
        <v>1473</v>
      </c>
      <c r="M828" s="177" t="s">
        <v>2320</v>
      </c>
      <c r="N828" s="144" t="s">
        <v>47</v>
      </c>
    </row>
    <row r="829" spans="1:14">
      <c r="A829" s="140" t="str">
        <f t="shared" si="12"/>
        <v>17301-43840-07</v>
      </c>
      <c r="C829" s="175" t="s">
        <v>1696</v>
      </c>
      <c r="D829" s="176" t="s">
        <v>1118</v>
      </c>
      <c r="E829" s="176"/>
      <c r="F829" s="173" t="s">
        <v>1461</v>
      </c>
      <c r="G829" s="173" t="s">
        <v>1454</v>
      </c>
      <c r="H829" s="174">
        <v>7</v>
      </c>
      <c r="I829" s="144" t="s">
        <v>1474</v>
      </c>
      <c r="L829" s="143" t="s">
        <v>1475</v>
      </c>
      <c r="M829" s="177"/>
      <c r="N829" s="144" t="s">
        <v>47</v>
      </c>
    </row>
    <row r="830" spans="1:14" ht="40.5">
      <c r="A830" s="140" t="str">
        <f t="shared" si="12"/>
        <v>17301-43840-08</v>
      </c>
      <c r="C830" s="175" t="s">
        <v>1696</v>
      </c>
      <c r="D830" s="176" t="s">
        <v>1118</v>
      </c>
      <c r="E830" s="176"/>
      <c r="F830" s="173" t="s">
        <v>1462</v>
      </c>
      <c r="G830" s="173" t="s">
        <v>1454</v>
      </c>
      <c r="H830" s="174">
        <v>8</v>
      </c>
      <c r="I830" s="144" t="s">
        <v>1476</v>
      </c>
      <c r="L830" s="156" t="s">
        <v>1477</v>
      </c>
      <c r="M830" s="177"/>
      <c r="N830" s="144" t="s">
        <v>47</v>
      </c>
    </row>
    <row r="831" spans="1:14">
      <c r="A831" s="140" t="str">
        <f t="shared" si="12"/>
        <v>17301-43842-00</v>
      </c>
      <c r="C831" s="175" t="s">
        <v>1696</v>
      </c>
      <c r="D831" s="176" t="s">
        <v>1118</v>
      </c>
      <c r="E831" s="176"/>
      <c r="F831" s="173" t="s">
        <v>1483</v>
      </c>
      <c r="G831" s="173" t="s">
        <v>1480</v>
      </c>
      <c r="H831" s="174">
        <v>0</v>
      </c>
      <c r="L831" s="143" t="s">
        <v>1486</v>
      </c>
      <c r="M831" s="177" t="s">
        <v>2320</v>
      </c>
      <c r="N831" s="144" t="s">
        <v>47</v>
      </c>
    </row>
    <row r="832" spans="1:14">
      <c r="A832" s="140" t="str">
        <f t="shared" si="12"/>
        <v>17301-43842-01</v>
      </c>
      <c r="C832" s="175" t="s">
        <v>1696</v>
      </c>
      <c r="D832" s="176" t="s">
        <v>1118</v>
      </c>
      <c r="E832" s="176"/>
      <c r="F832" s="173" t="s">
        <v>1484</v>
      </c>
      <c r="G832" s="173" t="s">
        <v>1480</v>
      </c>
      <c r="H832" s="174">
        <v>1</v>
      </c>
      <c r="I832" s="144" t="s">
        <v>1490</v>
      </c>
      <c r="L832" s="143" t="s">
        <v>1839</v>
      </c>
      <c r="M832" s="177" t="s">
        <v>2320</v>
      </c>
      <c r="N832" s="144" t="s">
        <v>47</v>
      </c>
    </row>
    <row r="833" spans="1:14" ht="40.5">
      <c r="A833" s="140" t="str">
        <f t="shared" si="12"/>
        <v>17301-43842-02</v>
      </c>
      <c r="C833" s="175" t="s">
        <v>1696</v>
      </c>
      <c r="D833" s="176" t="s">
        <v>1118</v>
      </c>
      <c r="E833" s="176"/>
      <c r="F833" s="173" t="s">
        <v>1462</v>
      </c>
      <c r="G833" s="173" t="s">
        <v>1480</v>
      </c>
      <c r="H833" s="174">
        <v>2</v>
      </c>
      <c r="I833" s="144" t="s">
        <v>1491</v>
      </c>
      <c r="L833" s="156" t="s">
        <v>1487</v>
      </c>
      <c r="M833" s="177" t="s">
        <v>2320</v>
      </c>
      <c r="N833" s="144" t="s">
        <v>47</v>
      </c>
    </row>
    <row r="834" spans="1:14">
      <c r="A834" s="140" t="str">
        <f t="shared" ref="A834:A892" si="13">G834&amp;"-"&amp;TEXT(H834,"00")</f>
        <v>17301-43842-03</v>
      </c>
      <c r="C834" s="175" t="s">
        <v>1696</v>
      </c>
      <c r="D834" s="176" t="s">
        <v>1118</v>
      </c>
      <c r="E834" s="176"/>
      <c r="F834" s="173" t="s">
        <v>1485</v>
      </c>
      <c r="G834" s="173" t="s">
        <v>1480</v>
      </c>
      <c r="H834" s="174">
        <v>3</v>
      </c>
      <c r="I834" s="144" t="s">
        <v>1488</v>
      </c>
      <c r="L834" s="143" t="s">
        <v>1489</v>
      </c>
      <c r="M834" s="177" t="s">
        <v>2320</v>
      </c>
      <c r="N834" s="144" t="s">
        <v>47</v>
      </c>
    </row>
    <row r="835" spans="1:14">
      <c r="A835" s="140" t="str">
        <f t="shared" si="13"/>
        <v>17301-43843-00</v>
      </c>
      <c r="C835" s="175" t="s">
        <v>1129</v>
      </c>
      <c r="D835" s="176" t="s">
        <v>1118</v>
      </c>
      <c r="E835" s="176"/>
      <c r="F835" s="173" t="s">
        <v>1132</v>
      </c>
      <c r="G835" s="173" t="s">
        <v>1128</v>
      </c>
      <c r="H835" s="174">
        <v>0</v>
      </c>
      <c r="I835" s="144" t="s">
        <v>47</v>
      </c>
      <c r="L835" s="143" t="s">
        <v>1136</v>
      </c>
      <c r="M835" s="177"/>
      <c r="N835" s="144" t="s">
        <v>1432</v>
      </c>
    </row>
    <row r="836" spans="1:14">
      <c r="A836" s="140" t="str">
        <f t="shared" si="13"/>
        <v>17301-43843-01</v>
      </c>
      <c r="C836" s="175" t="s">
        <v>1129</v>
      </c>
      <c r="D836" s="176" t="s">
        <v>1118</v>
      </c>
      <c r="E836" s="176"/>
      <c r="F836" s="173">
        <v>63308</v>
      </c>
      <c r="G836" s="173" t="s">
        <v>1128</v>
      </c>
      <c r="H836" s="174">
        <v>1</v>
      </c>
      <c r="I836" s="144" t="s">
        <v>1135</v>
      </c>
      <c r="L836" s="143" t="s">
        <v>1137</v>
      </c>
      <c r="M836" s="177" t="s">
        <v>2353</v>
      </c>
      <c r="N836" s="144" t="s">
        <v>1432</v>
      </c>
    </row>
    <row r="837" spans="1:14" ht="27">
      <c r="A837" s="140" t="str">
        <f t="shared" si="13"/>
        <v>17301-43843-02</v>
      </c>
      <c r="C837" s="175" t="s">
        <v>1129</v>
      </c>
      <c r="D837" s="176" t="s">
        <v>1118</v>
      </c>
      <c r="E837" s="176"/>
      <c r="F837" s="173" t="s">
        <v>1492</v>
      </c>
      <c r="G837" s="173" t="s">
        <v>1131</v>
      </c>
      <c r="H837" s="174">
        <v>2</v>
      </c>
      <c r="I837" s="144" t="s">
        <v>1773</v>
      </c>
      <c r="L837" s="156" t="s">
        <v>1840</v>
      </c>
      <c r="M837" s="177" t="s">
        <v>2353</v>
      </c>
      <c r="N837" s="144" t="s">
        <v>1493</v>
      </c>
    </row>
    <row r="838" spans="1:14">
      <c r="A838" s="140" t="str">
        <f t="shared" si="13"/>
        <v>17301-43843-03</v>
      </c>
      <c r="C838" s="175" t="s">
        <v>1129</v>
      </c>
      <c r="D838" s="176" t="s">
        <v>1118</v>
      </c>
      <c r="E838" s="176"/>
      <c r="F838" s="173" t="s">
        <v>1771</v>
      </c>
      <c r="G838" s="173" t="s">
        <v>1128</v>
      </c>
      <c r="H838" s="174">
        <v>3</v>
      </c>
      <c r="I838" s="144" t="s">
        <v>1773</v>
      </c>
      <c r="L838" s="143" t="s">
        <v>1772</v>
      </c>
      <c r="M838" s="177"/>
      <c r="N838" s="144" t="s">
        <v>47</v>
      </c>
    </row>
    <row r="839" spans="1:14">
      <c r="A839" s="140" t="str">
        <f t="shared" si="13"/>
        <v>17301-43843-04</v>
      </c>
      <c r="C839" s="175" t="s">
        <v>1129</v>
      </c>
      <c r="D839" s="176" t="s">
        <v>1118</v>
      </c>
      <c r="E839" s="176"/>
      <c r="F839" s="173" t="s">
        <v>1770</v>
      </c>
      <c r="G839" s="173" t="s">
        <v>1128</v>
      </c>
      <c r="H839" s="174">
        <v>4</v>
      </c>
      <c r="I839" s="144" t="s">
        <v>298</v>
      </c>
      <c r="L839" s="143" t="s">
        <v>1774</v>
      </c>
      <c r="M839" s="177"/>
      <c r="N839" s="144" t="s">
        <v>47</v>
      </c>
    </row>
    <row r="840" spans="1:14">
      <c r="A840" s="140" t="str">
        <f t="shared" si="13"/>
        <v>17301-43850-00</v>
      </c>
      <c r="C840" s="175" t="s">
        <v>1657</v>
      </c>
      <c r="D840" s="176" t="s">
        <v>1118</v>
      </c>
      <c r="E840" s="176"/>
      <c r="F840" s="173" t="s">
        <v>1658</v>
      </c>
      <c r="G840" s="173" t="s">
        <v>1646</v>
      </c>
      <c r="H840" s="174">
        <v>0</v>
      </c>
      <c r="I840" s="144" t="s">
        <v>1661</v>
      </c>
      <c r="L840" s="143" t="s">
        <v>1659</v>
      </c>
      <c r="M840" s="177" t="s">
        <v>2373</v>
      </c>
      <c r="N840" s="144" t="s">
        <v>47</v>
      </c>
    </row>
    <row r="841" spans="1:14">
      <c r="A841" s="140" t="str">
        <f t="shared" si="13"/>
        <v>17301-43850-01</v>
      </c>
      <c r="C841" s="175" t="s">
        <v>1657</v>
      </c>
      <c r="D841" s="176" t="s">
        <v>1118</v>
      </c>
      <c r="E841" s="176"/>
      <c r="F841" s="173" t="s">
        <v>1653</v>
      </c>
      <c r="G841" s="173" t="s">
        <v>1646</v>
      </c>
      <c r="H841" s="174">
        <v>1</v>
      </c>
      <c r="I841" s="144" t="s">
        <v>1660</v>
      </c>
      <c r="L841" s="143" t="s">
        <v>1662</v>
      </c>
      <c r="M841" s="177" t="s">
        <v>2373</v>
      </c>
      <c r="N841" s="144" t="s">
        <v>47</v>
      </c>
    </row>
    <row r="842" spans="1:14">
      <c r="A842" s="140" t="str">
        <f t="shared" si="13"/>
        <v>17301-43850-02</v>
      </c>
      <c r="C842" s="175" t="s">
        <v>1657</v>
      </c>
      <c r="D842" s="176" t="s">
        <v>1118</v>
      </c>
      <c r="E842" s="176"/>
      <c r="F842" s="173" t="s">
        <v>1654</v>
      </c>
      <c r="G842" s="173" t="s">
        <v>1646</v>
      </c>
      <c r="H842" s="174">
        <v>2</v>
      </c>
      <c r="I842" s="144" t="s">
        <v>1660</v>
      </c>
      <c r="L842" s="143" t="s">
        <v>1663</v>
      </c>
      <c r="M842" s="177" t="s">
        <v>2326</v>
      </c>
      <c r="N842" s="144" t="s">
        <v>47</v>
      </c>
    </row>
    <row r="843" spans="1:14">
      <c r="A843" s="140" t="str">
        <f t="shared" si="13"/>
        <v>17301-43850-03</v>
      </c>
      <c r="C843" s="175" t="s">
        <v>1657</v>
      </c>
      <c r="D843" s="176" t="s">
        <v>1118</v>
      </c>
      <c r="E843" s="176"/>
      <c r="F843" s="173" t="s">
        <v>1655</v>
      </c>
      <c r="G843" s="173" t="s">
        <v>1646</v>
      </c>
      <c r="H843" s="174">
        <v>3</v>
      </c>
      <c r="I843" s="144" t="s">
        <v>1664</v>
      </c>
      <c r="L843" s="143" t="s">
        <v>1665</v>
      </c>
      <c r="M843" s="177" t="s">
        <v>2326</v>
      </c>
      <c r="N843" s="144" t="s">
        <v>47</v>
      </c>
    </row>
    <row r="844" spans="1:14">
      <c r="A844" s="140" t="str">
        <f t="shared" si="13"/>
        <v>17301-43850-04</v>
      </c>
      <c r="C844" s="175" t="s">
        <v>1657</v>
      </c>
      <c r="D844" s="176" t="s">
        <v>1118</v>
      </c>
      <c r="E844" s="176"/>
      <c r="F844" s="173" t="s">
        <v>1656</v>
      </c>
      <c r="G844" s="173" t="s">
        <v>1646</v>
      </c>
      <c r="H844" s="174">
        <v>4</v>
      </c>
      <c r="I844" s="144" t="s">
        <v>1666</v>
      </c>
      <c r="L844" s="143" t="s">
        <v>1667</v>
      </c>
      <c r="M844" s="177"/>
      <c r="N844" s="144" t="s">
        <v>47</v>
      </c>
    </row>
    <row r="845" spans="1:14">
      <c r="A845" s="140" t="str">
        <f t="shared" si="13"/>
        <v>17301-43852-00</v>
      </c>
      <c r="C845" s="175" t="s">
        <v>1644</v>
      </c>
      <c r="D845" s="176" t="s">
        <v>1118</v>
      </c>
      <c r="E845" s="176"/>
      <c r="F845" s="173" t="s">
        <v>1668</v>
      </c>
      <c r="G845" s="173" t="s">
        <v>1649</v>
      </c>
      <c r="H845" s="174">
        <v>0</v>
      </c>
      <c r="I845" s="144" t="s">
        <v>1588</v>
      </c>
      <c r="L845" s="143" t="s">
        <v>1672</v>
      </c>
      <c r="M845" s="177" t="s">
        <v>2326</v>
      </c>
      <c r="N845" s="144" t="s">
        <v>47</v>
      </c>
    </row>
    <row r="846" spans="1:14" ht="40.5">
      <c r="A846" s="140" t="str">
        <f t="shared" si="13"/>
        <v>17301-43852-01</v>
      </c>
      <c r="C846" s="175" t="s">
        <v>1644</v>
      </c>
      <c r="D846" s="176" t="s">
        <v>1118</v>
      </c>
      <c r="E846" s="176"/>
      <c r="F846" s="173" t="s">
        <v>1669</v>
      </c>
      <c r="G846" s="173" t="s">
        <v>1649</v>
      </c>
      <c r="H846" s="174">
        <v>1</v>
      </c>
      <c r="L846" s="156" t="s">
        <v>1673</v>
      </c>
      <c r="M846" s="177" t="s">
        <v>2326</v>
      </c>
      <c r="N846" s="144" t="s">
        <v>47</v>
      </c>
    </row>
    <row r="847" spans="1:14">
      <c r="A847" s="140" t="str">
        <f t="shared" si="13"/>
        <v>17301-43860-00</v>
      </c>
      <c r="C847" s="175" t="s">
        <v>36</v>
      </c>
      <c r="D847" s="176" t="s">
        <v>1118</v>
      </c>
      <c r="E847" s="176"/>
      <c r="F847" s="173" t="s">
        <v>1689</v>
      </c>
      <c r="G847" s="173" t="s">
        <v>1676</v>
      </c>
      <c r="H847" s="174">
        <v>0</v>
      </c>
      <c r="L847" s="143" t="s">
        <v>1691</v>
      </c>
      <c r="M847" s="177"/>
      <c r="N847" s="144" t="s">
        <v>47</v>
      </c>
    </row>
    <row r="848" spans="1:14" ht="40.5">
      <c r="A848" s="140" t="str">
        <f t="shared" si="13"/>
        <v>17301-43860-01</v>
      </c>
      <c r="C848" s="175" t="s">
        <v>36</v>
      </c>
      <c r="D848" s="176" t="s">
        <v>1118</v>
      </c>
      <c r="E848" s="176"/>
      <c r="F848" s="173" t="s">
        <v>2116</v>
      </c>
      <c r="G848" s="173" t="s">
        <v>1676</v>
      </c>
      <c r="H848" s="174">
        <v>1</v>
      </c>
      <c r="I848" s="144" t="s">
        <v>1690</v>
      </c>
      <c r="L848" s="156" t="s">
        <v>1692</v>
      </c>
      <c r="M848" s="177" t="s">
        <v>267</v>
      </c>
      <c r="N848" s="144" t="s">
        <v>47</v>
      </c>
    </row>
    <row r="849" spans="1:14">
      <c r="A849" s="140" t="str">
        <f t="shared" si="13"/>
        <v>17301-43860-02</v>
      </c>
      <c r="C849" s="175" t="s">
        <v>36</v>
      </c>
      <c r="D849" s="176" t="s">
        <v>1118</v>
      </c>
      <c r="E849" s="176"/>
      <c r="F849" s="173" t="s">
        <v>1458</v>
      </c>
      <c r="G849" s="173" t="s">
        <v>1676</v>
      </c>
      <c r="H849" s="174">
        <v>2</v>
      </c>
      <c r="I849" s="144" t="s">
        <v>1690</v>
      </c>
      <c r="L849" s="143" t="s">
        <v>1663</v>
      </c>
      <c r="M849" s="177"/>
      <c r="N849" s="144" t="s">
        <v>47</v>
      </c>
    </row>
    <row r="850" spans="1:14">
      <c r="A850" s="140" t="str">
        <f t="shared" si="13"/>
        <v>17301-43860-03</v>
      </c>
      <c r="C850" s="175" t="s">
        <v>36</v>
      </c>
      <c r="D850" s="176" t="s">
        <v>1118</v>
      </c>
      <c r="E850" s="176"/>
      <c r="F850" s="173" t="s">
        <v>1461</v>
      </c>
      <c r="G850" s="173" t="s">
        <v>1676</v>
      </c>
      <c r="H850" s="174">
        <v>3</v>
      </c>
      <c r="I850" s="144" t="s">
        <v>1664</v>
      </c>
      <c r="L850" s="143" t="s">
        <v>1693</v>
      </c>
      <c r="M850" s="177" t="s">
        <v>267</v>
      </c>
      <c r="N850" s="144" t="s">
        <v>47</v>
      </c>
    </row>
    <row r="851" spans="1:14">
      <c r="A851" s="140" t="str">
        <f t="shared" si="13"/>
        <v>17301-43861-00</v>
      </c>
      <c r="C851" s="175" t="s">
        <v>36</v>
      </c>
      <c r="D851" s="176" t="s">
        <v>1118</v>
      </c>
      <c r="E851" s="176"/>
      <c r="F851" s="173" t="s">
        <v>1483</v>
      </c>
      <c r="G851" s="173" t="s">
        <v>1679</v>
      </c>
      <c r="H851" s="174">
        <v>0</v>
      </c>
      <c r="L851" s="143" t="s">
        <v>1672</v>
      </c>
      <c r="M851" s="177" t="s">
        <v>267</v>
      </c>
      <c r="N851" s="144" t="s">
        <v>47</v>
      </c>
    </row>
    <row r="852" spans="1:14">
      <c r="A852" s="140" t="str">
        <f t="shared" si="13"/>
        <v>17301-43861-01</v>
      </c>
      <c r="C852" s="175" t="s">
        <v>36</v>
      </c>
      <c r="D852" s="176" t="s">
        <v>1118</v>
      </c>
      <c r="E852" s="176"/>
      <c r="F852" s="173" t="s">
        <v>1694</v>
      </c>
      <c r="G852" s="173" t="s">
        <v>1679</v>
      </c>
      <c r="H852" s="174">
        <v>1</v>
      </c>
      <c r="I852" s="144" t="s">
        <v>1695</v>
      </c>
      <c r="L852" s="143" t="s">
        <v>1670</v>
      </c>
      <c r="M852" s="177" t="s">
        <v>267</v>
      </c>
      <c r="N852" s="144" t="s">
        <v>47</v>
      </c>
    </row>
    <row r="853" spans="1:14">
      <c r="A853" s="140" t="str">
        <f t="shared" si="13"/>
        <v>17301-43870-00</v>
      </c>
      <c r="C853" s="175" t="s">
        <v>1221</v>
      </c>
      <c r="D853" s="176" t="s">
        <v>1118</v>
      </c>
      <c r="E853" s="176"/>
      <c r="F853" s="173" t="s">
        <v>1697</v>
      </c>
      <c r="G853" s="173" t="s">
        <v>1642</v>
      </c>
      <c r="H853" s="174">
        <v>0</v>
      </c>
      <c r="L853" s="143" t="s">
        <v>1701</v>
      </c>
      <c r="M853" s="177"/>
      <c r="N853" s="144" t="s">
        <v>47</v>
      </c>
    </row>
    <row r="854" spans="1:14">
      <c r="A854" s="140" t="str">
        <f t="shared" si="13"/>
        <v>17301-43870-01</v>
      </c>
      <c r="C854" s="175" t="s">
        <v>1221</v>
      </c>
      <c r="D854" s="176" t="s">
        <v>1118</v>
      </c>
      <c r="E854" s="176"/>
      <c r="F854" s="173" t="s">
        <v>1698</v>
      </c>
      <c r="G854" s="173" t="s">
        <v>1642</v>
      </c>
      <c r="H854" s="174">
        <v>1</v>
      </c>
      <c r="I854" s="144" t="s">
        <v>1702</v>
      </c>
      <c r="L854" s="143" t="s">
        <v>1703</v>
      </c>
      <c r="M854" s="177" t="s">
        <v>1594</v>
      </c>
      <c r="N854" s="144" t="s">
        <v>47</v>
      </c>
    </row>
    <row r="855" spans="1:14">
      <c r="A855" s="140" t="str">
        <f t="shared" si="13"/>
        <v>17301-43870-02</v>
      </c>
      <c r="C855" s="175" t="s">
        <v>1221</v>
      </c>
      <c r="D855" s="176" t="s">
        <v>1118</v>
      </c>
      <c r="E855" s="176"/>
      <c r="F855" s="173" t="s">
        <v>1699</v>
      </c>
      <c r="G855" s="173" t="s">
        <v>1642</v>
      </c>
      <c r="H855" s="174">
        <v>2</v>
      </c>
      <c r="I855" s="144" t="s">
        <v>1702</v>
      </c>
      <c r="L855" s="143" t="s">
        <v>1704</v>
      </c>
      <c r="M855" s="177" t="s">
        <v>1594</v>
      </c>
      <c r="N855" s="144" t="s">
        <v>47</v>
      </c>
    </row>
    <row r="856" spans="1:14">
      <c r="A856" s="140" t="str">
        <f t="shared" si="13"/>
        <v>17301-43880-00</v>
      </c>
      <c r="C856" s="175" t="s">
        <v>232</v>
      </c>
      <c r="D856" s="176" t="s">
        <v>1118</v>
      </c>
      <c r="E856" s="176"/>
      <c r="F856" s="173" t="s">
        <v>1680</v>
      </c>
      <c r="G856" s="173" t="s">
        <v>1675</v>
      </c>
      <c r="H856" s="174">
        <v>0</v>
      </c>
      <c r="M856" s="177"/>
      <c r="N856" s="144" t="s">
        <v>47</v>
      </c>
    </row>
    <row r="857" spans="1:14">
      <c r="A857" s="140" t="str">
        <f t="shared" si="13"/>
        <v>17301-43880-01</v>
      </c>
      <c r="C857" s="175" t="s">
        <v>232</v>
      </c>
      <c r="D857" s="176" t="s">
        <v>1118</v>
      </c>
      <c r="E857" s="176"/>
      <c r="F857" s="173" t="s">
        <v>1681</v>
      </c>
      <c r="G857" s="173" t="s">
        <v>1675</v>
      </c>
      <c r="H857" s="174">
        <v>1</v>
      </c>
      <c r="I857" s="144" t="s">
        <v>1666</v>
      </c>
      <c r="L857" s="143" t="s">
        <v>1684</v>
      </c>
      <c r="M857" s="177" t="s">
        <v>1643</v>
      </c>
      <c r="N857" s="144" t="s">
        <v>47</v>
      </c>
    </row>
    <row r="858" spans="1:14">
      <c r="A858" s="140" t="str">
        <f t="shared" si="13"/>
        <v>17301-43880-02</v>
      </c>
      <c r="C858" s="175" t="s">
        <v>232</v>
      </c>
      <c r="D858" s="176" t="s">
        <v>1118</v>
      </c>
      <c r="E858" s="176"/>
      <c r="F858" s="173" t="s">
        <v>1682</v>
      </c>
      <c r="G858" s="173" t="s">
        <v>1675</v>
      </c>
      <c r="H858" s="174">
        <v>2</v>
      </c>
      <c r="I858" s="144" t="s">
        <v>1685</v>
      </c>
      <c r="L858" s="143" t="s">
        <v>1686</v>
      </c>
      <c r="M858" s="177" t="s">
        <v>1643</v>
      </c>
      <c r="N858" s="144" t="s">
        <v>47</v>
      </c>
    </row>
    <row r="859" spans="1:14">
      <c r="A859" s="140" t="str">
        <f t="shared" si="13"/>
        <v>17301-43880-03</v>
      </c>
      <c r="C859" s="175" t="s">
        <v>232</v>
      </c>
      <c r="D859" s="176" t="s">
        <v>1118</v>
      </c>
      <c r="E859" s="176"/>
      <c r="F859" s="173" t="s">
        <v>1683</v>
      </c>
      <c r="G859" s="173" t="s">
        <v>1675</v>
      </c>
      <c r="H859" s="174">
        <v>3</v>
      </c>
      <c r="I859" s="144" t="s">
        <v>1687</v>
      </c>
      <c r="L859" s="143" t="s">
        <v>1688</v>
      </c>
      <c r="M859" s="177"/>
      <c r="N859" s="144" t="s">
        <v>47</v>
      </c>
    </row>
    <row r="860" spans="1:14">
      <c r="A860" s="140" t="str">
        <f t="shared" si="13"/>
        <v>17301-44340-00</v>
      </c>
      <c r="B860" s="145" t="s">
        <v>6</v>
      </c>
      <c r="C860" s="175" t="s">
        <v>1864</v>
      </c>
      <c r="D860" s="176" t="s">
        <v>1118</v>
      </c>
      <c r="E860" s="176"/>
      <c r="G860" s="173" t="s">
        <v>8</v>
      </c>
      <c r="H860" s="174">
        <v>0</v>
      </c>
      <c r="J860" s="144" t="s">
        <v>47</v>
      </c>
      <c r="K860" s="144" t="s">
        <v>47</v>
      </c>
      <c r="M860" s="177"/>
      <c r="N860" s="144" t="s">
        <v>1432</v>
      </c>
    </row>
    <row r="861" spans="1:14">
      <c r="A861" s="140" t="str">
        <f t="shared" si="13"/>
        <v>63542-00556-00</v>
      </c>
      <c r="C861" s="175" t="s">
        <v>497</v>
      </c>
      <c r="D861" s="176" t="s">
        <v>1119</v>
      </c>
      <c r="E861" s="176" t="s">
        <v>1787</v>
      </c>
      <c r="F861" s="173" t="s">
        <v>2050</v>
      </c>
      <c r="G861" s="173" t="s">
        <v>1031</v>
      </c>
      <c r="H861" s="174">
        <v>0</v>
      </c>
      <c r="I861" s="144" t="s">
        <v>1045</v>
      </c>
      <c r="L861" s="178"/>
      <c r="M861" s="177" t="s">
        <v>508</v>
      </c>
      <c r="N861" s="144" t="s">
        <v>1432</v>
      </c>
    </row>
    <row r="862" spans="1:14">
      <c r="A862" s="140" t="str">
        <f t="shared" si="13"/>
        <v>17301-43810-00</v>
      </c>
      <c r="C862" s="172" t="s">
        <v>36</v>
      </c>
      <c r="D862" s="162" t="s">
        <v>2033</v>
      </c>
      <c r="E862" s="162" t="s">
        <v>2033</v>
      </c>
      <c r="F862" s="173" t="s">
        <v>2120</v>
      </c>
      <c r="G862" s="173" t="s">
        <v>2118</v>
      </c>
      <c r="H862" s="174">
        <v>0</v>
      </c>
      <c r="N862" s="144" t="s">
        <v>47</v>
      </c>
    </row>
    <row r="863" spans="1:14">
      <c r="A863" s="140" t="str">
        <f t="shared" si="13"/>
        <v>17301-43810-01</v>
      </c>
      <c r="C863" s="172" t="s">
        <v>36</v>
      </c>
      <c r="D863" s="162" t="s">
        <v>2033</v>
      </c>
      <c r="E863" s="162" t="s">
        <v>2033</v>
      </c>
      <c r="F863" s="173" t="s">
        <v>2121</v>
      </c>
      <c r="G863" s="173" t="s">
        <v>2118</v>
      </c>
      <c r="H863" s="174">
        <v>1</v>
      </c>
      <c r="N863" s="144" t="s">
        <v>47</v>
      </c>
    </row>
    <row r="864" spans="1:14">
      <c r="A864" s="140" t="str">
        <f t="shared" si="13"/>
        <v>17301-43810-02</v>
      </c>
      <c r="C864" s="172" t="s">
        <v>36</v>
      </c>
      <c r="D864" s="162" t="s">
        <v>2033</v>
      </c>
      <c r="E864" s="162" t="s">
        <v>2033</v>
      </c>
      <c r="F864" s="173" t="s">
        <v>2122</v>
      </c>
      <c r="G864" s="173" t="s">
        <v>2118</v>
      </c>
      <c r="H864" s="174">
        <v>2</v>
      </c>
      <c r="L864" s="143" t="s">
        <v>2129</v>
      </c>
      <c r="M864" s="185" t="s">
        <v>267</v>
      </c>
      <c r="N864" s="144" t="s">
        <v>47</v>
      </c>
    </row>
    <row r="865" spans="1:14" ht="27">
      <c r="A865" s="140" t="str">
        <f t="shared" si="13"/>
        <v>17301-43810-03</v>
      </c>
      <c r="C865" s="172" t="s">
        <v>36</v>
      </c>
      <c r="D865" s="162" t="s">
        <v>2033</v>
      </c>
      <c r="E865" s="162" t="s">
        <v>2033</v>
      </c>
      <c r="F865" s="173" t="s">
        <v>2123</v>
      </c>
      <c r="G865" s="173" t="s">
        <v>2118</v>
      </c>
      <c r="H865" s="174">
        <v>3</v>
      </c>
      <c r="I865" s="144" t="s">
        <v>2126</v>
      </c>
      <c r="L865" s="156" t="s">
        <v>2130</v>
      </c>
      <c r="M865" s="185" t="s">
        <v>267</v>
      </c>
      <c r="N865" s="144" t="s">
        <v>47</v>
      </c>
    </row>
    <row r="866" spans="1:14">
      <c r="A866" s="140" t="str">
        <f t="shared" si="13"/>
        <v>17301-43810-04</v>
      </c>
      <c r="C866" s="172" t="s">
        <v>36</v>
      </c>
      <c r="D866" s="162" t="s">
        <v>2033</v>
      </c>
      <c r="E866" s="162" t="s">
        <v>2033</v>
      </c>
      <c r="F866" s="173" t="s">
        <v>2124</v>
      </c>
      <c r="G866" s="173" t="s">
        <v>2118</v>
      </c>
      <c r="H866" s="174">
        <v>4</v>
      </c>
      <c r="I866" s="144" t="s">
        <v>2127</v>
      </c>
      <c r="L866" s="143" t="s">
        <v>2132</v>
      </c>
      <c r="M866" s="185" t="s">
        <v>267</v>
      </c>
      <c r="N866" s="144" t="s">
        <v>47</v>
      </c>
    </row>
    <row r="867" spans="1:14">
      <c r="A867" s="140" t="str">
        <f t="shared" si="13"/>
        <v>17301-43810-05</v>
      </c>
      <c r="C867" s="172" t="s">
        <v>36</v>
      </c>
      <c r="D867" s="162" t="s">
        <v>2033</v>
      </c>
      <c r="E867" s="162" t="s">
        <v>2033</v>
      </c>
      <c r="F867" s="173" t="s">
        <v>2125</v>
      </c>
      <c r="G867" s="173" t="s">
        <v>2118</v>
      </c>
      <c r="H867" s="174">
        <v>5</v>
      </c>
      <c r="I867" s="144" t="s">
        <v>2128</v>
      </c>
      <c r="L867" s="143" t="s">
        <v>2131</v>
      </c>
      <c r="M867" s="185" t="s">
        <v>267</v>
      </c>
      <c r="N867" s="144" t="s">
        <v>47</v>
      </c>
    </row>
    <row r="868" spans="1:14">
      <c r="A868" s="140" t="str">
        <f t="shared" si="13"/>
        <v>05601-00321-00</v>
      </c>
      <c r="C868" s="172" t="s">
        <v>234</v>
      </c>
      <c r="D868" s="162" t="s">
        <v>1230</v>
      </c>
      <c r="F868" s="173" t="s">
        <v>2151</v>
      </c>
      <c r="G868" s="173" t="s">
        <v>2144</v>
      </c>
      <c r="H868" s="174">
        <v>0</v>
      </c>
      <c r="I868" s="144" t="s">
        <v>2152</v>
      </c>
      <c r="L868" s="143" t="s">
        <v>2153</v>
      </c>
      <c r="N868" s="144" t="s">
        <v>2154</v>
      </c>
    </row>
    <row r="869" spans="1:14">
      <c r="A869" s="140" t="str">
        <f t="shared" si="13"/>
        <v>05601-00323-00</v>
      </c>
      <c r="C869" s="172" t="s">
        <v>2184</v>
      </c>
      <c r="D869" s="162" t="s">
        <v>1230</v>
      </c>
      <c r="F869" s="173" t="s">
        <v>2151</v>
      </c>
      <c r="G869" s="173" t="s">
        <v>2147</v>
      </c>
      <c r="H869" s="174">
        <v>0</v>
      </c>
      <c r="I869" s="144" t="s">
        <v>2152</v>
      </c>
      <c r="L869" s="143" t="s">
        <v>2153</v>
      </c>
      <c r="N869" s="144" t="s">
        <v>2154</v>
      </c>
    </row>
    <row r="870" spans="1:14">
      <c r="A870" s="140" t="str">
        <f t="shared" si="13"/>
        <v>05701-00142-00</v>
      </c>
      <c r="C870" s="172" t="s">
        <v>1644</v>
      </c>
      <c r="D870" s="162" t="s">
        <v>1230</v>
      </c>
      <c r="F870" s="173" t="s">
        <v>2151</v>
      </c>
      <c r="G870" s="173" t="s">
        <v>2149</v>
      </c>
      <c r="H870" s="174">
        <v>0</v>
      </c>
      <c r="I870" s="144" t="s">
        <v>2152</v>
      </c>
      <c r="L870" s="143" t="s">
        <v>2153</v>
      </c>
      <c r="N870" s="144" t="s">
        <v>2154</v>
      </c>
    </row>
    <row r="871" spans="1:14">
      <c r="A871" s="140" t="str">
        <f t="shared" si="13"/>
        <v>17301-43442-00</v>
      </c>
      <c r="D871" s="162" t="s">
        <v>1166</v>
      </c>
      <c r="F871" s="173" t="s">
        <v>2168</v>
      </c>
      <c r="G871" s="173" t="s">
        <v>2161</v>
      </c>
      <c r="H871" s="174">
        <v>0</v>
      </c>
      <c r="L871" s="143" t="s">
        <v>2171</v>
      </c>
    </row>
    <row r="872" spans="1:14" ht="54">
      <c r="A872" s="140" t="str">
        <f t="shared" si="13"/>
        <v>17301-43442-01</v>
      </c>
      <c r="D872" s="162" t="s">
        <v>1166</v>
      </c>
      <c r="F872" s="173" t="s">
        <v>2169</v>
      </c>
      <c r="G872" s="173" t="s">
        <v>2161</v>
      </c>
      <c r="H872" s="174">
        <v>1</v>
      </c>
      <c r="I872" s="144" t="s">
        <v>2172</v>
      </c>
      <c r="L872" s="156" t="s">
        <v>2174</v>
      </c>
    </row>
    <row r="873" spans="1:14">
      <c r="A873" s="140" t="str">
        <f t="shared" si="13"/>
        <v>17301-43442-02</v>
      </c>
      <c r="D873" s="162" t="s">
        <v>1166</v>
      </c>
      <c r="F873" s="173" t="s">
        <v>2170</v>
      </c>
      <c r="G873" s="173" t="s">
        <v>2161</v>
      </c>
      <c r="H873" s="174">
        <v>2</v>
      </c>
      <c r="I873" s="144" t="s">
        <v>2176</v>
      </c>
      <c r="L873" s="143" t="s">
        <v>2183</v>
      </c>
    </row>
    <row r="874" spans="1:14">
      <c r="A874" s="140" t="str">
        <f t="shared" si="13"/>
        <v>17301-43443-00</v>
      </c>
      <c r="D874" s="162" t="s">
        <v>1166</v>
      </c>
      <c r="F874" s="173" t="s">
        <v>2168</v>
      </c>
      <c r="G874" s="173" t="s">
        <v>2163</v>
      </c>
      <c r="H874" s="174">
        <v>0</v>
      </c>
      <c r="L874" s="143" t="s">
        <v>2171</v>
      </c>
    </row>
    <row r="875" spans="1:14" ht="54">
      <c r="A875" s="140" t="str">
        <f t="shared" si="13"/>
        <v>17301-43443-01</v>
      </c>
      <c r="D875" s="162" t="s">
        <v>1166</v>
      </c>
      <c r="F875" s="173" t="s">
        <v>2169</v>
      </c>
      <c r="G875" s="173" t="s">
        <v>2163</v>
      </c>
      <c r="H875" s="174">
        <v>1</v>
      </c>
      <c r="I875" s="144" t="s">
        <v>2173</v>
      </c>
      <c r="L875" s="156" t="s">
        <v>2174</v>
      </c>
    </row>
    <row r="876" spans="1:14">
      <c r="A876" s="140" t="str">
        <f t="shared" si="13"/>
        <v>17301-43443-02</v>
      </c>
      <c r="D876" s="162" t="s">
        <v>1166</v>
      </c>
      <c r="F876" s="173" t="s">
        <v>2170</v>
      </c>
      <c r="G876" s="173" t="s">
        <v>2163</v>
      </c>
      <c r="H876" s="174">
        <v>2</v>
      </c>
      <c r="I876" s="144" t="s">
        <v>2178</v>
      </c>
      <c r="L876" s="143" t="s">
        <v>2183</v>
      </c>
    </row>
    <row r="877" spans="1:14">
      <c r="A877" s="140" t="str">
        <f t="shared" si="13"/>
        <v>17301-43431-04</v>
      </c>
      <c r="C877" s="172" t="s">
        <v>47</v>
      </c>
      <c r="D877" s="162" t="s">
        <v>1166</v>
      </c>
      <c r="F877" s="173" t="s">
        <v>2170</v>
      </c>
      <c r="G877" s="173" t="s">
        <v>2179</v>
      </c>
      <c r="H877" s="174">
        <v>4</v>
      </c>
      <c r="I877" s="144" t="s">
        <v>2175</v>
      </c>
      <c r="L877" s="143" t="s">
        <v>2183</v>
      </c>
    </row>
    <row r="878" spans="1:14">
      <c r="A878" s="140" t="str">
        <f t="shared" si="13"/>
        <v>17301-43435-04</v>
      </c>
      <c r="D878" s="162" t="s">
        <v>1166</v>
      </c>
      <c r="F878" s="173" t="s">
        <v>2170</v>
      </c>
      <c r="G878" s="173" t="s">
        <v>2182</v>
      </c>
      <c r="H878" s="174">
        <v>4</v>
      </c>
      <c r="I878" s="144" t="s">
        <v>2175</v>
      </c>
      <c r="L878" s="143" t="s">
        <v>2183</v>
      </c>
    </row>
    <row r="879" spans="1:14">
      <c r="A879" s="140" t="str">
        <f t="shared" si="13"/>
        <v>17301-43432-04</v>
      </c>
      <c r="D879" s="162" t="s">
        <v>1166</v>
      </c>
      <c r="F879" s="173" t="s">
        <v>2170</v>
      </c>
      <c r="G879" s="173" t="s">
        <v>2180</v>
      </c>
      <c r="H879" s="174">
        <v>4</v>
      </c>
      <c r="I879" s="144" t="s">
        <v>2177</v>
      </c>
      <c r="L879" s="143" t="s">
        <v>2183</v>
      </c>
    </row>
    <row r="880" spans="1:14">
      <c r="A880" s="140" t="str">
        <f t="shared" si="13"/>
        <v>17301-43436-04</v>
      </c>
      <c r="D880" s="162" t="s">
        <v>1166</v>
      </c>
      <c r="F880" s="173" t="s">
        <v>2170</v>
      </c>
      <c r="G880" s="173" t="s">
        <v>2181</v>
      </c>
      <c r="H880" s="174">
        <v>4</v>
      </c>
      <c r="I880" s="144" t="s">
        <v>2177</v>
      </c>
      <c r="L880" s="143" t="s">
        <v>2183</v>
      </c>
    </row>
    <row r="881" spans="1:12" ht="40.5">
      <c r="A881" s="140" t="str">
        <f t="shared" si="13"/>
        <v>05642-00683-12</v>
      </c>
      <c r="C881" s="172" t="s">
        <v>234</v>
      </c>
      <c r="D881" s="162" t="s">
        <v>1119</v>
      </c>
      <c r="E881" s="162" t="s">
        <v>1787</v>
      </c>
      <c r="F881" s="173" t="s">
        <v>2186</v>
      </c>
      <c r="G881" s="173" t="s">
        <v>2187</v>
      </c>
      <c r="H881" s="174">
        <v>12</v>
      </c>
      <c r="I881" s="144" t="s">
        <v>2193</v>
      </c>
      <c r="L881" s="156" t="s">
        <v>2196</v>
      </c>
    </row>
    <row r="882" spans="1:12" ht="40.5">
      <c r="A882" s="140" t="str">
        <f t="shared" si="13"/>
        <v>05642-00924-07</v>
      </c>
      <c r="C882" s="172" t="s">
        <v>234</v>
      </c>
      <c r="D882" s="162" t="s">
        <v>1119</v>
      </c>
      <c r="E882" s="162" t="s">
        <v>1787</v>
      </c>
      <c r="F882" s="173" t="s">
        <v>2186</v>
      </c>
      <c r="G882" s="173" t="s">
        <v>2188</v>
      </c>
      <c r="H882" s="174">
        <v>7</v>
      </c>
      <c r="I882" s="144" t="s">
        <v>2193</v>
      </c>
      <c r="L882" s="156" t="s">
        <v>2196</v>
      </c>
    </row>
    <row r="883" spans="1:12" ht="40.5">
      <c r="A883" s="140" t="str">
        <f t="shared" si="13"/>
        <v>05642-00998-05</v>
      </c>
      <c r="C883" s="172" t="s">
        <v>234</v>
      </c>
      <c r="D883" s="162" t="s">
        <v>1119</v>
      </c>
      <c r="E883" s="162" t="s">
        <v>1787</v>
      </c>
      <c r="F883" s="173" t="s">
        <v>2186</v>
      </c>
      <c r="G883" s="173" t="s">
        <v>2189</v>
      </c>
      <c r="H883" s="174">
        <v>5</v>
      </c>
      <c r="I883" s="144" t="s">
        <v>2194</v>
      </c>
      <c r="L883" s="156" t="s">
        <v>2196</v>
      </c>
    </row>
    <row r="884" spans="1:12" ht="40.5">
      <c r="A884" s="140" t="str">
        <f t="shared" si="13"/>
        <v>05642-00999-05</v>
      </c>
      <c r="C884" s="172" t="s">
        <v>234</v>
      </c>
      <c r="D884" s="162" t="s">
        <v>1119</v>
      </c>
      <c r="E884" s="162" t="s">
        <v>1787</v>
      </c>
      <c r="F884" s="173" t="s">
        <v>2186</v>
      </c>
      <c r="G884" s="173" t="s">
        <v>2190</v>
      </c>
      <c r="H884" s="174">
        <v>5</v>
      </c>
      <c r="I884" s="144" t="s">
        <v>2195</v>
      </c>
      <c r="L884" s="156" t="s">
        <v>2196</v>
      </c>
    </row>
    <row r="885" spans="1:12" ht="40.5">
      <c r="A885" s="140" t="str">
        <f t="shared" si="13"/>
        <v>05642-01054-02</v>
      </c>
      <c r="C885" s="172" t="s">
        <v>234</v>
      </c>
      <c r="D885" s="162" t="s">
        <v>1119</v>
      </c>
      <c r="E885" s="162" t="s">
        <v>1787</v>
      </c>
      <c r="F885" s="173" t="s">
        <v>2186</v>
      </c>
      <c r="G885" s="173" t="s">
        <v>2191</v>
      </c>
      <c r="H885" s="174">
        <v>2</v>
      </c>
      <c r="I885" s="144" t="s">
        <v>2195</v>
      </c>
      <c r="L885" s="156" t="s">
        <v>2196</v>
      </c>
    </row>
    <row r="886" spans="1:12" ht="40.5">
      <c r="A886" s="140" t="str">
        <f t="shared" si="13"/>
        <v>05642-01061-02</v>
      </c>
      <c r="C886" s="172" t="s">
        <v>234</v>
      </c>
      <c r="D886" s="162" t="s">
        <v>1119</v>
      </c>
      <c r="E886" s="162" t="s">
        <v>1787</v>
      </c>
      <c r="F886" s="173" t="s">
        <v>2186</v>
      </c>
      <c r="G886" s="173" t="s">
        <v>2192</v>
      </c>
      <c r="H886" s="174">
        <v>2</v>
      </c>
      <c r="I886" s="144" t="s">
        <v>2195</v>
      </c>
      <c r="L886" s="156" t="s">
        <v>2196</v>
      </c>
    </row>
    <row r="887" spans="1:12">
      <c r="A887" s="140" t="str">
        <f t="shared" si="13"/>
        <v>05642-00999-03</v>
      </c>
      <c r="C887" s="172" t="s">
        <v>234</v>
      </c>
      <c r="D887" s="162" t="s">
        <v>1119</v>
      </c>
      <c r="E887" s="162" t="s">
        <v>1787</v>
      </c>
      <c r="F887" s="173" t="s">
        <v>2197</v>
      </c>
      <c r="G887" s="173" t="s">
        <v>2190</v>
      </c>
      <c r="H887" s="174">
        <v>3</v>
      </c>
    </row>
    <row r="888" spans="1:12">
      <c r="A888" s="140" t="str">
        <f t="shared" si="13"/>
        <v>05642-00924-05</v>
      </c>
      <c r="C888" s="172" t="s">
        <v>234</v>
      </c>
      <c r="D888" s="162" t="s">
        <v>1119</v>
      </c>
      <c r="E888" s="162" t="s">
        <v>1787</v>
      </c>
      <c r="F888" s="173" t="s">
        <v>2197</v>
      </c>
      <c r="G888" s="173" t="s">
        <v>2188</v>
      </c>
      <c r="H888" s="174">
        <v>5</v>
      </c>
    </row>
    <row r="889" spans="1:12">
      <c r="A889" s="140" t="str">
        <f t="shared" si="13"/>
        <v>05642-00998-03</v>
      </c>
      <c r="C889" s="172" t="s">
        <v>234</v>
      </c>
      <c r="D889" s="162" t="s">
        <v>1119</v>
      </c>
      <c r="E889" s="162" t="s">
        <v>1787</v>
      </c>
      <c r="F889" s="173" t="s">
        <v>2197</v>
      </c>
      <c r="G889" s="173" t="s">
        <v>2189</v>
      </c>
      <c r="H889" s="174">
        <v>3</v>
      </c>
    </row>
    <row r="890" spans="1:12">
      <c r="A890" s="140" t="str">
        <f t="shared" si="13"/>
        <v>05601-00283-05</v>
      </c>
      <c r="C890" s="172" t="s">
        <v>234</v>
      </c>
      <c r="D890" s="162" t="s">
        <v>1230</v>
      </c>
      <c r="F890" s="173" t="s">
        <v>2197</v>
      </c>
      <c r="G890" s="173" t="s">
        <v>2199</v>
      </c>
      <c r="H890" s="174">
        <v>5</v>
      </c>
    </row>
    <row r="891" spans="1:12">
      <c r="A891" s="140" t="str">
        <f>G891&amp;"-"&amp;TEXT(H891,"00")</f>
        <v>05642-00999-04</v>
      </c>
      <c r="C891" s="172" t="s">
        <v>234</v>
      </c>
      <c r="D891" s="162" t="s">
        <v>1119</v>
      </c>
      <c r="E891" s="162" t="s">
        <v>1787</v>
      </c>
      <c r="F891" s="173" t="s">
        <v>2198</v>
      </c>
      <c r="G891" s="173" t="s">
        <v>2190</v>
      </c>
      <c r="H891" s="174">
        <v>4</v>
      </c>
      <c r="I891" s="144" t="s">
        <v>2203</v>
      </c>
    </row>
    <row r="892" spans="1:12">
      <c r="A892" s="140" t="str">
        <f t="shared" si="13"/>
        <v>05542-00651-06</v>
      </c>
      <c r="C892" s="172" t="s">
        <v>245</v>
      </c>
      <c r="D892" s="162" t="s">
        <v>1119</v>
      </c>
      <c r="E892" s="162" t="s">
        <v>1787</v>
      </c>
      <c r="F892" s="173" t="s">
        <v>2198</v>
      </c>
      <c r="G892" s="173" t="s">
        <v>2200</v>
      </c>
      <c r="H892" s="174">
        <v>6</v>
      </c>
      <c r="I892" s="144" t="s">
        <v>2203</v>
      </c>
    </row>
    <row r="893" spans="1:12">
      <c r="A893" s="140" t="str">
        <f t="shared" ref="A893:A936" si="14">G893&amp;"-"&amp;TEXT(H893,"00")</f>
        <v>05642-00684-03</v>
      </c>
      <c r="C893" s="172" t="s">
        <v>234</v>
      </c>
      <c r="D893" s="162" t="s">
        <v>1119</v>
      </c>
      <c r="E893" s="162" t="s">
        <v>1788</v>
      </c>
      <c r="F893" s="173" t="s">
        <v>2198</v>
      </c>
      <c r="G893" s="173" t="s">
        <v>2201</v>
      </c>
      <c r="H893" s="174">
        <v>3</v>
      </c>
      <c r="I893" s="144" t="s">
        <v>2202</v>
      </c>
    </row>
    <row r="894" spans="1:12">
      <c r="A894" s="140" t="str">
        <f t="shared" si="14"/>
        <v>05542-00425-03</v>
      </c>
      <c r="C894" s="172" t="s">
        <v>147</v>
      </c>
      <c r="D894" s="162" t="s">
        <v>1119</v>
      </c>
      <c r="E894" s="162" t="s">
        <v>1787</v>
      </c>
      <c r="F894" s="173" t="s">
        <v>2208</v>
      </c>
      <c r="G894" s="173" t="s">
        <v>2207</v>
      </c>
      <c r="H894" s="174">
        <v>3</v>
      </c>
      <c r="I894" s="144" t="s">
        <v>2209</v>
      </c>
    </row>
    <row r="895" spans="1:12">
      <c r="A895" s="140" t="str">
        <f t="shared" si="14"/>
        <v>05501-00022-10</v>
      </c>
      <c r="C895" s="172" t="s">
        <v>2271</v>
      </c>
      <c r="D895" s="162" t="s">
        <v>1230</v>
      </c>
      <c r="F895" s="173" t="s">
        <v>2208</v>
      </c>
      <c r="G895" s="173" t="s">
        <v>2210</v>
      </c>
      <c r="H895" s="174">
        <v>10</v>
      </c>
      <c r="I895" s="144" t="s">
        <v>2234</v>
      </c>
      <c r="L895" s="143" t="s">
        <v>2240</v>
      </c>
    </row>
    <row r="896" spans="1:12">
      <c r="A896" s="140" t="str">
        <f t="shared" si="14"/>
        <v>05501-00087-05</v>
      </c>
      <c r="C896" s="172" t="s">
        <v>2272</v>
      </c>
      <c r="D896" s="162" t="s">
        <v>1230</v>
      </c>
      <c r="F896" s="173" t="s">
        <v>2208</v>
      </c>
      <c r="G896" s="173" t="s">
        <v>2211</v>
      </c>
      <c r="H896" s="174">
        <v>5</v>
      </c>
      <c r="I896" s="144" t="s">
        <v>2230</v>
      </c>
      <c r="L896" s="143" t="s">
        <v>2240</v>
      </c>
    </row>
    <row r="897" spans="1:12">
      <c r="A897" s="140" t="str">
        <f t="shared" si="14"/>
        <v>05501-00022-00</v>
      </c>
      <c r="C897" s="172" t="s">
        <v>2271</v>
      </c>
      <c r="D897" s="162" t="s">
        <v>1230</v>
      </c>
      <c r="F897" s="173" t="s">
        <v>2212</v>
      </c>
      <c r="G897" s="173" t="s">
        <v>2210</v>
      </c>
      <c r="H897" s="174">
        <v>0</v>
      </c>
      <c r="I897" s="144" t="s">
        <v>2239</v>
      </c>
    </row>
    <row r="898" spans="1:12">
      <c r="A898" s="140" t="str">
        <f t="shared" si="14"/>
        <v>05501-00022-01</v>
      </c>
      <c r="C898" s="172" t="s">
        <v>2271</v>
      </c>
      <c r="D898" s="162" t="s">
        <v>1230</v>
      </c>
      <c r="F898" s="173" t="s">
        <v>2213</v>
      </c>
      <c r="G898" s="173" t="s">
        <v>2210</v>
      </c>
      <c r="H898" s="174">
        <v>1</v>
      </c>
      <c r="I898" s="144" t="s">
        <v>2232</v>
      </c>
    </row>
    <row r="899" spans="1:12">
      <c r="A899" s="140" t="str">
        <f t="shared" si="14"/>
        <v>05501-00022-02</v>
      </c>
      <c r="C899" s="172" t="s">
        <v>2271</v>
      </c>
      <c r="D899" s="162" t="s">
        <v>1230</v>
      </c>
      <c r="F899" s="173" t="s">
        <v>2214</v>
      </c>
      <c r="G899" s="173" t="s">
        <v>2210</v>
      </c>
      <c r="H899" s="174">
        <v>2</v>
      </c>
      <c r="I899" s="144" t="s">
        <v>2233</v>
      </c>
    </row>
    <row r="900" spans="1:12">
      <c r="A900" s="140" t="str">
        <f t="shared" si="14"/>
        <v>05501-00022-03</v>
      </c>
      <c r="C900" s="172" t="s">
        <v>2271</v>
      </c>
      <c r="D900" s="162" t="s">
        <v>1230</v>
      </c>
      <c r="F900" s="173" t="s">
        <v>2215</v>
      </c>
      <c r="G900" s="173" t="s">
        <v>2210</v>
      </c>
      <c r="H900" s="174">
        <v>3</v>
      </c>
      <c r="I900" s="144" t="s">
        <v>2231</v>
      </c>
    </row>
    <row r="901" spans="1:12">
      <c r="A901" s="140" t="str">
        <f t="shared" si="14"/>
        <v>05501-00022-04</v>
      </c>
      <c r="C901" s="172" t="s">
        <v>2271</v>
      </c>
      <c r="D901" s="162" t="s">
        <v>1230</v>
      </c>
      <c r="F901" s="173" t="s">
        <v>2216</v>
      </c>
      <c r="G901" s="173" t="s">
        <v>2210</v>
      </c>
      <c r="H901" s="174">
        <v>4</v>
      </c>
      <c r="I901" s="144" t="s">
        <v>2231</v>
      </c>
    </row>
    <row r="902" spans="1:12">
      <c r="A902" s="140" t="str">
        <f t="shared" si="14"/>
        <v>05501-00022-05</v>
      </c>
      <c r="C902" s="172" t="s">
        <v>2271</v>
      </c>
      <c r="D902" s="162" t="s">
        <v>1230</v>
      </c>
      <c r="F902" s="173" t="s">
        <v>2217</v>
      </c>
      <c r="G902" s="173" t="s">
        <v>2210</v>
      </c>
      <c r="H902" s="174">
        <v>5</v>
      </c>
      <c r="I902" s="144" t="s">
        <v>2238</v>
      </c>
    </row>
    <row r="903" spans="1:12">
      <c r="A903" s="140" t="str">
        <f t="shared" si="14"/>
        <v>05501-00022-06</v>
      </c>
      <c r="C903" s="172" t="s">
        <v>2271</v>
      </c>
      <c r="D903" s="162" t="s">
        <v>1230</v>
      </c>
      <c r="F903" s="173" t="s">
        <v>2218</v>
      </c>
      <c r="G903" s="173" t="s">
        <v>2210</v>
      </c>
      <c r="H903" s="174">
        <v>6</v>
      </c>
      <c r="I903" s="144" t="s">
        <v>2237</v>
      </c>
    </row>
    <row r="904" spans="1:12">
      <c r="A904" s="140" t="str">
        <f t="shared" si="14"/>
        <v>05501-00022-07</v>
      </c>
      <c r="C904" s="172" t="s">
        <v>2271</v>
      </c>
      <c r="D904" s="162" t="s">
        <v>1230</v>
      </c>
      <c r="F904" s="173" t="s">
        <v>2219</v>
      </c>
      <c r="G904" s="173" t="s">
        <v>2210</v>
      </c>
      <c r="H904" s="174">
        <v>7</v>
      </c>
      <c r="I904" s="144" t="s">
        <v>2236</v>
      </c>
    </row>
    <row r="905" spans="1:12">
      <c r="A905" s="140" t="str">
        <f t="shared" si="14"/>
        <v>05501-00022-08</v>
      </c>
      <c r="C905" s="172" t="s">
        <v>2271</v>
      </c>
      <c r="D905" s="162" t="s">
        <v>1230</v>
      </c>
      <c r="F905" s="173" t="s">
        <v>2220</v>
      </c>
      <c r="G905" s="173" t="s">
        <v>2210</v>
      </c>
      <c r="H905" s="174">
        <v>8</v>
      </c>
      <c r="I905" s="144" t="s">
        <v>2235</v>
      </c>
    </row>
    <row r="906" spans="1:12">
      <c r="A906" s="140" t="str">
        <f t="shared" si="14"/>
        <v>05501-00022-09</v>
      </c>
      <c r="C906" s="172" t="s">
        <v>2271</v>
      </c>
      <c r="D906" s="162" t="s">
        <v>1230</v>
      </c>
      <c r="F906" s="173" t="s">
        <v>2221</v>
      </c>
      <c r="G906" s="173" t="s">
        <v>2210</v>
      </c>
      <c r="H906" s="174">
        <v>9</v>
      </c>
      <c r="I906" s="144" t="s">
        <v>2235</v>
      </c>
    </row>
    <row r="907" spans="1:12">
      <c r="A907" s="140" t="str">
        <f t="shared" si="14"/>
        <v>05501-00087-00</v>
      </c>
      <c r="C907" s="172" t="s">
        <v>2272</v>
      </c>
      <c r="D907" s="162" t="s">
        <v>1230</v>
      </c>
      <c r="F907" s="173" t="s">
        <v>2222</v>
      </c>
      <c r="G907" s="173" t="s">
        <v>2211</v>
      </c>
      <c r="H907" s="174">
        <v>0</v>
      </c>
      <c r="I907" s="144" t="s">
        <v>1517</v>
      </c>
    </row>
    <row r="908" spans="1:12">
      <c r="A908" s="140" t="str">
        <f t="shared" si="14"/>
        <v>05501-00087-01</v>
      </c>
      <c r="C908" s="172" t="s">
        <v>2272</v>
      </c>
      <c r="D908" s="162" t="s">
        <v>1230</v>
      </c>
      <c r="F908" s="173" t="s">
        <v>2223</v>
      </c>
      <c r="G908" s="173" t="s">
        <v>2211</v>
      </c>
      <c r="H908" s="174">
        <v>1</v>
      </c>
      <c r="I908" s="144" t="s">
        <v>2226</v>
      </c>
    </row>
    <row r="909" spans="1:12">
      <c r="A909" s="140" t="str">
        <f t="shared" si="14"/>
        <v>05501-00087-02</v>
      </c>
      <c r="C909" s="172" t="s">
        <v>2272</v>
      </c>
      <c r="D909" s="162" t="s">
        <v>1230</v>
      </c>
      <c r="F909" s="173" t="s">
        <v>2224</v>
      </c>
      <c r="G909" s="173" t="s">
        <v>2211</v>
      </c>
      <c r="H909" s="174">
        <v>2</v>
      </c>
      <c r="I909" s="144" t="s">
        <v>2228</v>
      </c>
    </row>
    <row r="910" spans="1:12">
      <c r="A910" s="140" t="str">
        <f t="shared" si="14"/>
        <v>05501-00087-03</v>
      </c>
      <c r="C910" s="172" t="s">
        <v>2272</v>
      </c>
      <c r="D910" s="162" t="s">
        <v>1230</v>
      </c>
      <c r="F910" s="173" t="s">
        <v>2225</v>
      </c>
      <c r="G910" s="173" t="s">
        <v>2211</v>
      </c>
      <c r="H910" s="174">
        <v>3</v>
      </c>
      <c r="I910" s="144" t="s">
        <v>2227</v>
      </c>
    </row>
    <row r="911" spans="1:12">
      <c r="A911" s="140" t="str">
        <f t="shared" si="14"/>
        <v>05501-00087-04</v>
      </c>
      <c r="C911" s="172" t="s">
        <v>2272</v>
      </c>
      <c r="D911" s="162" t="s">
        <v>1230</v>
      </c>
      <c r="F911" s="173" t="s">
        <v>2221</v>
      </c>
      <c r="G911" s="173" t="s">
        <v>2211</v>
      </c>
      <c r="H911" s="174">
        <v>4</v>
      </c>
      <c r="I911" s="144" t="s">
        <v>2229</v>
      </c>
    </row>
    <row r="912" spans="1:12" ht="40.5">
      <c r="A912" s="140" t="str">
        <f t="shared" si="14"/>
        <v>05542-00549-06</v>
      </c>
      <c r="C912" s="172" t="s">
        <v>245</v>
      </c>
      <c r="D912" s="162" t="s">
        <v>1119</v>
      </c>
      <c r="E912" s="162" t="s">
        <v>1787</v>
      </c>
      <c r="F912" s="173" t="s">
        <v>2242</v>
      </c>
      <c r="G912" s="173" t="s">
        <v>2241</v>
      </c>
      <c r="H912" s="174">
        <v>6</v>
      </c>
      <c r="I912" s="144" t="s">
        <v>270</v>
      </c>
      <c r="L912" s="156" t="s">
        <v>2250</v>
      </c>
    </row>
    <row r="913" spans="1:12" ht="40.5">
      <c r="A913" s="140" t="str">
        <f t="shared" si="14"/>
        <v>05542-00559-07</v>
      </c>
      <c r="C913" s="172" t="s">
        <v>245</v>
      </c>
      <c r="D913" s="162" t="s">
        <v>1119</v>
      </c>
      <c r="E913" s="162" t="s">
        <v>1787</v>
      </c>
      <c r="F913" s="173" t="s">
        <v>2242</v>
      </c>
      <c r="G913" s="173" t="s">
        <v>2243</v>
      </c>
      <c r="H913" s="174">
        <v>7</v>
      </c>
      <c r="I913" s="144" t="s">
        <v>2248</v>
      </c>
      <c r="L913" s="156" t="s">
        <v>2250</v>
      </c>
    </row>
    <row r="914" spans="1:12" ht="40.5">
      <c r="A914" s="140" t="str">
        <f t="shared" si="14"/>
        <v>05542-00639-06</v>
      </c>
      <c r="C914" s="172" t="s">
        <v>245</v>
      </c>
      <c r="D914" s="162" t="s">
        <v>1119</v>
      </c>
      <c r="E914" s="162" t="s">
        <v>1787</v>
      </c>
      <c r="F914" s="173" t="s">
        <v>2242</v>
      </c>
      <c r="G914" s="173" t="s">
        <v>2244</v>
      </c>
      <c r="H914" s="174">
        <v>6</v>
      </c>
      <c r="I914" s="144" t="s">
        <v>2249</v>
      </c>
      <c r="L914" s="156" t="s">
        <v>2250</v>
      </c>
    </row>
    <row r="915" spans="1:12" ht="40.5">
      <c r="A915" s="140" t="str">
        <f t="shared" si="14"/>
        <v>05542-00651-07</v>
      </c>
      <c r="C915" s="172" t="s">
        <v>245</v>
      </c>
      <c r="D915" s="162" t="s">
        <v>1119</v>
      </c>
      <c r="E915" s="162" t="s">
        <v>1787</v>
      </c>
      <c r="F915" s="173" t="s">
        <v>2242</v>
      </c>
      <c r="G915" s="173" t="s">
        <v>2245</v>
      </c>
      <c r="H915" s="174">
        <v>7</v>
      </c>
      <c r="I915" s="144" t="s">
        <v>269</v>
      </c>
      <c r="L915" s="156" t="s">
        <v>2250</v>
      </c>
    </row>
    <row r="916" spans="1:12" ht="40.5">
      <c r="A916" s="140" t="str">
        <f t="shared" si="14"/>
        <v>05542-00189-02</v>
      </c>
      <c r="C916" s="172" t="s">
        <v>245</v>
      </c>
      <c r="D916" s="162" t="s">
        <v>1119</v>
      </c>
      <c r="E916" s="162" t="s">
        <v>1787</v>
      </c>
      <c r="F916" s="173" t="s">
        <v>2242</v>
      </c>
      <c r="G916" s="173" t="s">
        <v>2246</v>
      </c>
      <c r="H916" s="174">
        <v>2</v>
      </c>
      <c r="I916" s="144" t="s">
        <v>269</v>
      </c>
      <c r="L916" s="156" t="s">
        <v>2250</v>
      </c>
    </row>
    <row r="917" spans="1:12" ht="40.5">
      <c r="A917" s="140" t="str">
        <f t="shared" si="14"/>
        <v>05542-00198-02</v>
      </c>
      <c r="C917" s="172" t="s">
        <v>245</v>
      </c>
      <c r="D917" s="162" t="s">
        <v>1119</v>
      </c>
      <c r="E917" s="162" t="s">
        <v>1787</v>
      </c>
      <c r="F917" s="173" t="s">
        <v>2242</v>
      </c>
      <c r="G917" s="173" t="s">
        <v>2247</v>
      </c>
      <c r="H917" s="174">
        <v>2</v>
      </c>
      <c r="I917" s="144" t="s">
        <v>269</v>
      </c>
      <c r="L917" s="156" t="s">
        <v>2250</v>
      </c>
    </row>
    <row r="918" spans="1:12">
      <c r="A918" s="140" t="str">
        <f t="shared" si="14"/>
        <v>05501-00045-03</v>
      </c>
      <c r="C918" s="172" t="s">
        <v>245</v>
      </c>
      <c r="D918" s="162" t="s">
        <v>1230</v>
      </c>
      <c r="F918" s="173" t="s">
        <v>2242</v>
      </c>
      <c r="G918" s="173" t="s">
        <v>2251</v>
      </c>
      <c r="H918" s="174">
        <v>3</v>
      </c>
      <c r="I918" s="144" t="s">
        <v>1308</v>
      </c>
      <c r="L918" s="156" t="s">
        <v>2258</v>
      </c>
    </row>
    <row r="919" spans="1:12">
      <c r="A919" s="140" t="str">
        <f t="shared" si="14"/>
        <v>05501-00060-03</v>
      </c>
      <c r="C919" s="172" t="s">
        <v>245</v>
      </c>
      <c r="D919" s="162" t="s">
        <v>1230</v>
      </c>
      <c r="F919" s="173" t="s">
        <v>2242</v>
      </c>
      <c r="G919" s="173" t="s">
        <v>2252</v>
      </c>
      <c r="H919" s="174">
        <v>3</v>
      </c>
      <c r="I919" s="144" t="s">
        <v>1520</v>
      </c>
      <c r="L919" s="156" t="s">
        <v>2258</v>
      </c>
    </row>
    <row r="920" spans="1:12" ht="27">
      <c r="A920" s="140" t="str">
        <f t="shared" si="14"/>
        <v>17301-43842-05</v>
      </c>
      <c r="C920" s="172" t="s">
        <v>1696</v>
      </c>
      <c r="D920" s="162" t="s">
        <v>1118</v>
      </c>
      <c r="F920" s="173" t="s">
        <v>2242</v>
      </c>
      <c r="G920" s="173" t="s">
        <v>2253</v>
      </c>
      <c r="H920" s="174">
        <v>5</v>
      </c>
      <c r="I920" s="144" t="s">
        <v>2255</v>
      </c>
      <c r="L920" s="156" t="s">
        <v>2257</v>
      </c>
    </row>
    <row r="921" spans="1:12" ht="27">
      <c r="A921" s="140" t="str">
        <f t="shared" si="14"/>
        <v>17301-43840-09</v>
      </c>
      <c r="C921" s="172" t="s">
        <v>1696</v>
      </c>
      <c r="D921" s="162" t="s">
        <v>1118</v>
      </c>
      <c r="F921" s="173" t="s">
        <v>2242</v>
      </c>
      <c r="G921" s="173" t="s">
        <v>2254</v>
      </c>
      <c r="H921" s="174">
        <v>9</v>
      </c>
      <c r="I921" s="144" t="s">
        <v>2256</v>
      </c>
      <c r="L921" s="156" t="s">
        <v>2257</v>
      </c>
    </row>
    <row r="922" spans="1:12">
      <c r="A922" s="140" t="str">
        <f t="shared" si="14"/>
        <v>05742-00792-00</v>
      </c>
      <c r="C922" s="172" t="s">
        <v>2291</v>
      </c>
      <c r="D922" s="162" t="s">
        <v>2292</v>
      </c>
      <c r="E922" s="162" t="s">
        <v>2293</v>
      </c>
      <c r="F922" s="173" t="s">
        <v>2263</v>
      </c>
      <c r="G922" s="173" t="s">
        <v>2260</v>
      </c>
      <c r="H922" s="174">
        <v>0</v>
      </c>
      <c r="I922" s="144" t="s">
        <v>2268</v>
      </c>
      <c r="L922" s="143" t="s">
        <v>2269</v>
      </c>
    </row>
    <row r="923" spans="1:12">
      <c r="A923" s="140" t="str">
        <f t="shared" si="14"/>
        <v>05701-00058-11</v>
      </c>
      <c r="C923" s="172" t="s">
        <v>2294</v>
      </c>
      <c r="D923" s="162" t="s">
        <v>2295</v>
      </c>
      <c r="F923" s="173" t="s">
        <v>2263</v>
      </c>
      <c r="G923" s="173" t="s">
        <v>2264</v>
      </c>
      <c r="H923" s="174">
        <v>11</v>
      </c>
      <c r="I923" s="144" t="s">
        <v>2267</v>
      </c>
      <c r="L923" s="143" t="s">
        <v>2270</v>
      </c>
    </row>
    <row r="924" spans="1:12">
      <c r="A924" s="140" t="str">
        <f t="shared" si="14"/>
        <v>05701-00142-01</v>
      </c>
      <c r="C924" s="172" t="s">
        <v>2291</v>
      </c>
      <c r="D924" s="162" t="s">
        <v>2295</v>
      </c>
      <c r="F924" s="173" t="s">
        <v>2263</v>
      </c>
      <c r="G924" s="173" t="s">
        <v>2265</v>
      </c>
      <c r="H924" s="174">
        <v>1</v>
      </c>
      <c r="I924" s="144" t="s">
        <v>2266</v>
      </c>
      <c r="L924" s="143" t="s">
        <v>2270</v>
      </c>
    </row>
    <row r="925" spans="1:12">
      <c r="A925" s="140" t="str">
        <f t="shared" si="14"/>
        <v>05642-00484-08</v>
      </c>
      <c r="C925" s="172" t="s">
        <v>509</v>
      </c>
      <c r="D925" s="162" t="s">
        <v>2204</v>
      </c>
      <c r="E925" s="162" t="s">
        <v>2205</v>
      </c>
      <c r="F925" s="173" t="s">
        <v>2273</v>
      </c>
      <c r="G925" s="173" t="s">
        <v>2274</v>
      </c>
      <c r="H925" s="174">
        <v>8</v>
      </c>
      <c r="I925" s="144" t="s">
        <v>2280</v>
      </c>
      <c r="L925" s="143" t="s">
        <v>2285</v>
      </c>
    </row>
    <row r="926" spans="1:12">
      <c r="A926" s="140" t="str">
        <f t="shared" si="14"/>
        <v>05642-00576-02</v>
      </c>
      <c r="C926" s="172" t="s">
        <v>509</v>
      </c>
      <c r="D926" s="162" t="s">
        <v>2204</v>
      </c>
      <c r="E926" s="162" t="s">
        <v>2205</v>
      </c>
      <c r="F926" s="173" t="s">
        <v>2273</v>
      </c>
      <c r="G926" s="173" t="s">
        <v>2275</v>
      </c>
      <c r="H926" s="174">
        <v>2</v>
      </c>
      <c r="I926" s="144" t="s">
        <v>2281</v>
      </c>
      <c r="L926" s="143" t="s">
        <v>2285</v>
      </c>
    </row>
    <row r="927" spans="1:12">
      <c r="A927" s="140" t="str">
        <f t="shared" si="14"/>
        <v>05642-00570-03</v>
      </c>
      <c r="C927" s="172" t="s">
        <v>509</v>
      </c>
      <c r="D927" s="162" t="s">
        <v>2204</v>
      </c>
      <c r="E927" s="162" t="s">
        <v>2205</v>
      </c>
      <c r="F927" s="173" t="s">
        <v>2273</v>
      </c>
      <c r="G927" s="173" t="s">
        <v>2276</v>
      </c>
      <c r="H927" s="174">
        <v>3</v>
      </c>
      <c r="I927" s="144" t="s">
        <v>2282</v>
      </c>
      <c r="L927" s="143" t="s">
        <v>2285</v>
      </c>
    </row>
    <row r="928" spans="1:12">
      <c r="A928" s="140" t="str">
        <f t="shared" si="14"/>
        <v>05642-00457-02</v>
      </c>
      <c r="C928" s="172" t="s">
        <v>509</v>
      </c>
      <c r="D928" s="162" t="s">
        <v>2204</v>
      </c>
      <c r="E928" s="162" t="s">
        <v>2205</v>
      </c>
      <c r="F928" s="173" t="s">
        <v>2273</v>
      </c>
      <c r="G928" s="173" t="s">
        <v>2277</v>
      </c>
      <c r="H928" s="174">
        <v>2</v>
      </c>
      <c r="I928" s="144" t="s">
        <v>2283</v>
      </c>
      <c r="L928" s="143" t="s">
        <v>2285</v>
      </c>
    </row>
    <row r="929" spans="1:12">
      <c r="A929" s="140" t="str">
        <f t="shared" si="14"/>
        <v>05642-00373-08</v>
      </c>
      <c r="C929" s="172" t="s">
        <v>509</v>
      </c>
      <c r="D929" s="162" t="s">
        <v>2204</v>
      </c>
      <c r="E929" s="162" t="s">
        <v>2205</v>
      </c>
      <c r="F929" s="173" t="s">
        <v>2273</v>
      </c>
      <c r="G929" s="173" t="s">
        <v>2278</v>
      </c>
      <c r="H929" s="174">
        <v>8</v>
      </c>
      <c r="I929" s="144" t="s">
        <v>2284</v>
      </c>
      <c r="L929" s="143" t="s">
        <v>2285</v>
      </c>
    </row>
    <row r="930" spans="1:12">
      <c r="A930" s="140" t="str">
        <f t="shared" si="14"/>
        <v>05642-00108-08</v>
      </c>
      <c r="C930" s="172" t="s">
        <v>509</v>
      </c>
      <c r="D930" s="162" t="s">
        <v>2204</v>
      </c>
      <c r="E930" s="162" t="s">
        <v>2205</v>
      </c>
      <c r="F930" s="173" t="s">
        <v>2273</v>
      </c>
      <c r="G930" s="173" t="s">
        <v>2279</v>
      </c>
      <c r="H930" s="174">
        <v>8</v>
      </c>
      <c r="I930" s="144" t="s">
        <v>1199</v>
      </c>
      <c r="L930" s="143" t="s">
        <v>2285</v>
      </c>
    </row>
    <row r="931" spans="1:12">
      <c r="A931" s="140" t="str">
        <f t="shared" si="14"/>
        <v>05601-00139-06</v>
      </c>
      <c r="C931" s="172" t="s">
        <v>509</v>
      </c>
      <c r="D931" s="162" t="s">
        <v>2259</v>
      </c>
      <c r="F931" s="173" t="s">
        <v>2273</v>
      </c>
      <c r="G931" s="173" t="s">
        <v>2286</v>
      </c>
      <c r="H931" s="174">
        <v>6</v>
      </c>
      <c r="I931" s="144" t="s">
        <v>2288</v>
      </c>
      <c r="L931" s="143" t="s">
        <v>2290</v>
      </c>
    </row>
    <row r="932" spans="1:12">
      <c r="A932" s="140" t="str">
        <f t="shared" si="14"/>
        <v>05601-00282-05</v>
      </c>
      <c r="C932" s="172" t="s">
        <v>509</v>
      </c>
      <c r="D932" s="162" t="s">
        <v>2259</v>
      </c>
      <c r="F932" s="173" t="s">
        <v>2273</v>
      </c>
      <c r="G932" s="173" t="s">
        <v>2287</v>
      </c>
      <c r="H932" s="174">
        <v>5</v>
      </c>
      <c r="I932" s="144" t="s">
        <v>2289</v>
      </c>
      <c r="L932" s="143" t="s">
        <v>2290</v>
      </c>
    </row>
    <row r="933" spans="1:12">
      <c r="A933" s="140" t="str">
        <f t="shared" si="14"/>
        <v>-00</v>
      </c>
    </row>
    <row r="934" spans="1:12">
      <c r="A934" s="140" t="str">
        <f t="shared" si="14"/>
        <v>-00</v>
      </c>
    </row>
    <row r="935" spans="1:12">
      <c r="A935" s="140" t="str">
        <f t="shared" si="14"/>
        <v>-00</v>
      </c>
    </row>
    <row r="936" spans="1:12">
      <c r="A936" s="140" t="str">
        <f t="shared" si="14"/>
        <v>-00</v>
      </c>
    </row>
  </sheetData>
  <autoFilter ref="A1:O914" xr:uid="{64A729B8-C4D0-4CE2-9108-57EB31D6998F}"/>
  <sortState xmlns:xlrd2="http://schemas.microsoft.com/office/spreadsheetml/2017/richdata2" ref="A2:O886">
    <sortCondition ref="G2:G886"/>
    <sortCondition ref="D2:D886"/>
  </sortState>
  <phoneticPr fontId="1"/>
  <conditionalFormatting sqref="A1:A1048576">
    <cfRule type="duplicateValues" dxfId="3" priority="7"/>
    <cfRule type="duplicateValues" dxfId="2" priority="8"/>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F3FAF-CA73-438B-8BC3-5C3841A3CDA0}">
  <sheetPr codeName="Sheet1" filterMode="1"/>
  <dimension ref="A1:X1595"/>
  <sheetViews>
    <sheetView tabSelected="1" zoomScaleNormal="100" workbookViewId="0">
      <pane ySplit="1" topLeftCell="A462" activePane="bottomLeft" state="frozen"/>
      <selection activeCell="G227" sqref="C227:G244"/>
      <selection pane="bottomLeft" activeCell="E37" sqref="E37"/>
    </sheetView>
  </sheetViews>
  <sheetFormatPr defaultColWidth="15.375" defaultRowHeight="13.5"/>
  <cols>
    <col min="1" max="1" width="17" style="140" customWidth="1"/>
    <col min="2" max="3" width="16.125" style="162" customWidth="1"/>
    <col min="4" max="4" width="8.25" style="162" customWidth="1"/>
    <col min="5" max="5" width="22.125" style="162" customWidth="1"/>
    <col min="6" max="6" width="10" style="171" bestFit="1" customWidth="1"/>
    <col min="7" max="7" width="13.75" style="141" customWidth="1"/>
    <col min="8" max="8" width="7.5" style="174" bestFit="1" customWidth="1"/>
    <col min="9" max="9" width="15.25" style="210" customWidth="1"/>
    <col min="10" max="11" width="8.875" style="174" customWidth="1"/>
    <col min="12" max="12" width="8.875" style="187" customWidth="1"/>
    <col min="13" max="13" width="13.125" style="217" customWidth="1"/>
    <col min="14" max="14" width="29.625" style="183" bestFit="1" customWidth="1"/>
    <col min="15" max="15" width="39.75" style="143" customWidth="1"/>
    <col min="16" max="16" width="10" style="144" customWidth="1"/>
    <col min="17" max="17" width="51.625" style="144" customWidth="1"/>
    <col min="18" max="18" width="63.125" style="144" customWidth="1"/>
    <col min="19" max="19" width="11.125" style="144" customWidth="1"/>
    <col min="20" max="20" width="16.75" style="145" bestFit="1" customWidth="1"/>
    <col min="21" max="21" width="24.375" style="144" customWidth="1"/>
    <col min="22" max="22" width="43.375" style="144" customWidth="1"/>
    <col min="23" max="23" width="26.75" style="144" customWidth="1"/>
    <col min="24" max="16384" width="15.375" style="144"/>
  </cols>
  <sheetData>
    <row r="1" spans="1:15" ht="42.75" customHeight="1">
      <c r="A1" s="140" t="s">
        <v>1998</v>
      </c>
      <c r="B1" s="162" t="s">
        <v>949</v>
      </c>
      <c r="C1" s="162" t="s">
        <v>547</v>
      </c>
      <c r="D1" s="162" t="s">
        <v>1121</v>
      </c>
      <c r="E1" s="162" t="s">
        <v>1848</v>
      </c>
      <c r="F1" s="171" t="s">
        <v>1559</v>
      </c>
      <c r="G1" s="141" t="s">
        <v>251</v>
      </c>
      <c r="H1" s="174" t="s">
        <v>1849</v>
      </c>
      <c r="I1" s="210" t="s">
        <v>2</v>
      </c>
      <c r="J1" s="174" t="s">
        <v>477</v>
      </c>
      <c r="K1" s="174" t="s">
        <v>478</v>
      </c>
      <c r="L1" s="187" t="s">
        <v>1865</v>
      </c>
      <c r="M1" s="217" t="s">
        <v>1875</v>
      </c>
      <c r="N1" s="183" t="s">
        <v>1872</v>
      </c>
      <c r="O1" s="143" t="s">
        <v>953</v>
      </c>
    </row>
    <row r="2" spans="1:15" hidden="1">
      <c r="A2" s="140" t="str">
        <f>G2&amp;"-"&amp;TEXT(H2,"00")&amp;"-"&amp;I2</f>
        <v xml:space="preserve">	05742-00550-01-A27C</v>
      </c>
      <c r="F2" s="171" t="e">
        <f>_xlfn.XLOOKUP(#REF!,改定!A:A,改定!F:F,"")</f>
        <v>#REF!</v>
      </c>
      <c r="G2" s="141" t="s">
        <v>1145</v>
      </c>
      <c r="H2" s="174">
        <v>1</v>
      </c>
      <c r="I2" s="186" t="s">
        <v>1139</v>
      </c>
      <c r="K2" s="174">
        <v>4</v>
      </c>
      <c r="L2" s="187" t="s">
        <v>1140</v>
      </c>
    </row>
    <row r="3" spans="1:15" hidden="1">
      <c r="A3" s="140" t="str">
        <f t="shared" ref="A3:A65" si="0">G3&amp;"-"&amp;TEXT(H3,"00")&amp;"-"&amp;I3</f>
        <v>03242-00069-00-E2F</v>
      </c>
      <c r="B3" s="162" t="s">
        <v>1119</v>
      </c>
      <c r="C3" s="162" t="s">
        <v>1787</v>
      </c>
      <c r="D3" s="162" t="s">
        <v>1122</v>
      </c>
      <c r="F3" s="171">
        <v>55600</v>
      </c>
      <c r="G3" s="141" t="s">
        <v>173</v>
      </c>
      <c r="H3" s="174">
        <v>0</v>
      </c>
      <c r="I3" s="186" t="s">
        <v>958</v>
      </c>
    </row>
    <row r="4" spans="1:15" hidden="1">
      <c r="A4" s="140" t="str">
        <f t="shared" si="0"/>
        <v>03342-00130-00-E3F</v>
      </c>
      <c r="B4" s="162" t="s">
        <v>1119</v>
      </c>
      <c r="C4" s="162" t="s">
        <v>1787</v>
      </c>
      <c r="D4" s="162" t="s">
        <v>1122</v>
      </c>
      <c r="F4" s="171">
        <v>60819</v>
      </c>
      <c r="G4" s="141" t="s">
        <v>181</v>
      </c>
      <c r="H4" s="174">
        <v>0</v>
      </c>
      <c r="I4" s="186" t="s">
        <v>174</v>
      </c>
      <c r="L4" s="187" t="s">
        <v>950</v>
      </c>
      <c r="N4" s="183" t="s">
        <v>1876</v>
      </c>
    </row>
    <row r="5" spans="1:15" hidden="1">
      <c r="A5" s="140" t="str">
        <f t="shared" si="0"/>
        <v>03342-00130-01-A3F</v>
      </c>
      <c r="B5" s="162" t="s">
        <v>1119</v>
      </c>
      <c r="C5" s="162" t="s">
        <v>1787</v>
      </c>
      <c r="D5" s="162" t="s">
        <v>1122</v>
      </c>
      <c r="F5" s="171">
        <v>62887</v>
      </c>
      <c r="G5" s="141" t="s">
        <v>1148</v>
      </c>
      <c r="H5" s="174">
        <v>1</v>
      </c>
      <c r="I5" s="210" t="s">
        <v>1150</v>
      </c>
      <c r="J5" s="174">
        <v>699</v>
      </c>
      <c r="M5" s="217" t="s">
        <v>1096</v>
      </c>
      <c r="N5" s="183" t="s">
        <v>1877</v>
      </c>
      <c r="O5" s="143" t="s">
        <v>1151</v>
      </c>
    </row>
    <row r="6" spans="1:15" hidden="1">
      <c r="A6" s="140" t="str">
        <f t="shared" si="0"/>
        <v>03342-00163-00-E3F</v>
      </c>
      <c r="B6" s="162" t="s">
        <v>1119</v>
      </c>
      <c r="C6" s="162" t="s">
        <v>1787</v>
      </c>
      <c r="D6" s="162" t="s">
        <v>1122</v>
      </c>
      <c r="F6" s="171">
        <v>49119</v>
      </c>
      <c r="G6" s="141" t="s">
        <v>179</v>
      </c>
      <c r="H6" s="174">
        <v>0</v>
      </c>
      <c r="I6" s="186" t="s">
        <v>174</v>
      </c>
      <c r="N6" s="183" t="s">
        <v>1878</v>
      </c>
    </row>
    <row r="7" spans="1:15" hidden="1">
      <c r="A7" s="140" t="str">
        <f t="shared" si="0"/>
        <v>03342-00252-00-E3F</v>
      </c>
      <c r="B7" s="162" t="s">
        <v>1119</v>
      </c>
      <c r="C7" s="162" t="s">
        <v>1787</v>
      </c>
      <c r="D7" s="162" t="s">
        <v>1122</v>
      </c>
      <c r="F7" s="171">
        <v>50187</v>
      </c>
      <c r="G7" s="141" t="s">
        <v>177</v>
      </c>
      <c r="H7" s="174">
        <v>0</v>
      </c>
      <c r="I7" s="186" t="s">
        <v>893</v>
      </c>
      <c r="J7" s="174">
        <v>10</v>
      </c>
      <c r="L7" s="149" t="s">
        <v>950</v>
      </c>
      <c r="M7" s="185"/>
      <c r="N7" s="183" t="s">
        <v>1879</v>
      </c>
    </row>
    <row r="8" spans="1:15" hidden="1">
      <c r="A8" s="140" t="str">
        <f t="shared" si="0"/>
        <v>03342-00252-01-E3F</v>
      </c>
      <c r="B8" s="162" t="s">
        <v>1119</v>
      </c>
      <c r="C8" s="162" t="s">
        <v>1787</v>
      </c>
      <c r="D8" s="162" t="s">
        <v>1122</v>
      </c>
      <c r="F8" s="171">
        <v>51443</v>
      </c>
      <c r="G8" s="141" t="s">
        <v>177</v>
      </c>
      <c r="H8" s="174">
        <v>1</v>
      </c>
      <c r="I8" s="186" t="s">
        <v>174</v>
      </c>
      <c r="L8" s="187" t="s">
        <v>950</v>
      </c>
    </row>
    <row r="9" spans="1:15" hidden="1">
      <c r="A9" s="140" t="str">
        <f t="shared" si="0"/>
        <v>03342-00252-02-E3F</v>
      </c>
      <c r="B9" s="162" t="s">
        <v>1119</v>
      </c>
      <c r="C9" s="162" t="s">
        <v>1787</v>
      </c>
      <c r="D9" s="162" t="s">
        <v>1122</v>
      </c>
      <c r="F9" s="171">
        <v>51681</v>
      </c>
      <c r="G9" s="141" t="s">
        <v>177</v>
      </c>
      <c r="H9" s="174">
        <v>2</v>
      </c>
      <c r="I9" s="186" t="s">
        <v>912</v>
      </c>
      <c r="J9" s="174">
        <v>10</v>
      </c>
      <c r="L9" s="187" t="s">
        <v>950</v>
      </c>
    </row>
    <row r="10" spans="1:15" hidden="1">
      <c r="A10" s="140" t="str">
        <f t="shared" si="0"/>
        <v>03342-00252-03-E3F</v>
      </c>
      <c r="B10" s="162" t="s">
        <v>1119</v>
      </c>
      <c r="C10" s="162" t="s">
        <v>1787</v>
      </c>
      <c r="D10" s="162" t="s">
        <v>1122</v>
      </c>
      <c r="F10" s="171">
        <v>53560</v>
      </c>
      <c r="G10" s="141" t="s">
        <v>177</v>
      </c>
      <c r="H10" s="174">
        <v>3</v>
      </c>
      <c r="I10" s="186" t="s">
        <v>174</v>
      </c>
      <c r="J10" s="174">
        <v>36</v>
      </c>
      <c r="K10" s="174">
        <v>36</v>
      </c>
      <c r="L10" s="187" t="s">
        <v>950</v>
      </c>
    </row>
    <row r="11" spans="1:15" hidden="1">
      <c r="A11" s="140" t="str">
        <f t="shared" si="0"/>
        <v>03342-00252-04-E3F</v>
      </c>
      <c r="B11" s="162" t="s">
        <v>1119</v>
      </c>
      <c r="C11" s="162" t="s">
        <v>1787</v>
      </c>
      <c r="D11" s="162" t="s">
        <v>1122</v>
      </c>
      <c r="F11" s="171">
        <v>54076</v>
      </c>
      <c r="G11" s="141" t="s">
        <v>177</v>
      </c>
      <c r="H11" s="174">
        <v>4</v>
      </c>
      <c r="I11" s="186" t="s">
        <v>174</v>
      </c>
      <c r="J11" s="174">
        <v>40</v>
      </c>
      <c r="K11" s="174">
        <v>34</v>
      </c>
      <c r="L11" s="149"/>
      <c r="M11" s="185"/>
    </row>
    <row r="12" spans="1:15" hidden="1">
      <c r="A12" s="140" t="str">
        <f t="shared" si="0"/>
        <v>03342-00252-05-E3F</v>
      </c>
      <c r="B12" s="162" t="s">
        <v>1119</v>
      </c>
      <c r="C12" s="162" t="s">
        <v>1787</v>
      </c>
      <c r="D12" s="162" t="s">
        <v>1122</v>
      </c>
      <c r="F12" s="171">
        <v>54209</v>
      </c>
      <c r="G12" s="141" t="s">
        <v>177</v>
      </c>
      <c r="H12" s="174">
        <v>5</v>
      </c>
      <c r="I12" s="186" t="s">
        <v>174</v>
      </c>
      <c r="J12" s="174">
        <v>40</v>
      </c>
      <c r="K12" s="174">
        <v>34</v>
      </c>
      <c r="L12" s="149"/>
      <c r="M12" s="185"/>
    </row>
    <row r="13" spans="1:15" hidden="1">
      <c r="A13" s="140" t="str">
        <f t="shared" si="0"/>
        <v>03342-00252-06-E3F</v>
      </c>
      <c r="B13" s="162" t="s">
        <v>1119</v>
      </c>
      <c r="C13" s="162" t="s">
        <v>1787</v>
      </c>
      <c r="D13" s="162" t="s">
        <v>1122</v>
      </c>
      <c r="F13" s="171">
        <v>54603</v>
      </c>
      <c r="G13" s="141" t="s">
        <v>177</v>
      </c>
      <c r="H13" s="174">
        <v>6</v>
      </c>
      <c r="I13" s="186" t="s">
        <v>174</v>
      </c>
      <c r="J13" s="174">
        <v>81</v>
      </c>
      <c r="K13" s="174">
        <v>81</v>
      </c>
      <c r="L13" s="149"/>
      <c r="M13" s="185"/>
    </row>
    <row r="14" spans="1:15" hidden="1">
      <c r="A14" s="140" t="str">
        <f t="shared" si="0"/>
        <v>03342-00252-07-E3F</v>
      </c>
      <c r="B14" s="162" t="s">
        <v>1119</v>
      </c>
      <c r="C14" s="162" t="s">
        <v>1787</v>
      </c>
      <c r="D14" s="162" t="s">
        <v>1122</v>
      </c>
      <c r="F14" s="171">
        <v>55548</v>
      </c>
      <c r="G14" s="141" t="s">
        <v>177</v>
      </c>
      <c r="H14" s="174">
        <v>7</v>
      </c>
      <c r="I14" s="186" t="s">
        <v>174</v>
      </c>
    </row>
    <row r="15" spans="1:15" ht="27" hidden="1">
      <c r="A15" s="140" t="str">
        <f t="shared" si="0"/>
        <v>03342-00503-00-E3F</v>
      </c>
      <c r="B15" s="162" t="s">
        <v>1119</v>
      </c>
      <c r="C15" s="162" t="s">
        <v>1787</v>
      </c>
      <c r="D15" s="162" t="s">
        <v>1122</v>
      </c>
      <c r="F15" s="171" t="s">
        <v>1722</v>
      </c>
      <c r="G15" s="141" t="s">
        <v>1720</v>
      </c>
      <c r="H15" s="174">
        <v>0</v>
      </c>
      <c r="I15" s="186" t="s">
        <v>1725</v>
      </c>
      <c r="J15" s="174">
        <v>468</v>
      </c>
      <c r="M15" s="217" t="s">
        <v>1726</v>
      </c>
      <c r="N15" s="183" t="s">
        <v>1880</v>
      </c>
    </row>
    <row r="16" spans="1:15" hidden="1">
      <c r="A16" s="140" t="str">
        <f t="shared" si="0"/>
        <v>03342-00503-01-E3F</v>
      </c>
      <c r="B16" s="162" t="s">
        <v>1119</v>
      </c>
      <c r="C16" s="162" t="s">
        <v>1787</v>
      </c>
      <c r="D16" s="162" t="s">
        <v>1122</v>
      </c>
      <c r="F16" s="171">
        <v>61467</v>
      </c>
      <c r="G16" s="141" t="s">
        <v>1720</v>
      </c>
      <c r="H16" s="174">
        <v>1</v>
      </c>
      <c r="I16" s="186" t="s">
        <v>1725</v>
      </c>
      <c r="J16" s="174" t="s">
        <v>1588</v>
      </c>
      <c r="K16" s="174" t="s">
        <v>1588</v>
      </c>
      <c r="M16" s="217" t="s">
        <v>448</v>
      </c>
    </row>
    <row r="17" spans="1:24" ht="27" hidden="1">
      <c r="A17" s="140" t="str">
        <f t="shared" si="0"/>
        <v>03342-00535-00-E3F</v>
      </c>
      <c r="B17" s="162" t="s">
        <v>1119</v>
      </c>
      <c r="C17" s="162" t="s">
        <v>1787</v>
      </c>
      <c r="D17" s="162" t="s">
        <v>1122</v>
      </c>
      <c r="F17" s="171">
        <v>62888</v>
      </c>
      <c r="G17" s="141" t="s">
        <v>1051</v>
      </c>
      <c r="H17" s="174">
        <v>0</v>
      </c>
      <c r="I17" s="186" t="s">
        <v>1114</v>
      </c>
      <c r="M17" s="217" t="s">
        <v>1057</v>
      </c>
      <c r="N17" s="183" t="s">
        <v>1881</v>
      </c>
    </row>
    <row r="18" spans="1:24" ht="40.5" hidden="1">
      <c r="A18" s="140" t="str">
        <f t="shared" si="0"/>
        <v>03442-00020-00-A4E</v>
      </c>
      <c r="B18" s="162" t="s">
        <v>1119</v>
      </c>
      <c r="C18" s="162" t="s">
        <v>1787</v>
      </c>
      <c r="D18" s="162" t="s">
        <v>1122</v>
      </c>
      <c r="F18" s="171">
        <v>46368</v>
      </c>
      <c r="G18" s="141" t="s">
        <v>133</v>
      </c>
      <c r="H18" s="174">
        <v>0</v>
      </c>
      <c r="I18" s="190" t="s">
        <v>385</v>
      </c>
      <c r="N18" s="183" t="s">
        <v>1882</v>
      </c>
      <c r="P18" s="155"/>
      <c r="R18" s="151"/>
      <c r="S18" s="147"/>
      <c r="T18" s="148"/>
      <c r="X18" s="150"/>
    </row>
    <row r="19" spans="1:24" hidden="1">
      <c r="A19" s="140" t="str">
        <f t="shared" si="0"/>
        <v>03442-00020-01-A4E</v>
      </c>
      <c r="B19" s="162" t="s">
        <v>1119</v>
      </c>
      <c r="C19" s="162" t="s">
        <v>1787</v>
      </c>
      <c r="D19" s="162" t="s">
        <v>1122</v>
      </c>
      <c r="F19" s="171">
        <v>48070</v>
      </c>
      <c r="G19" s="141" t="s">
        <v>133</v>
      </c>
      <c r="H19" s="174">
        <v>1</v>
      </c>
      <c r="I19" s="190" t="s">
        <v>385</v>
      </c>
      <c r="J19" s="174">
        <v>8</v>
      </c>
      <c r="L19" s="149"/>
      <c r="M19" s="185"/>
      <c r="P19" s="155"/>
      <c r="R19" s="146"/>
      <c r="S19" s="147"/>
      <c r="T19" s="148"/>
    </row>
    <row r="20" spans="1:24" hidden="1">
      <c r="A20" s="140" t="str">
        <f t="shared" si="0"/>
        <v>03442-00020-01-A4F</v>
      </c>
      <c r="B20" s="162" t="s">
        <v>1119</v>
      </c>
      <c r="C20" s="162" t="s">
        <v>1787</v>
      </c>
      <c r="D20" s="162" t="s">
        <v>1122</v>
      </c>
      <c r="F20" s="171">
        <v>48070</v>
      </c>
      <c r="G20" s="141" t="s">
        <v>133</v>
      </c>
      <c r="H20" s="174">
        <v>1</v>
      </c>
      <c r="I20" s="186" t="s">
        <v>1995</v>
      </c>
      <c r="P20" s="155"/>
      <c r="R20" s="146"/>
      <c r="S20" s="147"/>
      <c r="T20" s="148"/>
    </row>
    <row r="21" spans="1:24" hidden="1">
      <c r="A21" s="140" t="str">
        <f t="shared" si="0"/>
        <v>03442-00020-03-J4B</v>
      </c>
      <c r="B21" s="162" t="s">
        <v>1119</v>
      </c>
      <c r="C21" s="162" t="s">
        <v>1787</v>
      </c>
      <c r="D21" s="162" t="s">
        <v>1122</v>
      </c>
      <c r="F21" s="171">
        <v>51091</v>
      </c>
      <c r="G21" s="141" t="s">
        <v>133</v>
      </c>
      <c r="H21" s="174">
        <v>3</v>
      </c>
      <c r="I21" s="186" t="s">
        <v>905</v>
      </c>
      <c r="J21" s="174">
        <v>1</v>
      </c>
      <c r="K21" s="174">
        <v>5</v>
      </c>
      <c r="L21" s="149"/>
      <c r="M21" s="185"/>
    </row>
    <row r="22" spans="1:24" hidden="1">
      <c r="A22" s="140" t="str">
        <f t="shared" si="0"/>
        <v>03442-00020-03-A4F</v>
      </c>
      <c r="B22" s="162" t="s">
        <v>1119</v>
      </c>
      <c r="C22" s="162" t="s">
        <v>1787</v>
      </c>
      <c r="D22" s="162" t="s">
        <v>1122</v>
      </c>
      <c r="F22" s="171">
        <v>51091</v>
      </c>
      <c r="G22" s="141" t="s">
        <v>133</v>
      </c>
      <c r="H22" s="174">
        <v>3</v>
      </c>
      <c r="I22" s="186" t="s">
        <v>1995</v>
      </c>
      <c r="J22" s="174">
        <v>6</v>
      </c>
      <c r="K22" s="174">
        <v>6</v>
      </c>
      <c r="L22" s="149"/>
      <c r="M22" s="185"/>
    </row>
    <row r="23" spans="1:24" hidden="1">
      <c r="A23" s="140" t="str">
        <f t="shared" si="0"/>
        <v>03442-00020-03-A4E</v>
      </c>
      <c r="B23" s="162" t="s">
        <v>1119</v>
      </c>
      <c r="C23" s="162" t="s">
        <v>1787</v>
      </c>
      <c r="D23" s="162" t="s">
        <v>1122</v>
      </c>
      <c r="F23" s="171">
        <v>51091</v>
      </c>
      <c r="G23" s="141" t="s">
        <v>133</v>
      </c>
      <c r="H23" s="174">
        <v>3</v>
      </c>
      <c r="I23" s="186" t="s">
        <v>906</v>
      </c>
      <c r="J23" s="174">
        <v>3559</v>
      </c>
      <c r="K23" s="174">
        <v>3564</v>
      </c>
      <c r="L23" s="149"/>
      <c r="M23" s="185"/>
    </row>
    <row r="24" spans="1:24" hidden="1">
      <c r="A24" s="140" t="str">
        <f t="shared" si="0"/>
        <v>03442-00020-04-J4B</v>
      </c>
      <c r="B24" s="162" t="s">
        <v>1119</v>
      </c>
      <c r="C24" s="162" t="s">
        <v>1787</v>
      </c>
      <c r="D24" s="162" t="s">
        <v>1122</v>
      </c>
      <c r="F24" s="171">
        <v>51447</v>
      </c>
      <c r="G24" s="141" t="s">
        <v>133</v>
      </c>
      <c r="H24" s="174">
        <v>4</v>
      </c>
      <c r="I24" s="186" t="s">
        <v>905</v>
      </c>
    </row>
    <row r="25" spans="1:24" hidden="1">
      <c r="A25" s="140" t="str">
        <f t="shared" si="0"/>
        <v>03442-00020-04-A4F</v>
      </c>
      <c r="B25" s="162" t="s">
        <v>1119</v>
      </c>
      <c r="C25" s="162" t="s">
        <v>1787</v>
      </c>
      <c r="D25" s="162" t="s">
        <v>1122</v>
      </c>
      <c r="F25" s="171">
        <v>51447</v>
      </c>
      <c r="G25" s="141" t="s">
        <v>133</v>
      </c>
      <c r="H25" s="174">
        <v>4</v>
      </c>
      <c r="I25" s="186" t="s">
        <v>1995</v>
      </c>
    </row>
    <row r="26" spans="1:24" hidden="1">
      <c r="A26" s="140" t="str">
        <f t="shared" si="0"/>
        <v>03442-00020-04-A4E</v>
      </c>
      <c r="B26" s="162" t="s">
        <v>1119</v>
      </c>
      <c r="C26" s="162" t="s">
        <v>1787</v>
      </c>
      <c r="D26" s="162" t="s">
        <v>1122</v>
      </c>
      <c r="F26" s="171">
        <v>51447</v>
      </c>
      <c r="G26" s="141" t="s">
        <v>133</v>
      </c>
      <c r="H26" s="174">
        <v>4</v>
      </c>
      <c r="I26" s="190" t="s">
        <v>385</v>
      </c>
      <c r="J26" s="174">
        <v>4357</v>
      </c>
      <c r="K26" s="174">
        <v>4474</v>
      </c>
      <c r="L26" s="149"/>
      <c r="M26" s="185"/>
    </row>
    <row r="27" spans="1:24" hidden="1">
      <c r="A27" s="140" t="str">
        <f t="shared" si="0"/>
        <v>03442-00020-05-J4B</v>
      </c>
      <c r="B27" s="162" t="s">
        <v>1119</v>
      </c>
      <c r="C27" s="162" t="s">
        <v>1787</v>
      </c>
      <c r="D27" s="162" t="s">
        <v>1122</v>
      </c>
      <c r="F27" s="171">
        <v>52170</v>
      </c>
      <c r="G27" s="141" t="s">
        <v>133</v>
      </c>
      <c r="H27" s="174">
        <v>5</v>
      </c>
      <c r="I27" s="186" t="s">
        <v>919</v>
      </c>
    </row>
    <row r="28" spans="1:24" hidden="1">
      <c r="A28" s="140" t="str">
        <f t="shared" si="0"/>
        <v>03442-00020-05-A4F</v>
      </c>
      <c r="B28" s="162" t="s">
        <v>1119</v>
      </c>
      <c r="C28" s="162" t="s">
        <v>1787</v>
      </c>
      <c r="D28" s="162" t="s">
        <v>1122</v>
      </c>
      <c r="F28" s="171">
        <v>52170</v>
      </c>
      <c r="G28" s="141" t="s">
        <v>133</v>
      </c>
      <c r="H28" s="174">
        <v>5</v>
      </c>
      <c r="I28" s="186" t="s">
        <v>1995</v>
      </c>
    </row>
    <row r="29" spans="1:24" hidden="1">
      <c r="A29" s="140" t="str">
        <f t="shared" si="0"/>
        <v>03442-00020-05-A4E</v>
      </c>
      <c r="B29" s="162" t="s">
        <v>1119</v>
      </c>
      <c r="C29" s="162" t="s">
        <v>1787</v>
      </c>
      <c r="D29" s="162" t="s">
        <v>1122</v>
      </c>
      <c r="F29" s="171">
        <v>52170</v>
      </c>
      <c r="G29" s="141" t="s">
        <v>133</v>
      </c>
      <c r="H29" s="174">
        <v>5</v>
      </c>
      <c r="I29" s="186" t="s">
        <v>920</v>
      </c>
    </row>
    <row r="30" spans="1:24" hidden="1">
      <c r="A30" s="140" t="str">
        <f t="shared" si="0"/>
        <v>03442-00020-06-J4B</v>
      </c>
      <c r="B30" s="162" t="s">
        <v>1119</v>
      </c>
      <c r="C30" s="162" t="s">
        <v>1787</v>
      </c>
      <c r="D30" s="162" t="s">
        <v>1122</v>
      </c>
      <c r="F30" s="171">
        <v>52931</v>
      </c>
      <c r="G30" s="141" t="s">
        <v>133</v>
      </c>
      <c r="H30" s="174">
        <v>6</v>
      </c>
      <c r="I30" s="186" t="s">
        <v>905</v>
      </c>
      <c r="K30" s="174">
        <v>5</v>
      </c>
      <c r="L30" s="149"/>
      <c r="M30" s="185"/>
    </row>
    <row r="31" spans="1:24" hidden="1">
      <c r="A31" s="140" t="str">
        <f t="shared" si="0"/>
        <v>03442-00020-06-A4F</v>
      </c>
      <c r="B31" s="162" t="s">
        <v>1119</v>
      </c>
      <c r="C31" s="162" t="s">
        <v>1787</v>
      </c>
      <c r="D31" s="162" t="s">
        <v>1122</v>
      </c>
      <c r="F31" s="171">
        <v>52931</v>
      </c>
      <c r="G31" s="141" t="s">
        <v>133</v>
      </c>
      <c r="H31" s="174">
        <v>6</v>
      </c>
      <c r="I31" s="186" t="s">
        <v>1995</v>
      </c>
    </row>
    <row r="32" spans="1:24" hidden="1">
      <c r="A32" s="140" t="str">
        <f t="shared" si="0"/>
        <v>03442-00020-06-A4E</v>
      </c>
      <c r="B32" s="162" t="s">
        <v>1119</v>
      </c>
      <c r="C32" s="162" t="s">
        <v>1787</v>
      </c>
      <c r="D32" s="162" t="s">
        <v>1122</v>
      </c>
      <c r="F32" s="171">
        <v>52931</v>
      </c>
      <c r="G32" s="141" t="s">
        <v>133</v>
      </c>
      <c r="H32" s="174">
        <v>6</v>
      </c>
      <c r="I32" s="190" t="s">
        <v>385</v>
      </c>
    </row>
    <row r="33" spans="1:20" hidden="1">
      <c r="A33" s="140" t="str">
        <f t="shared" si="0"/>
        <v>03442-00020-07-J4B</v>
      </c>
      <c r="B33" s="162" t="s">
        <v>1119</v>
      </c>
      <c r="C33" s="162" t="s">
        <v>1787</v>
      </c>
      <c r="D33" s="162" t="s">
        <v>1122</v>
      </c>
      <c r="F33" s="171">
        <v>53099</v>
      </c>
      <c r="G33" s="141" t="s">
        <v>133</v>
      </c>
      <c r="H33" s="174">
        <v>7</v>
      </c>
      <c r="I33" s="186" t="s">
        <v>905</v>
      </c>
      <c r="J33" s="174">
        <v>334</v>
      </c>
      <c r="K33" s="174">
        <v>334</v>
      </c>
      <c r="L33" s="149"/>
      <c r="M33" s="185"/>
    </row>
    <row r="34" spans="1:20" hidden="1">
      <c r="A34" s="140" t="str">
        <f t="shared" si="0"/>
        <v>03442-00020-07-A4F</v>
      </c>
      <c r="B34" s="162" t="s">
        <v>1119</v>
      </c>
      <c r="C34" s="162" t="s">
        <v>1787</v>
      </c>
      <c r="D34" s="162" t="s">
        <v>1122</v>
      </c>
      <c r="F34" s="171">
        <v>53099</v>
      </c>
      <c r="G34" s="141" t="s">
        <v>133</v>
      </c>
      <c r="H34" s="174">
        <v>7</v>
      </c>
      <c r="I34" s="186" t="s">
        <v>1995</v>
      </c>
      <c r="J34" s="174">
        <v>166</v>
      </c>
      <c r="K34" s="174">
        <v>166</v>
      </c>
      <c r="L34" s="149"/>
      <c r="M34" s="185"/>
    </row>
    <row r="35" spans="1:20" hidden="1">
      <c r="A35" s="140" t="str">
        <f t="shared" si="0"/>
        <v>03442-00020-07-A4E</v>
      </c>
      <c r="B35" s="162" t="s">
        <v>1119</v>
      </c>
      <c r="C35" s="162" t="s">
        <v>1787</v>
      </c>
      <c r="D35" s="162" t="s">
        <v>1122</v>
      </c>
      <c r="F35" s="171">
        <v>53099</v>
      </c>
      <c r="G35" s="141" t="s">
        <v>133</v>
      </c>
      <c r="H35" s="174">
        <v>7</v>
      </c>
      <c r="I35" s="190" t="s">
        <v>385</v>
      </c>
      <c r="J35" s="174">
        <v>5836</v>
      </c>
      <c r="K35" s="174">
        <v>5836</v>
      </c>
      <c r="L35" s="149"/>
      <c r="M35" s="185"/>
    </row>
    <row r="36" spans="1:20" ht="27" hidden="1">
      <c r="A36" s="140" t="str">
        <f t="shared" si="0"/>
        <v>03442-00020-08-A4F</v>
      </c>
      <c r="B36" s="162" t="s">
        <v>1119</v>
      </c>
      <c r="C36" s="162" t="s">
        <v>1787</v>
      </c>
      <c r="D36" s="162" t="s">
        <v>1122</v>
      </c>
      <c r="F36" s="171">
        <v>54464</v>
      </c>
      <c r="G36" s="141" t="s">
        <v>133</v>
      </c>
      <c r="H36" s="174">
        <v>8</v>
      </c>
      <c r="I36" s="186" t="s">
        <v>1995</v>
      </c>
      <c r="J36" s="174">
        <v>316</v>
      </c>
      <c r="K36" s="174">
        <v>316</v>
      </c>
      <c r="L36" s="149"/>
      <c r="M36" s="185" t="s">
        <v>1813</v>
      </c>
      <c r="N36" s="183" t="s">
        <v>1883</v>
      </c>
    </row>
    <row r="37" spans="1:20" hidden="1">
      <c r="A37" s="140" t="str">
        <f t="shared" si="0"/>
        <v>03442-00020-09-J4B</v>
      </c>
      <c r="B37" s="162" t="s">
        <v>1119</v>
      </c>
      <c r="C37" s="162" t="s">
        <v>1787</v>
      </c>
      <c r="D37" s="162" t="s">
        <v>1122</v>
      </c>
      <c r="F37" s="171">
        <v>55511</v>
      </c>
      <c r="G37" s="141" t="s">
        <v>133</v>
      </c>
      <c r="H37" s="174">
        <v>9</v>
      </c>
      <c r="I37" s="186" t="s">
        <v>905</v>
      </c>
      <c r="M37" s="217" t="s">
        <v>386</v>
      </c>
    </row>
    <row r="38" spans="1:20" hidden="1">
      <c r="A38" s="140" t="str">
        <f t="shared" si="0"/>
        <v>03442-00020-09-A4F</v>
      </c>
      <c r="B38" s="162" t="s">
        <v>1119</v>
      </c>
      <c r="C38" s="162" t="s">
        <v>1787</v>
      </c>
      <c r="D38" s="162" t="s">
        <v>1122</v>
      </c>
      <c r="F38" s="171">
        <v>55511</v>
      </c>
      <c r="G38" s="141" t="s">
        <v>133</v>
      </c>
      <c r="H38" s="174">
        <v>9</v>
      </c>
      <c r="I38" s="186" t="s">
        <v>1995</v>
      </c>
      <c r="M38" s="217" t="s">
        <v>386</v>
      </c>
    </row>
    <row r="39" spans="1:20" hidden="1">
      <c r="A39" s="140" t="str">
        <f t="shared" si="0"/>
        <v>03442-00020-09-A4E</v>
      </c>
      <c r="B39" s="162" t="s">
        <v>1119</v>
      </c>
      <c r="C39" s="162" t="s">
        <v>1787</v>
      </c>
      <c r="D39" s="162" t="s">
        <v>1122</v>
      </c>
      <c r="F39" s="171">
        <v>55511</v>
      </c>
      <c r="G39" s="141" t="s">
        <v>133</v>
      </c>
      <c r="H39" s="174">
        <v>9</v>
      </c>
      <c r="I39" s="186" t="s">
        <v>946</v>
      </c>
      <c r="M39" s="217" t="s">
        <v>386</v>
      </c>
    </row>
    <row r="40" spans="1:20" hidden="1">
      <c r="A40" s="140" t="str">
        <f t="shared" si="0"/>
        <v>03442-00195-00-J4B</v>
      </c>
      <c r="B40" s="162" t="s">
        <v>1119</v>
      </c>
      <c r="C40" s="162" t="s">
        <v>1787</v>
      </c>
      <c r="D40" s="162" t="s">
        <v>1122</v>
      </c>
      <c r="F40" s="171">
        <v>53559</v>
      </c>
      <c r="G40" s="141" t="s">
        <v>134</v>
      </c>
      <c r="H40" s="174">
        <v>0</v>
      </c>
      <c r="I40" s="186" t="s">
        <v>905</v>
      </c>
      <c r="J40" s="174">
        <v>591</v>
      </c>
      <c r="K40" s="174">
        <v>591</v>
      </c>
      <c r="L40" s="149"/>
      <c r="M40" s="185"/>
      <c r="N40" s="183" t="s">
        <v>387</v>
      </c>
    </row>
    <row r="41" spans="1:20" hidden="1">
      <c r="A41" s="140" t="str">
        <f t="shared" si="0"/>
        <v>03442-00195-01-J4B</v>
      </c>
      <c r="B41" s="162" t="s">
        <v>1119</v>
      </c>
      <c r="C41" s="162" t="s">
        <v>1787</v>
      </c>
      <c r="D41" s="162" t="s">
        <v>1122</v>
      </c>
      <c r="F41" s="171">
        <v>53774</v>
      </c>
      <c r="G41" s="141" t="s">
        <v>134</v>
      </c>
      <c r="H41" s="174">
        <v>1</v>
      </c>
      <c r="I41" s="186" t="s">
        <v>905</v>
      </c>
      <c r="J41" s="174">
        <v>591</v>
      </c>
      <c r="K41" s="174">
        <v>589</v>
      </c>
      <c r="L41" s="149"/>
      <c r="M41" s="185"/>
    </row>
    <row r="42" spans="1:20" hidden="1">
      <c r="A42" s="140" t="str">
        <f t="shared" si="0"/>
        <v>03442-00195-02-J4B</v>
      </c>
      <c r="B42" s="162" t="s">
        <v>1119</v>
      </c>
      <c r="C42" s="162" t="s">
        <v>1787</v>
      </c>
      <c r="D42" s="162" t="s">
        <v>1122</v>
      </c>
      <c r="F42" s="171">
        <v>54251</v>
      </c>
      <c r="G42" s="141" t="s">
        <v>134</v>
      </c>
      <c r="H42" s="174">
        <v>2</v>
      </c>
      <c r="I42" s="186" t="s">
        <v>905</v>
      </c>
      <c r="J42" s="174">
        <v>760</v>
      </c>
      <c r="K42" s="174">
        <v>760</v>
      </c>
      <c r="L42" s="149"/>
      <c r="M42" s="185"/>
    </row>
    <row r="43" spans="1:20" hidden="1">
      <c r="A43" s="140" t="str">
        <f t="shared" si="0"/>
        <v>03442-00195-03-J4B</v>
      </c>
      <c r="B43" s="162" t="s">
        <v>1119</v>
      </c>
      <c r="C43" s="162" t="s">
        <v>1787</v>
      </c>
      <c r="D43" s="162" t="s">
        <v>1122</v>
      </c>
      <c r="F43" s="171">
        <v>54353</v>
      </c>
      <c r="G43" s="141" t="s">
        <v>134</v>
      </c>
      <c r="H43" s="174">
        <v>3</v>
      </c>
      <c r="I43" s="186" t="s">
        <v>905</v>
      </c>
      <c r="J43" s="174">
        <v>760</v>
      </c>
      <c r="K43" s="174">
        <v>760</v>
      </c>
      <c r="L43" s="149"/>
      <c r="M43" s="185"/>
    </row>
    <row r="44" spans="1:20" ht="27" hidden="1">
      <c r="A44" s="140" t="str">
        <f t="shared" si="0"/>
        <v>03442-00195-04-J4B</v>
      </c>
      <c r="B44" s="162" t="s">
        <v>1119</v>
      </c>
      <c r="C44" s="162" t="s">
        <v>1787</v>
      </c>
      <c r="D44" s="162" t="s">
        <v>1122</v>
      </c>
      <c r="F44" s="171">
        <v>54464</v>
      </c>
      <c r="G44" s="141" t="s">
        <v>134</v>
      </c>
      <c r="H44" s="174">
        <v>4</v>
      </c>
      <c r="I44" s="186" t="s">
        <v>905</v>
      </c>
      <c r="J44" s="174">
        <v>1129</v>
      </c>
      <c r="K44" s="174">
        <v>1129</v>
      </c>
      <c r="L44" s="149"/>
      <c r="M44" s="185" t="s">
        <v>1158</v>
      </c>
      <c r="N44" s="183" t="s">
        <v>1883</v>
      </c>
    </row>
    <row r="45" spans="1:20" hidden="1">
      <c r="A45" s="140" t="str">
        <f t="shared" si="0"/>
        <v>03442-00195-05-J4B</v>
      </c>
      <c r="B45" s="162" t="s">
        <v>1119</v>
      </c>
      <c r="C45" s="162" t="s">
        <v>1787</v>
      </c>
      <c r="D45" s="162" t="s">
        <v>1122</v>
      </c>
      <c r="F45" s="171">
        <v>55511</v>
      </c>
      <c r="G45" s="141" t="s">
        <v>134</v>
      </c>
      <c r="H45" s="174">
        <v>5</v>
      </c>
      <c r="I45" s="186" t="s">
        <v>947</v>
      </c>
      <c r="M45" s="217" t="s">
        <v>388</v>
      </c>
    </row>
    <row r="46" spans="1:20" hidden="1">
      <c r="A46" s="140" t="str">
        <f t="shared" si="0"/>
        <v>03542-00020-02-A5F</v>
      </c>
      <c r="B46" s="162" t="s">
        <v>1119</v>
      </c>
      <c r="C46" s="162" t="s">
        <v>1787</v>
      </c>
      <c r="D46" s="162" t="s">
        <v>1122</v>
      </c>
      <c r="F46" s="171">
        <v>42988</v>
      </c>
      <c r="G46" s="141" t="s">
        <v>522</v>
      </c>
      <c r="H46" s="174">
        <v>2</v>
      </c>
      <c r="I46" s="188" t="s">
        <v>506</v>
      </c>
      <c r="J46" s="174">
        <v>3</v>
      </c>
      <c r="P46" s="142"/>
      <c r="R46" s="151"/>
      <c r="S46" s="147"/>
      <c r="T46" s="152"/>
    </row>
    <row r="47" spans="1:20" hidden="1">
      <c r="A47" s="140" t="str">
        <f t="shared" si="0"/>
        <v>03542-00020-02-A7F</v>
      </c>
      <c r="B47" s="162" t="s">
        <v>1119</v>
      </c>
      <c r="C47" s="162" t="s">
        <v>1787</v>
      </c>
      <c r="D47" s="162" t="s">
        <v>1122</v>
      </c>
      <c r="F47" s="171">
        <v>42988</v>
      </c>
      <c r="G47" s="141" t="s">
        <v>522</v>
      </c>
      <c r="H47" s="174">
        <v>2</v>
      </c>
      <c r="I47" s="188" t="s">
        <v>507</v>
      </c>
      <c r="J47" s="174">
        <v>1</v>
      </c>
      <c r="N47" s="184"/>
      <c r="P47" s="142"/>
      <c r="R47" s="151"/>
      <c r="S47" s="147"/>
      <c r="T47" s="152"/>
    </row>
    <row r="48" spans="1:20" hidden="1">
      <c r="A48" s="140" t="str">
        <f t="shared" si="0"/>
        <v>03542-00020-03-A5F</v>
      </c>
      <c r="B48" s="162" t="s">
        <v>1119</v>
      </c>
      <c r="C48" s="162" t="s">
        <v>1787</v>
      </c>
      <c r="D48" s="162" t="s">
        <v>1122</v>
      </c>
      <c r="F48" s="171">
        <v>43589</v>
      </c>
      <c r="G48" s="141" t="s">
        <v>137</v>
      </c>
      <c r="H48" s="174">
        <v>3</v>
      </c>
      <c r="I48" s="188" t="s">
        <v>506</v>
      </c>
      <c r="N48" s="184"/>
    </row>
    <row r="49" spans="1:24" hidden="1">
      <c r="A49" s="140" t="str">
        <f t="shared" si="0"/>
        <v>03542-00020-03-A7F</v>
      </c>
      <c r="B49" s="162" t="s">
        <v>1119</v>
      </c>
      <c r="C49" s="162" t="s">
        <v>1787</v>
      </c>
      <c r="D49" s="162" t="s">
        <v>1122</v>
      </c>
      <c r="F49" s="171">
        <v>43589</v>
      </c>
      <c r="G49" s="141" t="s">
        <v>137</v>
      </c>
      <c r="H49" s="174">
        <v>3</v>
      </c>
      <c r="I49" s="188" t="s">
        <v>507</v>
      </c>
      <c r="N49" s="184"/>
    </row>
    <row r="50" spans="1:24" hidden="1">
      <c r="A50" s="140" t="str">
        <f t="shared" si="0"/>
        <v>03542-00020-04-A5F</v>
      </c>
      <c r="B50" s="162" t="s">
        <v>1119</v>
      </c>
      <c r="C50" s="162" t="s">
        <v>1787</v>
      </c>
      <c r="D50" s="162" t="s">
        <v>1122</v>
      </c>
      <c r="F50" s="171">
        <v>43748</v>
      </c>
      <c r="G50" s="141" t="s">
        <v>522</v>
      </c>
      <c r="H50" s="174">
        <v>4</v>
      </c>
      <c r="I50" s="188" t="s">
        <v>506</v>
      </c>
      <c r="R50" s="146"/>
    </row>
    <row r="51" spans="1:24" hidden="1">
      <c r="A51" s="140" t="str">
        <f t="shared" si="0"/>
        <v>03542-00020-04-A7F</v>
      </c>
      <c r="B51" s="162" t="s">
        <v>1119</v>
      </c>
      <c r="C51" s="162" t="s">
        <v>1787</v>
      </c>
      <c r="D51" s="162" t="s">
        <v>1122</v>
      </c>
      <c r="F51" s="171">
        <v>43748</v>
      </c>
      <c r="G51" s="141" t="s">
        <v>522</v>
      </c>
      <c r="H51" s="174">
        <v>4</v>
      </c>
      <c r="I51" s="188" t="s">
        <v>507</v>
      </c>
      <c r="R51" s="146"/>
    </row>
    <row r="52" spans="1:24" hidden="1">
      <c r="A52" s="140" t="str">
        <f t="shared" si="0"/>
        <v>03542-00020-05-A6E</v>
      </c>
      <c r="B52" s="162" t="s">
        <v>1119</v>
      </c>
      <c r="C52" s="162" t="s">
        <v>1787</v>
      </c>
      <c r="D52" s="162" t="s">
        <v>1122</v>
      </c>
      <c r="F52" s="171">
        <v>46167</v>
      </c>
      <c r="G52" s="141" t="s">
        <v>137</v>
      </c>
      <c r="H52" s="174">
        <v>5</v>
      </c>
      <c r="I52" s="190" t="s">
        <v>819</v>
      </c>
      <c r="P52" s="155"/>
      <c r="R52" s="151"/>
      <c r="S52" s="147"/>
      <c r="T52" s="148"/>
    </row>
    <row r="53" spans="1:24" hidden="1">
      <c r="A53" s="140" t="str">
        <f t="shared" si="0"/>
        <v>03542-00020-05-A7F</v>
      </c>
      <c r="B53" s="162" t="s">
        <v>1119</v>
      </c>
      <c r="C53" s="162" t="s">
        <v>1787</v>
      </c>
      <c r="D53" s="162" t="s">
        <v>1122</v>
      </c>
      <c r="F53" s="171">
        <v>46167</v>
      </c>
      <c r="G53" s="141" t="s">
        <v>137</v>
      </c>
      <c r="H53" s="174">
        <v>5</v>
      </c>
      <c r="I53" s="190" t="s">
        <v>804</v>
      </c>
      <c r="J53" s="174">
        <v>795</v>
      </c>
      <c r="K53" s="174">
        <v>795</v>
      </c>
      <c r="L53" s="193"/>
      <c r="M53" s="218"/>
      <c r="P53" s="155"/>
      <c r="R53" s="151"/>
      <c r="S53" s="147"/>
      <c r="T53" s="148"/>
    </row>
    <row r="54" spans="1:24" hidden="1">
      <c r="A54" s="140" t="str">
        <f t="shared" si="0"/>
        <v>03542-00020-05-A5F</v>
      </c>
      <c r="B54" s="162" t="s">
        <v>1119</v>
      </c>
      <c r="C54" s="162" t="s">
        <v>1787</v>
      </c>
      <c r="D54" s="162" t="s">
        <v>1122</v>
      </c>
      <c r="F54" s="171">
        <v>46167</v>
      </c>
      <c r="G54" s="141" t="s">
        <v>137</v>
      </c>
      <c r="H54" s="174">
        <v>5</v>
      </c>
      <c r="I54" s="190" t="s">
        <v>803</v>
      </c>
      <c r="P54" s="155"/>
      <c r="R54" s="151"/>
      <c r="S54" s="147"/>
      <c r="T54" s="148"/>
    </row>
    <row r="55" spans="1:24" hidden="1">
      <c r="A55" s="140" t="str">
        <f t="shared" si="0"/>
        <v>03542-00020-05-A7G</v>
      </c>
      <c r="B55" s="162" t="s">
        <v>1119</v>
      </c>
      <c r="C55" s="162" t="s">
        <v>1787</v>
      </c>
      <c r="D55" s="162" t="s">
        <v>1122</v>
      </c>
      <c r="F55" s="171">
        <v>46167</v>
      </c>
      <c r="G55" s="141" t="s">
        <v>137</v>
      </c>
      <c r="H55" s="174">
        <v>5</v>
      </c>
      <c r="I55" s="190" t="s">
        <v>497</v>
      </c>
      <c r="J55" s="174">
        <v>2547</v>
      </c>
      <c r="K55" s="174">
        <v>2553</v>
      </c>
      <c r="L55" s="193"/>
      <c r="M55" s="218"/>
      <c r="P55" s="155"/>
      <c r="X55" s="150"/>
    </row>
    <row r="56" spans="1:24" hidden="1">
      <c r="A56" s="140" t="str">
        <f t="shared" si="0"/>
        <v>03542-00020-05-A12B</v>
      </c>
      <c r="B56" s="162" t="s">
        <v>1119</v>
      </c>
      <c r="C56" s="162" t="s">
        <v>1787</v>
      </c>
      <c r="D56" s="162" t="s">
        <v>1122</v>
      </c>
      <c r="F56" s="171">
        <v>46167</v>
      </c>
      <c r="G56" s="141" t="s">
        <v>137</v>
      </c>
      <c r="H56" s="174">
        <v>5</v>
      </c>
      <c r="I56" s="190" t="s">
        <v>820</v>
      </c>
      <c r="P56" s="155"/>
      <c r="R56" s="158"/>
      <c r="S56" s="147"/>
      <c r="T56" s="148"/>
      <c r="U56" s="150"/>
      <c r="X56" s="150"/>
    </row>
    <row r="57" spans="1:24" hidden="1">
      <c r="A57" s="140" t="str">
        <f t="shared" si="0"/>
        <v>03542-00020-06-A6E</v>
      </c>
      <c r="B57" s="162" t="s">
        <v>1119</v>
      </c>
      <c r="C57" s="162" t="s">
        <v>1787</v>
      </c>
      <c r="D57" s="162" t="s">
        <v>1122</v>
      </c>
      <c r="F57" s="171">
        <v>46629</v>
      </c>
      <c r="G57" s="141" t="s">
        <v>137</v>
      </c>
      <c r="H57" s="174">
        <v>6</v>
      </c>
      <c r="I57" s="189" t="s">
        <v>819</v>
      </c>
      <c r="J57" s="174">
        <v>1</v>
      </c>
      <c r="K57" s="174">
        <v>1</v>
      </c>
      <c r="L57" s="149"/>
      <c r="M57" s="185"/>
      <c r="P57" s="155"/>
      <c r="R57" s="146"/>
      <c r="S57" s="147"/>
      <c r="T57" s="148"/>
      <c r="X57" s="150"/>
    </row>
    <row r="58" spans="1:24" hidden="1">
      <c r="A58" s="140" t="str">
        <f t="shared" si="0"/>
        <v>03542-00020-06-A7F</v>
      </c>
      <c r="B58" s="162" t="s">
        <v>1119</v>
      </c>
      <c r="C58" s="162" t="s">
        <v>1787</v>
      </c>
      <c r="D58" s="162" t="s">
        <v>1122</v>
      </c>
      <c r="F58" s="171">
        <v>46629</v>
      </c>
      <c r="G58" s="141" t="s">
        <v>137</v>
      </c>
      <c r="H58" s="174">
        <v>6</v>
      </c>
      <c r="I58" s="190" t="s">
        <v>825</v>
      </c>
      <c r="J58" s="174">
        <v>987</v>
      </c>
      <c r="K58" s="174">
        <v>1041</v>
      </c>
      <c r="L58" s="149"/>
      <c r="M58" s="185"/>
      <c r="P58" s="155"/>
      <c r="R58" s="146"/>
      <c r="S58" s="147"/>
      <c r="T58" s="148"/>
      <c r="X58" s="150"/>
    </row>
    <row r="59" spans="1:24" hidden="1">
      <c r="A59" s="140" t="str">
        <f t="shared" si="0"/>
        <v>03542-00020-06-A5F</v>
      </c>
      <c r="B59" s="162" t="s">
        <v>1119</v>
      </c>
      <c r="C59" s="162" t="s">
        <v>1787</v>
      </c>
      <c r="D59" s="162" t="s">
        <v>1122</v>
      </c>
      <c r="F59" s="171">
        <v>46629</v>
      </c>
      <c r="G59" s="141" t="s">
        <v>137</v>
      </c>
      <c r="H59" s="174">
        <v>6</v>
      </c>
      <c r="I59" s="190" t="s">
        <v>826</v>
      </c>
      <c r="J59" s="174">
        <v>2859</v>
      </c>
      <c r="K59" s="174">
        <v>3062</v>
      </c>
      <c r="L59" s="149"/>
      <c r="M59" s="185"/>
      <c r="P59" s="155"/>
      <c r="X59" s="150"/>
    </row>
    <row r="60" spans="1:24" hidden="1">
      <c r="A60" s="140" t="str">
        <f t="shared" si="0"/>
        <v>03542-00020-06-A7G</v>
      </c>
      <c r="B60" s="162" t="s">
        <v>1119</v>
      </c>
      <c r="C60" s="162" t="s">
        <v>1787</v>
      </c>
      <c r="D60" s="162" t="s">
        <v>1122</v>
      </c>
      <c r="F60" s="171">
        <v>46629</v>
      </c>
      <c r="G60" s="141" t="s">
        <v>137</v>
      </c>
      <c r="H60" s="174">
        <v>6</v>
      </c>
      <c r="I60" s="190" t="s">
        <v>827</v>
      </c>
      <c r="J60" s="174">
        <v>2908</v>
      </c>
      <c r="K60" s="174">
        <v>3027</v>
      </c>
      <c r="L60" s="149"/>
      <c r="M60" s="185"/>
      <c r="P60" s="155"/>
      <c r="R60" s="151"/>
      <c r="S60" s="146"/>
      <c r="T60" s="146"/>
      <c r="X60" s="150"/>
    </row>
    <row r="61" spans="1:24" hidden="1">
      <c r="A61" s="140" t="str">
        <f t="shared" si="0"/>
        <v>03542-00020-06-A12B</v>
      </c>
      <c r="B61" s="162" t="s">
        <v>1119</v>
      </c>
      <c r="C61" s="162" t="s">
        <v>1787</v>
      </c>
      <c r="D61" s="162" t="s">
        <v>1122</v>
      </c>
      <c r="F61" s="171">
        <v>46629</v>
      </c>
      <c r="G61" s="141" t="s">
        <v>137</v>
      </c>
      <c r="H61" s="174">
        <v>6</v>
      </c>
      <c r="I61" s="190" t="s">
        <v>820</v>
      </c>
      <c r="J61" s="174">
        <v>2336</v>
      </c>
      <c r="K61" s="174">
        <v>2418</v>
      </c>
      <c r="L61" s="149"/>
      <c r="M61" s="185"/>
      <c r="P61" s="155"/>
      <c r="R61" s="146"/>
      <c r="S61" s="147"/>
      <c r="T61" s="148"/>
      <c r="X61" s="150"/>
    </row>
    <row r="62" spans="1:24" hidden="1">
      <c r="A62" s="140" t="str">
        <f t="shared" si="0"/>
        <v>03542-00020-07-A6E</v>
      </c>
      <c r="B62" s="162" t="s">
        <v>1119</v>
      </c>
      <c r="C62" s="162" t="s">
        <v>1787</v>
      </c>
      <c r="D62" s="162" t="s">
        <v>1122</v>
      </c>
      <c r="F62" s="171">
        <v>46839</v>
      </c>
      <c r="G62" s="141" t="s">
        <v>137</v>
      </c>
      <c r="H62" s="174">
        <v>7</v>
      </c>
      <c r="I62" s="196" t="s">
        <v>818</v>
      </c>
      <c r="J62" s="174">
        <v>1</v>
      </c>
      <c r="K62" s="174">
        <v>1</v>
      </c>
      <c r="L62" s="149"/>
      <c r="M62" s="185"/>
      <c r="R62" s="146"/>
      <c r="T62" s="144"/>
    </row>
    <row r="63" spans="1:24" hidden="1">
      <c r="A63" s="140" t="str">
        <f t="shared" si="0"/>
        <v>03542-00020-07-A7F</v>
      </c>
      <c r="B63" s="162" t="s">
        <v>1119</v>
      </c>
      <c r="C63" s="162" t="s">
        <v>1787</v>
      </c>
      <c r="D63" s="162" t="s">
        <v>1122</v>
      </c>
      <c r="F63" s="171">
        <v>46839</v>
      </c>
      <c r="G63" s="141" t="s">
        <v>137</v>
      </c>
      <c r="H63" s="174">
        <v>7</v>
      </c>
      <c r="I63" s="198" t="s">
        <v>507</v>
      </c>
      <c r="J63" s="174">
        <v>987</v>
      </c>
      <c r="K63" s="174">
        <v>1041</v>
      </c>
      <c r="L63" s="149"/>
      <c r="M63" s="185"/>
      <c r="R63" s="151"/>
      <c r="S63" s="146"/>
      <c r="T63" s="146"/>
      <c r="U63" s="146"/>
    </row>
    <row r="64" spans="1:24" hidden="1">
      <c r="A64" s="140" t="str">
        <f t="shared" si="0"/>
        <v>03542-00020-07-A5F</v>
      </c>
      <c r="B64" s="162" t="s">
        <v>1119</v>
      </c>
      <c r="C64" s="162" t="s">
        <v>1787</v>
      </c>
      <c r="D64" s="162" t="s">
        <v>1122</v>
      </c>
      <c r="F64" s="171">
        <v>46839</v>
      </c>
      <c r="G64" s="141" t="s">
        <v>137</v>
      </c>
      <c r="H64" s="174">
        <v>7</v>
      </c>
      <c r="I64" s="198" t="s">
        <v>506</v>
      </c>
      <c r="J64" s="174">
        <v>2859</v>
      </c>
      <c r="K64" s="174">
        <v>3062</v>
      </c>
      <c r="L64" s="149"/>
      <c r="M64" s="185"/>
      <c r="R64" s="146"/>
      <c r="S64" s="146"/>
      <c r="T64" s="146"/>
      <c r="U64" s="146"/>
    </row>
    <row r="65" spans="1:21" hidden="1">
      <c r="A65" s="140" t="str">
        <f t="shared" si="0"/>
        <v>03542-00020-07-A7G</v>
      </c>
      <c r="B65" s="162" t="s">
        <v>1119</v>
      </c>
      <c r="C65" s="162" t="s">
        <v>1787</v>
      </c>
      <c r="D65" s="162" t="s">
        <v>1122</v>
      </c>
      <c r="F65" s="171">
        <v>46839</v>
      </c>
      <c r="G65" s="141" t="s">
        <v>137</v>
      </c>
      <c r="H65" s="174">
        <v>7</v>
      </c>
      <c r="I65" s="198" t="s">
        <v>508</v>
      </c>
      <c r="J65" s="174">
        <v>2908</v>
      </c>
      <c r="K65" s="174">
        <v>3027</v>
      </c>
      <c r="L65" s="149"/>
      <c r="M65" s="185"/>
      <c r="R65" s="146"/>
      <c r="S65" s="146"/>
      <c r="T65" s="146"/>
      <c r="U65" s="146"/>
    </row>
    <row r="66" spans="1:21" ht="40.5" hidden="1">
      <c r="A66" s="140" t="str">
        <f t="shared" ref="A66:A129" si="1">G66&amp;"-"&amp;TEXT(H66,"00")&amp;"-"&amp;I66</f>
        <v>03542-00020-07-A12B</v>
      </c>
      <c r="B66" s="162" t="s">
        <v>1119</v>
      </c>
      <c r="C66" s="162" t="s">
        <v>1787</v>
      </c>
      <c r="D66" s="162" t="s">
        <v>1122</v>
      </c>
      <c r="F66" s="171">
        <v>46839</v>
      </c>
      <c r="G66" s="141" t="s">
        <v>137</v>
      </c>
      <c r="H66" s="174">
        <v>7</v>
      </c>
      <c r="I66" s="211" t="s">
        <v>503</v>
      </c>
      <c r="J66" s="174">
        <v>2336</v>
      </c>
      <c r="K66" s="174">
        <v>2418</v>
      </c>
      <c r="L66" s="149"/>
      <c r="M66" s="185"/>
      <c r="O66" s="156" t="s">
        <v>831</v>
      </c>
    </row>
    <row r="67" spans="1:21" hidden="1">
      <c r="A67" s="140" t="str">
        <f t="shared" si="1"/>
        <v>03542-00020-08-A6E</v>
      </c>
      <c r="B67" s="162" t="s">
        <v>1119</v>
      </c>
      <c r="C67" s="162" t="s">
        <v>1787</v>
      </c>
      <c r="D67" s="162" t="s">
        <v>1122</v>
      </c>
      <c r="F67" s="171">
        <v>47086</v>
      </c>
      <c r="G67" s="141" t="s">
        <v>137</v>
      </c>
      <c r="H67" s="174">
        <v>8</v>
      </c>
      <c r="I67" s="198" t="s">
        <v>818</v>
      </c>
      <c r="N67" s="184"/>
      <c r="R67" s="146"/>
      <c r="S67" s="147"/>
      <c r="T67" s="148"/>
    </row>
    <row r="68" spans="1:21" hidden="1">
      <c r="A68" s="140" t="str">
        <f t="shared" si="1"/>
        <v>03542-00020-08-A7F</v>
      </c>
      <c r="B68" s="162" t="s">
        <v>1119</v>
      </c>
      <c r="C68" s="162" t="s">
        <v>1787</v>
      </c>
      <c r="D68" s="162" t="s">
        <v>1122</v>
      </c>
      <c r="F68" s="171">
        <v>47086</v>
      </c>
      <c r="G68" s="141" t="s">
        <v>137</v>
      </c>
      <c r="H68" s="174">
        <v>8</v>
      </c>
      <c r="I68" s="198" t="s">
        <v>507</v>
      </c>
      <c r="N68" s="184"/>
      <c r="R68" s="146"/>
      <c r="S68" s="147"/>
      <c r="T68" s="148"/>
    </row>
    <row r="69" spans="1:21" hidden="1">
      <c r="A69" s="140" t="str">
        <f t="shared" si="1"/>
        <v>03542-00020-08-A5F</v>
      </c>
      <c r="B69" s="162" t="s">
        <v>1119</v>
      </c>
      <c r="C69" s="162" t="s">
        <v>1787</v>
      </c>
      <c r="D69" s="162" t="s">
        <v>1122</v>
      </c>
      <c r="F69" s="171">
        <v>47086</v>
      </c>
      <c r="G69" s="141" t="s">
        <v>137</v>
      </c>
      <c r="H69" s="174">
        <v>8</v>
      </c>
      <c r="I69" s="196" t="s">
        <v>506</v>
      </c>
      <c r="N69" s="184"/>
      <c r="R69" s="146"/>
      <c r="S69" s="147"/>
      <c r="T69" s="148"/>
    </row>
    <row r="70" spans="1:21" hidden="1">
      <c r="A70" s="140" t="str">
        <f t="shared" si="1"/>
        <v>03542-00020-08-A7G</v>
      </c>
      <c r="B70" s="162" t="s">
        <v>1119</v>
      </c>
      <c r="C70" s="162" t="s">
        <v>1787</v>
      </c>
      <c r="D70" s="162" t="s">
        <v>1122</v>
      </c>
      <c r="F70" s="171">
        <v>47086</v>
      </c>
      <c r="G70" s="141" t="s">
        <v>137</v>
      </c>
      <c r="H70" s="174">
        <v>8</v>
      </c>
      <c r="I70" s="196" t="s">
        <v>508</v>
      </c>
      <c r="N70" s="184"/>
      <c r="R70" s="146"/>
      <c r="S70" s="147"/>
      <c r="T70" s="148"/>
    </row>
    <row r="71" spans="1:21" hidden="1">
      <c r="A71" s="140" t="str">
        <f t="shared" si="1"/>
        <v>03542-00020-08-A12B</v>
      </c>
      <c r="B71" s="162" t="s">
        <v>1119</v>
      </c>
      <c r="C71" s="162" t="s">
        <v>1787</v>
      </c>
      <c r="D71" s="162" t="s">
        <v>1122</v>
      </c>
      <c r="F71" s="171">
        <v>47086</v>
      </c>
      <c r="G71" s="141" t="s">
        <v>137</v>
      </c>
      <c r="H71" s="174">
        <v>8</v>
      </c>
      <c r="I71" s="196" t="s">
        <v>503</v>
      </c>
      <c r="N71" s="184"/>
      <c r="R71" s="146"/>
      <c r="S71" s="147"/>
      <c r="T71" s="148"/>
    </row>
    <row r="72" spans="1:21" hidden="1">
      <c r="A72" s="140" t="str">
        <f t="shared" si="1"/>
        <v>03542-00020-09-A7F</v>
      </c>
      <c r="B72" s="162" t="s">
        <v>1119</v>
      </c>
      <c r="C72" s="162" t="s">
        <v>1787</v>
      </c>
      <c r="D72" s="162" t="s">
        <v>1122</v>
      </c>
      <c r="F72" s="171">
        <v>47467</v>
      </c>
      <c r="G72" s="141" t="s">
        <v>137</v>
      </c>
      <c r="H72" s="174">
        <v>9</v>
      </c>
      <c r="I72" s="190" t="s">
        <v>804</v>
      </c>
      <c r="J72" s="174">
        <v>1179</v>
      </c>
      <c r="K72" s="174">
        <v>1179</v>
      </c>
      <c r="L72" s="149"/>
      <c r="M72" s="185"/>
      <c r="P72" s="155"/>
      <c r="S72" s="147"/>
      <c r="T72" s="148"/>
    </row>
    <row r="73" spans="1:21" hidden="1">
      <c r="A73" s="140" t="str">
        <f t="shared" si="1"/>
        <v>03542-00020-09-A5F</v>
      </c>
      <c r="B73" s="162" t="s">
        <v>1119</v>
      </c>
      <c r="C73" s="162" t="s">
        <v>1787</v>
      </c>
      <c r="D73" s="162" t="s">
        <v>1122</v>
      </c>
      <c r="F73" s="171">
        <v>47467</v>
      </c>
      <c r="G73" s="141" t="s">
        <v>137</v>
      </c>
      <c r="H73" s="174">
        <v>9</v>
      </c>
      <c r="I73" s="186" t="s">
        <v>842</v>
      </c>
      <c r="J73" s="174">
        <v>3584</v>
      </c>
      <c r="K73" s="174">
        <v>3584</v>
      </c>
      <c r="L73" s="149"/>
      <c r="M73" s="185"/>
      <c r="P73" s="155"/>
      <c r="R73" s="146"/>
      <c r="S73" s="147"/>
      <c r="T73" s="148"/>
    </row>
    <row r="74" spans="1:21" hidden="1">
      <c r="A74" s="140" t="str">
        <f t="shared" si="1"/>
        <v>03542-00020-09-A7G</v>
      </c>
      <c r="B74" s="162" t="s">
        <v>1119</v>
      </c>
      <c r="C74" s="162" t="s">
        <v>1787</v>
      </c>
      <c r="D74" s="162" t="s">
        <v>1122</v>
      </c>
      <c r="F74" s="171">
        <v>47467</v>
      </c>
      <c r="G74" s="141" t="s">
        <v>137</v>
      </c>
      <c r="H74" s="174">
        <v>9</v>
      </c>
      <c r="I74" s="190" t="s">
        <v>497</v>
      </c>
      <c r="J74" s="174">
        <v>3399</v>
      </c>
      <c r="K74" s="174">
        <v>3399</v>
      </c>
      <c r="L74" s="149"/>
      <c r="M74" s="185"/>
      <c r="P74" s="155"/>
      <c r="R74" s="146"/>
      <c r="S74" s="147"/>
      <c r="T74" s="148"/>
    </row>
    <row r="75" spans="1:21" hidden="1">
      <c r="A75" s="140" t="str">
        <f t="shared" si="1"/>
        <v>03542-00020-09-A12B</v>
      </c>
      <c r="B75" s="162" t="s">
        <v>1119</v>
      </c>
      <c r="C75" s="162" t="s">
        <v>1787</v>
      </c>
      <c r="D75" s="162" t="s">
        <v>1122</v>
      </c>
      <c r="F75" s="171">
        <v>47467</v>
      </c>
      <c r="G75" s="141" t="s">
        <v>137</v>
      </c>
      <c r="H75" s="174">
        <v>9</v>
      </c>
      <c r="I75" s="186" t="s">
        <v>147</v>
      </c>
      <c r="J75" s="174">
        <v>2666</v>
      </c>
      <c r="K75" s="174">
        <v>2666</v>
      </c>
      <c r="L75" s="149"/>
      <c r="M75" s="185"/>
      <c r="P75" s="155"/>
      <c r="R75" s="151"/>
      <c r="S75" s="147"/>
      <c r="T75" s="148"/>
    </row>
    <row r="76" spans="1:21" hidden="1">
      <c r="A76" s="140" t="str">
        <f t="shared" si="1"/>
        <v>03542-00020-10-A7F</v>
      </c>
      <c r="B76" s="162" t="s">
        <v>1119</v>
      </c>
      <c r="C76" s="162" t="s">
        <v>1787</v>
      </c>
      <c r="D76" s="162" t="s">
        <v>1122</v>
      </c>
      <c r="F76" s="171">
        <v>47975</v>
      </c>
      <c r="G76" s="141" t="s">
        <v>137</v>
      </c>
      <c r="H76" s="174">
        <v>10</v>
      </c>
      <c r="I76" s="190" t="s">
        <v>804</v>
      </c>
      <c r="P76" s="155"/>
      <c r="S76" s="147"/>
      <c r="T76" s="148"/>
    </row>
    <row r="77" spans="1:21" hidden="1">
      <c r="A77" s="140" t="str">
        <f t="shared" si="1"/>
        <v>03542-00020-10-A5F</v>
      </c>
      <c r="B77" s="162" t="s">
        <v>1119</v>
      </c>
      <c r="C77" s="162" t="s">
        <v>1787</v>
      </c>
      <c r="D77" s="162" t="s">
        <v>1122</v>
      </c>
      <c r="F77" s="171">
        <v>47975</v>
      </c>
      <c r="G77" s="141" t="s">
        <v>137</v>
      </c>
      <c r="H77" s="174">
        <v>10</v>
      </c>
      <c r="I77" s="190" t="s">
        <v>803</v>
      </c>
      <c r="P77" s="155"/>
      <c r="S77" s="147"/>
      <c r="T77" s="148"/>
    </row>
    <row r="78" spans="1:21" hidden="1">
      <c r="A78" s="140" t="str">
        <f t="shared" si="1"/>
        <v>03542-00020-10-A7G</v>
      </c>
      <c r="B78" s="162" t="s">
        <v>1119</v>
      </c>
      <c r="C78" s="162" t="s">
        <v>1787</v>
      </c>
      <c r="D78" s="162" t="s">
        <v>1122</v>
      </c>
      <c r="F78" s="171">
        <v>47975</v>
      </c>
      <c r="G78" s="141" t="s">
        <v>137</v>
      </c>
      <c r="H78" s="174">
        <v>10</v>
      </c>
      <c r="I78" s="190" t="s">
        <v>497</v>
      </c>
      <c r="P78" s="155"/>
      <c r="S78" s="147"/>
      <c r="T78" s="148"/>
    </row>
    <row r="79" spans="1:21" hidden="1">
      <c r="A79" s="140" t="str">
        <f t="shared" si="1"/>
        <v>03542-00020-10-A12B</v>
      </c>
      <c r="B79" s="162" t="s">
        <v>1119</v>
      </c>
      <c r="C79" s="162" t="s">
        <v>1787</v>
      </c>
      <c r="D79" s="162" t="s">
        <v>1122</v>
      </c>
      <c r="F79" s="171">
        <v>47975</v>
      </c>
      <c r="G79" s="141" t="s">
        <v>137</v>
      </c>
      <c r="H79" s="174">
        <v>10</v>
      </c>
      <c r="I79" s="186" t="s">
        <v>147</v>
      </c>
      <c r="J79" s="174">
        <v>3114</v>
      </c>
      <c r="K79" s="174">
        <v>3148</v>
      </c>
      <c r="L79" s="149"/>
      <c r="M79" s="185"/>
      <c r="O79" s="156"/>
      <c r="P79" s="155"/>
      <c r="S79" s="147"/>
      <c r="T79" s="148"/>
    </row>
    <row r="80" spans="1:21" hidden="1">
      <c r="A80" s="140" t="str">
        <f t="shared" si="1"/>
        <v>03542-00020-12-A5F</v>
      </c>
      <c r="B80" s="162" t="s">
        <v>1119</v>
      </c>
      <c r="C80" s="162" t="s">
        <v>1787</v>
      </c>
      <c r="D80" s="162" t="s">
        <v>1122</v>
      </c>
      <c r="F80" s="171">
        <v>55511</v>
      </c>
      <c r="G80" s="141" t="s">
        <v>137</v>
      </c>
      <c r="H80" s="174">
        <v>12</v>
      </c>
      <c r="I80" s="190" t="s">
        <v>803</v>
      </c>
      <c r="M80" s="217" t="s">
        <v>390</v>
      </c>
    </row>
    <row r="81" spans="1:19" hidden="1">
      <c r="A81" s="140" t="str">
        <f t="shared" si="1"/>
        <v>03542-00065-00-A7F</v>
      </c>
      <c r="B81" s="162" t="s">
        <v>1119</v>
      </c>
      <c r="C81" s="162" t="s">
        <v>1787</v>
      </c>
      <c r="D81" s="162" t="s">
        <v>1122</v>
      </c>
      <c r="F81" s="171">
        <v>48878</v>
      </c>
      <c r="G81" s="141" t="s">
        <v>140</v>
      </c>
      <c r="H81" s="174">
        <v>0</v>
      </c>
      <c r="I81" s="190" t="s">
        <v>804</v>
      </c>
      <c r="N81" s="184" t="s">
        <v>101</v>
      </c>
      <c r="O81" s="160"/>
      <c r="P81" s="155"/>
      <c r="Q81" s="143"/>
      <c r="R81" s="141"/>
      <c r="S81" s="145"/>
    </row>
    <row r="82" spans="1:19" hidden="1">
      <c r="A82" s="140" t="str">
        <f t="shared" si="1"/>
        <v>03542-00065-00-A5F</v>
      </c>
      <c r="B82" s="162" t="s">
        <v>1119</v>
      </c>
      <c r="C82" s="162" t="s">
        <v>1787</v>
      </c>
      <c r="D82" s="162" t="s">
        <v>1122</v>
      </c>
      <c r="F82" s="171">
        <v>48878</v>
      </c>
      <c r="G82" s="141" t="s">
        <v>140</v>
      </c>
      <c r="H82" s="174">
        <v>0</v>
      </c>
      <c r="I82" s="186" t="s">
        <v>860</v>
      </c>
      <c r="N82" s="184" t="s">
        <v>101</v>
      </c>
      <c r="O82" s="160"/>
      <c r="P82" s="155"/>
    </row>
    <row r="83" spans="1:19" hidden="1">
      <c r="A83" s="140" t="str">
        <f t="shared" si="1"/>
        <v>03542-00065-00-A7G</v>
      </c>
      <c r="B83" s="162" t="s">
        <v>1119</v>
      </c>
      <c r="C83" s="162" t="s">
        <v>1787</v>
      </c>
      <c r="D83" s="162" t="s">
        <v>1122</v>
      </c>
      <c r="F83" s="171">
        <v>48878</v>
      </c>
      <c r="G83" s="141" t="s">
        <v>140</v>
      </c>
      <c r="H83" s="174">
        <v>0</v>
      </c>
      <c r="I83" s="190" t="s">
        <v>497</v>
      </c>
      <c r="N83" s="184" t="s">
        <v>101</v>
      </c>
      <c r="O83" s="160"/>
      <c r="P83" s="155"/>
      <c r="Q83" s="143"/>
      <c r="R83" s="141"/>
      <c r="S83" s="145"/>
    </row>
    <row r="84" spans="1:19" hidden="1">
      <c r="A84" s="140" t="str">
        <f t="shared" si="1"/>
        <v>03542-00065-00-A12B</v>
      </c>
      <c r="B84" s="162" t="s">
        <v>1119</v>
      </c>
      <c r="C84" s="162" t="s">
        <v>1787</v>
      </c>
      <c r="D84" s="162" t="s">
        <v>1122</v>
      </c>
      <c r="F84" s="171">
        <v>48878</v>
      </c>
      <c r="G84" s="141" t="s">
        <v>140</v>
      </c>
      <c r="H84" s="174">
        <v>0</v>
      </c>
      <c r="I84" s="186" t="s">
        <v>147</v>
      </c>
      <c r="J84" s="174">
        <v>3816</v>
      </c>
      <c r="K84" s="174">
        <v>3816</v>
      </c>
      <c r="L84" s="149"/>
      <c r="M84" s="185"/>
      <c r="N84" s="184" t="s">
        <v>101</v>
      </c>
      <c r="O84" s="160"/>
      <c r="P84" s="155"/>
      <c r="Q84" s="143"/>
      <c r="R84" s="141"/>
      <c r="S84" s="145"/>
    </row>
    <row r="85" spans="1:19" hidden="1">
      <c r="A85" s="140" t="str">
        <f t="shared" si="1"/>
        <v>03542-00065-01-A7F</v>
      </c>
      <c r="B85" s="162" t="s">
        <v>1119</v>
      </c>
      <c r="C85" s="162" t="s">
        <v>1787</v>
      </c>
      <c r="D85" s="162" t="s">
        <v>1122</v>
      </c>
      <c r="F85" s="171">
        <v>49337</v>
      </c>
      <c r="G85" s="141" t="s">
        <v>140</v>
      </c>
      <c r="H85" s="174">
        <v>1</v>
      </c>
      <c r="I85" s="190" t="s">
        <v>804</v>
      </c>
      <c r="J85" s="174">
        <v>1707</v>
      </c>
      <c r="K85" s="174">
        <v>1701</v>
      </c>
      <c r="L85" s="149"/>
      <c r="M85" s="185"/>
    </row>
    <row r="86" spans="1:19" hidden="1">
      <c r="A86" s="140" t="str">
        <f t="shared" si="1"/>
        <v>03542-00065-01-A5F</v>
      </c>
      <c r="B86" s="162" t="s">
        <v>1119</v>
      </c>
      <c r="C86" s="162" t="s">
        <v>1787</v>
      </c>
      <c r="D86" s="162" t="s">
        <v>1122</v>
      </c>
      <c r="F86" s="171">
        <v>49337</v>
      </c>
      <c r="G86" s="141" t="s">
        <v>140</v>
      </c>
      <c r="H86" s="174">
        <v>1</v>
      </c>
      <c r="I86" s="186" t="s">
        <v>860</v>
      </c>
      <c r="J86" s="174">
        <v>5600</v>
      </c>
      <c r="K86" s="174">
        <v>5588</v>
      </c>
      <c r="L86" s="149"/>
      <c r="M86" s="185"/>
    </row>
    <row r="87" spans="1:19" hidden="1">
      <c r="A87" s="140" t="str">
        <f t="shared" si="1"/>
        <v>03542-00065-01-A7G</v>
      </c>
      <c r="B87" s="162" t="s">
        <v>1119</v>
      </c>
      <c r="C87" s="162" t="s">
        <v>1787</v>
      </c>
      <c r="D87" s="162" t="s">
        <v>1122</v>
      </c>
      <c r="F87" s="171">
        <v>49337</v>
      </c>
      <c r="G87" s="141" t="s">
        <v>140</v>
      </c>
      <c r="H87" s="174">
        <v>1</v>
      </c>
      <c r="I87" s="190" t="s">
        <v>497</v>
      </c>
      <c r="J87" s="174">
        <v>4343</v>
      </c>
      <c r="K87" s="174">
        <v>4337</v>
      </c>
      <c r="L87" s="149"/>
      <c r="M87" s="185"/>
    </row>
    <row r="88" spans="1:19" hidden="1">
      <c r="A88" s="140" t="str">
        <f t="shared" si="1"/>
        <v>03542-00065-01-A12B</v>
      </c>
      <c r="B88" s="162" t="s">
        <v>1119</v>
      </c>
      <c r="C88" s="162" t="s">
        <v>1787</v>
      </c>
      <c r="D88" s="162" t="s">
        <v>1122</v>
      </c>
      <c r="F88" s="171">
        <v>49337</v>
      </c>
      <c r="G88" s="141" t="s">
        <v>140</v>
      </c>
      <c r="H88" s="174">
        <v>1</v>
      </c>
      <c r="I88" s="186" t="s">
        <v>854</v>
      </c>
      <c r="J88" s="174">
        <v>3822</v>
      </c>
      <c r="K88" s="174">
        <v>3816</v>
      </c>
      <c r="L88" s="149"/>
      <c r="M88" s="185"/>
    </row>
    <row r="89" spans="1:19" hidden="1">
      <c r="A89" s="140" t="str">
        <f t="shared" si="1"/>
        <v>03542-00065-02-A7F</v>
      </c>
      <c r="B89" s="162" t="s">
        <v>1119</v>
      </c>
      <c r="C89" s="162" t="s">
        <v>1787</v>
      </c>
      <c r="D89" s="162" t="s">
        <v>1122</v>
      </c>
      <c r="F89" s="171">
        <v>49603</v>
      </c>
      <c r="G89" s="141" t="s">
        <v>140</v>
      </c>
      <c r="H89" s="174">
        <v>2</v>
      </c>
      <c r="I89" s="186" t="s">
        <v>875</v>
      </c>
      <c r="J89" s="174">
        <v>1701</v>
      </c>
      <c r="K89" s="174">
        <v>1701</v>
      </c>
      <c r="L89" s="149"/>
      <c r="M89" s="185"/>
    </row>
    <row r="90" spans="1:19" hidden="1">
      <c r="A90" s="140" t="str">
        <f t="shared" si="1"/>
        <v>03542-00065-02-A5F</v>
      </c>
      <c r="B90" s="162" t="s">
        <v>1119</v>
      </c>
      <c r="C90" s="162" t="s">
        <v>1787</v>
      </c>
      <c r="D90" s="162" t="s">
        <v>1122</v>
      </c>
      <c r="F90" s="171">
        <v>49603</v>
      </c>
      <c r="G90" s="141" t="s">
        <v>140</v>
      </c>
      <c r="H90" s="174">
        <v>2</v>
      </c>
      <c r="I90" s="190" t="s">
        <v>803</v>
      </c>
      <c r="J90" s="174">
        <v>5588</v>
      </c>
      <c r="K90" s="174">
        <v>5588</v>
      </c>
      <c r="L90" s="149"/>
      <c r="M90" s="185"/>
    </row>
    <row r="91" spans="1:19" hidden="1">
      <c r="A91" s="140" t="str">
        <f t="shared" si="1"/>
        <v xml:space="preserve">03542-00065-02-A7G	</v>
      </c>
      <c r="B91" s="162" t="s">
        <v>1119</v>
      </c>
      <c r="C91" s="162" t="s">
        <v>1787</v>
      </c>
      <c r="D91" s="162" t="s">
        <v>1122</v>
      </c>
      <c r="F91" s="171">
        <v>49603</v>
      </c>
      <c r="G91" s="141" t="s">
        <v>140</v>
      </c>
      <c r="H91" s="174">
        <v>2</v>
      </c>
      <c r="I91" s="186" t="s">
        <v>876</v>
      </c>
      <c r="J91" s="174">
        <v>4337</v>
      </c>
      <c r="K91" s="174">
        <v>4337</v>
      </c>
      <c r="L91" s="149"/>
      <c r="M91" s="185"/>
    </row>
    <row r="92" spans="1:19" hidden="1">
      <c r="A92" s="140" t="str">
        <f t="shared" si="1"/>
        <v>03542-00065-02-A12B</v>
      </c>
      <c r="B92" s="162" t="s">
        <v>1119</v>
      </c>
      <c r="C92" s="162" t="s">
        <v>1787</v>
      </c>
      <c r="D92" s="162" t="s">
        <v>1122</v>
      </c>
      <c r="F92" s="171">
        <v>49603</v>
      </c>
      <c r="G92" s="141" t="s">
        <v>140</v>
      </c>
      <c r="H92" s="174">
        <v>2</v>
      </c>
      <c r="I92" s="186" t="s">
        <v>877</v>
      </c>
      <c r="J92" s="174">
        <v>3816</v>
      </c>
      <c r="K92" s="174">
        <v>3816</v>
      </c>
      <c r="L92" s="149"/>
      <c r="M92" s="185"/>
    </row>
    <row r="93" spans="1:19" hidden="1">
      <c r="A93" s="140" t="str">
        <f t="shared" si="1"/>
        <v>03542-00065-03-A7F</v>
      </c>
      <c r="B93" s="162" t="s">
        <v>1119</v>
      </c>
      <c r="C93" s="162" t="s">
        <v>1787</v>
      </c>
      <c r="D93" s="162" t="s">
        <v>1122</v>
      </c>
      <c r="F93" s="171">
        <v>49853</v>
      </c>
      <c r="G93" s="141" t="s">
        <v>140</v>
      </c>
      <c r="H93" s="174">
        <v>3</v>
      </c>
      <c r="I93" s="190" t="s">
        <v>875</v>
      </c>
      <c r="J93" s="174">
        <v>1758</v>
      </c>
      <c r="K93" s="174">
        <v>1758</v>
      </c>
      <c r="L93" s="149"/>
      <c r="M93" s="185"/>
    </row>
    <row r="94" spans="1:19" hidden="1">
      <c r="A94" s="140" t="str">
        <f t="shared" si="1"/>
        <v>03542-00065-03-A5F</v>
      </c>
      <c r="B94" s="162" t="s">
        <v>1119</v>
      </c>
      <c r="C94" s="162" t="s">
        <v>1787</v>
      </c>
      <c r="D94" s="162" t="s">
        <v>1122</v>
      </c>
      <c r="F94" s="171">
        <v>49853</v>
      </c>
      <c r="G94" s="141" t="s">
        <v>140</v>
      </c>
      <c r="H94" s="174">
        <v>3</v>
      </c>
      <c r="I94" s="190" t="s">
        <v>882</v>
      </c>
      <c r="J94" s="174">
        <v>5768</v>
      </c>
      <c r="K94" s="174">
        <v>5768</v>
      </c>
      <c r="L94" s="149"/>
      <c r="M94" s="185"/>
    </row>
    <row r="95" spans="1:19" hidden="1">
      <c r="A95" s="140" t="str">
        <f t="shared" si="1"/>
        <v>03542-00065-03-A7G</v>
      </c>
      <c r="B95" s="162" t="s">
        <v>1119</v>
      </c>
      <c r="C95" s="162" t="s">
        <v>1787</v>
      </c>
      <c r="D95" s="162" t="s">
        <v>1122</v>
      </c>
      <c r="F95" s="171">
        <v>49853</v>
      </c>
      <c r="G95" s="141" t="s">
        <v>140</v>
      </c>
      <c r="H95" s="174">
        <v>3</v>
      </c>
      <c r="I95" s="190" t="s">
        <v>497</v>
      </c>
      <c r="J95" s="174">
        <v>4442</v>
      </c>
      <c r="K95" s="174">
        <v>4442</v>
      </c>
      <c r="L95" s="149"/>
      <c r="M95" s="185"/>
    </row>
    <row r="96" spans="1:19" hidden="1">
      <c r="A96" s="140" t="str">
        <f t="shared" si="1"/>
        <v>03542-00065-03-A12B</v>
      </c>
      <c r="B96" s="162" t="s">
        <v>1119</v>
      </c>
      <c r="C96" s="162" t="s">
        <v>1787</v>
      </c>
      <c r="D96" s="162" t="s">
        <v>1122</v>
      </c>
      <c r="F96" s="171">
        <v>49853</v>
      </c>
      <c r="G96" s="141" t="s">
        <v>140</v>
      </c>
      <c r="H96" s="174">
        <v>3</v>
      </c>
      <c r="I96" s="190" t="s">
        <v>147</v>
      </c>
      <c r="J96" s="174">
        <v>3982</v>
      </c>
      <c r="K96" s="174">
        <v>3982</v>
      </c>
      <c r="L96" s="149"/>
      <c r="M96" s="185"/>
    </row>
    <row r="97" spans="1:14" hidden="1">
      <c r="A97" s="140" t="str">
        <f t="shared" si="1"/>
        <v>03542-00065-05-A7F</v>
      </c>
      <c r="B97" s="162" t="s">
        <v>1119</v>
      </c>
      <c r="C97" s="162" t="s">
        <v>1787</v>
      </c>
      <c r="D97" s="162" t="s">
        <v>1122</v>
      </c>
      <c r="F97" s="171">
        <v>51420</v>
      </c>
      <c r="G97" s="141" t="s">
        <v>140</v>
      </c>
      <c r="H97" s="174">
        <v>5</v>
      </c>
      <c r="I97" s="190" t="s">
        <v>804</v>
      </c>
    </row>
    <row r="98" spans="1:14" hidden="1">
      <c r="A98" s="140" t="str">
        <f t="shared" si="1"/>
        <v>03542-00065-05-A5F</v>
      </c>
      <c r="B98" s="162" t="s">
        <v>1119</v>
      </c>
      <c r="C98" s="162" t="s">
        <v>1787</v>
      </c>
      <c r="D98" s="162" t="s">
        <v>1122</v>
      </c>
      <c r="F98" s="171">
        <v>51420</v>
      </c>
      <c r="G98" s="141" t="s">
        <v>140</v>
      </c>
      <c r="H98" s="174">
        <v>5</v>
      </c>
      <c r="I98" s="186" t="s">
        <v>907</v>
      </c>
    </row>
    <row r="99" spans="1:14" hidden="1">
      <c r="A99" s="140" t="str">
        <f t="shared" si="1"/>
        <v>03542-00065-05-A7G</v>
      </c>
      <c r="B99" s="162" t="s">
        <v>1119</v>
      </c>
      <c r="C99" s="162" t="s">
        <v>1787</v>
      </c>
      <c r="D99" s="162" t="s">
        <v>1122</v>
      </c>
      <c r="F99" s="171">
        <v>51420</v>
      </c>
      <c r="G99" s="141" t="s">
        <v>140</v>
      </c>
      <c r="H99" s="174">
        <v>5</v>
      </c>
      <c r="I99" s="190" t="s">
        <v>497</v>
      </c>
    </row>
    <row r="100" spans="1:14" hidden="1">
      <c r="A100" s="140" t="str">
        <f t="shared" si="1"/>
        <v>03542-00065-05-A12B</v>
      </c>
      <c r="B100" s="162" t="s">
        <v>1119</v>
      </c>
      <c r="C100" s="162" t="s">
        <v>1787</v>
      </c>
      <c r="D100" s="162" t="s">
        <v>1122</v>
      </c>
      <c r="F100" s="171">
        <v>51420</v>
      </c>
      <c r="G100" s="141" t="s">
        <v>140</v>
      </c>
      <c r="H100" s="174">
        <v>5</v>
      </c>
      <c r="I100" s="186" t="s">
        <v>908</v>
      </c>
    </row>
    <row r="101" spans="1:14" hidden="1">
      <c r="A101" s="140" t="str">
        <f t="shared" si="1"/>
        <v>03542-00065-06-A7F</v>
      </c>
      <c r="B101" s="162" t="s">
        <v>1119</v>
      </c>
      <c r="C101" s="162" t="s">
        <v>1787</v>
      </c>
      <c r="D101" s="162" t="s">
        <v>1122</v>
      </c>
      <c r="F101" s="171">
        <v>53270</v>
      </c>
      <c r="G101" s="141" t="s">
        <v>140</v>
      </c>
      <c r="H101" s="174">
        <v>6</v>
      </c>
      <c r="I101" s="190" t="s">
        <v>804</v>
      </c>
      <c r="K101" s="174">
        <v>1861</v>
      </c>
      <c r="L101" s="149"/>
      <c r="M101" s="185"/>
    </row>
    <row r="102" spans="1:14" hidden="1">
      <c r="A102" s="140" t="str">
        <f t="shared" si="1"/>
        <v>03542-00065-06-A5F</v>
      </c>
      <c r="B102" s="162" t="s">
        <v>1119</v>
      </c>
      <c r="C102" s="162" t="s">
        <v>1787</v>
      </c>
      <c r="D102" s="162" t="s">
        <v>1122</v>
      </c>
      <c r="F102" s="171">
        <v>53270</v>
      </c>
      <c r="G102" s="141" t="s">
        <v>140</v>
      </c>
      <c r="H102" s="174">
        <v>6</v>
      </c>
      <c r="I102" s="190" t="s">
        <v>803</v>
      </c>
      <c r="K102" s="174">
        <v>7890</v>
      </c>
      <c r="L102" s="149"/>
      <c r="M102" s="185"/>
    </row>
    <row r="103" spans="1:14" hidden="1">
      <c r="A103" s="140" t="str">
        <f t="shared" si="1"/>
        <v>03542-00065-06-A7G</v>
      </c>
      <c r="B103" s="162" t="s">
        <v>1119</v>
      </c>
      <c r="C103" s="162" t="s">
        <v>1787</v>
      </c>
      <c r="D103" s="162" t="s">
        <v>1122</v>
      </c>
      <c r="F103" s="171">
        <v>53270</v>
      </c>
      <c r="G103" s="141" t="s">
        <v>140</v>
      </c>
      <c r="H103" s="174">
        <v>6</v>
      </c>
      <c r="I103" s="186" t="s">
        <v>934</v>
      </c>
      <c r="K103" s="174">
        <v>6373</v>
      </c>
      <c r="L103" s="149"/>
      <c r="M103" s="185"/>
    </row>
    <row r="104" spans="1:14" hidden="1">
      <c r="A104" s="140" t="str">
        <f t="shared" si="1"/>
        <v>03542-00065-06-A12B</v>
      </c>
      <c r="B104" s="162" t="s">
        <v>1119</v>
      </c>
      <c r="C104" s="162" t="s">
        <v>1787</v>
      </c>
      <c r="D104" s="162" t="s">
        <v>1122</v>
      </c>
      <c r="F104" s="171">
        <v>53270</v>
      </c>
      <c r="G104" s="141" t="s">
        <v>140</v>
      </c>
      <c r="H104" s="174">
        <v>6</v>
      </c>
      <c r="I104" s="186" t="s">
        <v>147</v>
      </c>
      <c r="K104" s="174">
        <v>6474</v>
      </c>
      <c r="L104" s="149"/>
      <c r="M104" s="185"/>
    </row>
    <row r="105" spans="1:14" ht="27" hidden="1">
      <c r="A105" s="140" t="str">
        <f t="shared" si="1"/>
        <v>03542-00065-07-A7F</v>
      </c>
      <c r="B105" s="162" t="s">
        <v>1119</v>
      </c>
      <c r="C105" s="162" t="s">
        <v>1787</v>
      </c>
      <c r="D105" s="162" t="s">
        <v>1122</v>
      </c>
      <c r="F105" s="171">
        <v>54464</v>
      </c>
      <c r="G105" s="141" t="s">
        <v>140</v>
      </c>
      <c r="H105" s="174">
        <v>7</v>
      </c>
      <c r="I105" s="190" t="s">
        <v>804</v>
      </c>
      <c r="J105" s="174">
        <v>1911</v>
      </c>
      <c r="K105" s="174">
        <v>1911</v>
      </c>
      <c r="L105" s="149"/>
      <c r="M105" s="185" t="s">
        <v>1159</v>
      </c>
      <c r="N105" s="183" t="s">
        <v>1883</v>
      </c>
    </row>
    <row r="106" spans="1:14" ht="27" hidden="1">
      <c r="A106" s="140" t="str">
        <f t="shared" si="1"/>
        <v>03542-00065-07-A5F</v>
      </c>
      <c r="B106" s="162" t="s">
        <v>1119</v>
      </c>
      <c r="C106" s="162" t="s">
        <v>1787</v>
      </c>
      <c r="D106" s="162" t="s">
        <v>1122</v>
      </c>
      <c r="F106" s="171">
        <v>54464</v>
      </c>
      <c r="G106" s="141" t="s">
        <v>140</v>
      </c>
      <c r="H106" s="174">
        <v>7</v>
      </c>
      <c r="I106" s="190" t="s">
        <v>803</v>
      </c>
      <c r="J106" s="174">
        <v>9383</v>
      </c>
      <c r="K106" s="174">
        <v>9383</v>
      </c>
      <c r="L106" s="149"/>
      <c r="M106" s="185" t="s">
        <v>1159</v>
      </c>
      <c r="N106" s="183" t="s">
        <v>1883</v>
      </c>
    </row>
    <row r="107" spans="1:14" ht="27" hidden="1">
      <c r="A107" s="140" t="str">
        <f t="shared" si="1"/>
        <v>03542-00065-07-A7G</v>
      </c>
      <c r="B107" s="162" t="s">
        <v>1119</v>
      </c>
      <c r="C107" s="162" t="s">
        <v>1787</v>
      </c>
      <c r="D107" s="162" t="s">
        <v>1122</v>
      </c>
      <c r="F107" s="171">
        <v>54464</v>
      </c>
      <c r="G107" s="141" t="s">
        <v>140</v>
      </c>
      <c r="H107" s="174">
        <v>7</v>
      </c>
      <c r="I107" s="190" t="s">
        <v>497</v>
      </c>
      <c r="J107" s="174">
        <v>7558</v>
      </c>
      <c r="K107" s="174">
        <v>7558</v>
      </c>
      <c r="L107" s="149"/>
      <c r="M107" s="185" t="s">
        <v>1159</v>
      </c>
      <c r="N107" s="183" t="s">
        <v>1883</v>
      </c>
    </row>
    <row r="108" spans="1:14" hidden="1">
      <c r="A108" s="140" t="str">
        <f t="shared" si="1"/>
        <v>03542-00065-08-A7F</v>
      </c>
      <c r="B108" s="162" t="s">
        <v>1119</v>
      </c>
      <c r="C108" s="162" t="s">
        <v>1787</v>
      </c>
      <c r="D108" s="162" t="s">
        <v>1122</v>
      </c>
      <c r="F108" s="171">
        <v>55511</v>
      </c>
      <c r="G108" s="141" t="s">
        <v>140</v>
      </c>
      <c r="H108" s="174">
        <v>8</v>
      </c>
      <c r="I108" s="186" t="s">
        <v>948</v>
      </c>
      <c r="M108" s="217" t="s">
        <v>396</v>
      </c>
    </row>
    <row r="109" spans="1:14" hidden="1">
      <c r="A109" s="140" t="str">
        <f t="shared" si="1"/>
        <v>03542-00065-08-A5F</v>
      </c>
      <c r="B109" s="162" t="s">
        <v>1119</v>
      </c>
      <c r="C109" s="162" t="s">
        <v>1787</v>
      </c>
      <c r="D109" s="162" t="s">
        <v>1122</v>
      </c>
      <c r="F109" s="171">
        <v>55511</v>
      </c>
      <c r="G109" s="141" t="s">
        <v>140</v>
      </c>
      <c r="H109" s="174">
        <v>8</v>
      </c>
      <c r="I109" s="190" t="s">
        <v>803</v>
      </c>
      <c r="M109" s="217" t="s">
        <v>396</v>
      </c>
    </row>
    <row r="110" spans="1:14" hidden="1">
      <c r="A110" s="140" t="str">
        <f t="shared" si="1"/>
        <v>03542-00065-08-A7G</v>
      </c>
      <c r="B110" s="162" t="s">
        <v>1119</v>
      </c>
      <c r="C110" s="162" t="s">
        <v>1787</v>
      </c>
      <c r="D110" s="162" t="s">
        <v>1122</v>
      </c>
      <c r="F110" s="171">
        <v>55511</v>
      </c>
      <c r="G110" s="141" t="s">
        <v>140</v>
      </c>
      <c r="H110" s="174">
        <v>8</v>
      </c>
      <c r="I110" s="190" t="s">
        <v>497</v>
      </c>
      <c r="M110" s="217" t="s">
        <v>396</v>
      </c>
    </row>
    <row r="111" spans="1:14" hidden="1">
      <c r="A111" s="140" t="str">
        <f t="shared" si="1"/>
        <v>03542-00091-00-A5F</v>
      </c>
      <c r="B111" s="162" t="s">
        <v>1119</v>
      </c>
      <c r="C111" s="162" t="s">
        <v>1787</v>
      </c>
      <c r="D111" s="162" t="s">
        <v>1122</v>
      </c>
      <c r="F111" s="171">
        <v>63015</v>
      </c>
      <c r="G111" s="141" t="s">
        <v>1026</v>
      </c>
      <c r="H111" s="174">
        <v>0</v>
      </c>
      <c r="I111" s="186" t="s">
        <v>1047</v>
      </c>
      <c r="K111" s="174">
        <v>12566</v>
      </c>
      <c r="M111" s="217" t="s">
        <v>1045</v>
      </c>
    </row>
    <row r="112" spans="1:14" ht="27" hidden="1">
      <c r="A112" s="140" t="str">
        <f t="shared" si="1"/>
        <v>03542-00091-01-A5F</v>
      </c>
      <c r="B112" s="162" t="s">
        <v>1119</v>
      </c>
      <c r="C112" s="162" t="s">
        <v>1787</v>
      </c>
      <c r="D112" s="162" t="s">
        <v>1122</v>
      </c>
      <c r="F112" s="171">
        <v>63433</v>
      </c>
      <c r="G112" s="141" t="s">
        <v>1026</v>
      </c>
      <c r="H112" s="174">
        <v>1</v>
      </c>
      <c r="I112" s="186" t="s">
        <v>803</v>
      </c>
      <c r="K112" s="174">
        <v>12566</v>
      </c>
      <c r="M112" s="217" t="s">
        <v>1143</v>
      </c>
      <c r="N112" s="183" t="s">
        <v>1884</v>
      </c>
    </row>
    <row r="113" spans="1:20" hidden="1">
      <c r="A113" s="140" t="str">
        <f t="shared" si="1"/>
        <v>03642-00034-00-A6E</v>
      </c>
      <c r="B113" s="162" t="s">
        <v>1119</v>
      </c>
      <c r="C113" s="162" t="s">
        <v>1787</v>
      </c>
      <c r="D113" s="162" t="s">
        <v>1122</v>
      </c>
      <c r="F113" s="171">
        <v>47399</v>
      </c>
      <c r="G113" s="141" t="s">
        <v>155</v>
      </c>
      <c r="H113" s="174">
        <v>0</v>
      </c>
      <c r="I113" s="198" t="s">
        <v>818</v>
      </c>
      <c r="N113" s="183" t="s">
        <v>29</v>
      </c>
      <c r="R113" s="151"/>
      <c r="S113" s="147"/>
      <c r="T113" s="148"/>
    </row>
    <row r="114" spans="1:20" hidden="1">
      <c r="A114" s="140" t="str">
        <f t="shared" si="1"/>
        <v>03642-00034-00-A9F</v>
      </c>
      <c r="B114" s="162" t="s">
        <v>1119</v>
      </c>
      <c r="C114" s="162" t="s">
        <v>1787</v>
      </c>
      <c r="D114" s="162" t="s">
        <v>1122</v>
      </c>
      <c r="F114" s="171">
        <v>47399</v>
      </c>
      <c r="G114" s="141" t="s">
        <v>155</v>
      </c>
      <c r="H114" s="174">
        <v>0</v>
      </c>
      <c r="I114" s="198" t="s">
        <v>840</v>
      </c>
      <c r="N114" s="183" t="s">
        <v>29</v>
      </c>
      <c r="R114" s="151"/>
      <c r="S114" s="147"/>
      <c r="T114" s="148"/>
    </row>
    <row r="115" spans="1:20" hidden="1">
      <c r="A115" s="140" t="str">
        <f t="shared" si="1"/>
        <v>03642-00034-01-A6E</v>
      </c>
      <c r="B115" s="162" t="s">
        <v>1119</v>
      </c>
      <c r="C115" s="162" t="s">
        <v>1787</v>
      </c>
      <c r="D115" s="162" t="s">
        <v>1122</v>
      </c>
      <c r="F115" s="171">
        <v>48702</v>
      </c>
      <c r="G115" s="141" t="s">
        <v>155</v>
      </c>
      <c r="H115" s="174">
        <v>1</v>
      </c>
      <c r="I115" s="186" t="s">
        <v>403</v>
      </c>
      <c r="J115" s="174">
        <v>845</v>
      </c>
      <c r="K115" s="174">
        <v>845</v>
      </c>
      <c r="L115" s="149"/>
      <c r="M115" s="185"/>
      <c r="N115" s="185"/>
      <c r="P115" s="155"/>
    </row>
    <row r="116" spans="1:20" hidden="1">
      <c r="A116" s="140" t="str">
        <f t="shared" si="1"/>
        <v>03642-00034-01-A9F</v>
      </c>
      <c r="B116" s="162" t="s">
        <v>1119</v>
      </c>
      <c r="C116" s="162" t="s">
        <v>1787</v>
      </c>
      <c r="D116" s="162" t="s">
        <v>1122</v>
      </c>
      <c r="F116" s="171">
        <v>48702</v>
      </c>
      <c r="G116" s="141" t="s">
        <v>155</v>
      </c>
      <c r="H116" s="174">
        <v>1</v>
      </c>
      <c r="I116" s="186" t="s">
        <v>863</v>
      </c>
      <c r="N116" s="185"/>
      <c r="P116" s="155"/>
    </row>
    <row r="117" spans="1:20" hidden="1">
      <c r="A117" s="140" t="str">
        <f t="shared" si="1"/>
        <v>03642-00034-02-A6E</v>
      </c>
      <c r="B117" s="162" t="s">
        <v>1119</v>
      </c>
      <c r="C117" s="162" t="s">
        <v>1787</v>
      </c>
      <c r="D117" s="162" t="s">
        <v>1122</v>
      </c>
      <c r="F117" s="171">
        <v>49134</v>
      </c>
      <c r="G117" s="141" t="s">
        <v>155</v>
      </c>
      <c r="H117" s="174">
        <v>2</v>
      </c>
      <c r="I117" s="186" t="s">
        <v>403</v>
      </c>
      <c r="J117" s="174">
        <v>836</v>
      </c>
      <c r="L117" s="149"/>
      <c r="M117" s="185"/>
    </row>
    <row r="118" spans="1:20" hidden="1">
      <c r="A118" s="140" t="str">
        <f t="shared" si="1"/>
        <v>03642-00034-02-A9F</v>
      </c>
      <c r="B118" s="162" t="s">
        <v>1119</v>
      </c>
      <c r="C118" s="162" t="s">
        <v>1787</v>
      </c>
      <c r="D118" s="162" t="s">
        <v>1122</v>
      </c>
      <c r="F118" s="171">
        <v>49134</v>
      </c>
      <c r="G118" s="141" t="s">
        <v>155</v>
      </c>
      <c r="H118" s="174">
        <v>2</v>
      </c>
      <c r="I118" s="186" t="s">
        <v>863</v>
      </c>
      <c r="J118" s="174">
        <v>6</v>
      </c>
      <c r="L118" s="149"/>
      <c r="M118" s="185"/>
    </row>
    <row r="119" spans="1:20" hidden="1">
      <c r="A119" s="140" t="str">
        <f t="shared" si="1"/>
        <v>03642-00034-03-A6E</v>
      </c>
      <c r="B119" s="162" t="s">
        <v>1119</v>
      </c>
      <c r="C119" s="162" t="s">
        <v>1787</v>
      </c>
      <c r="D119" s="162" t="s">
        <v>1122</v>
      </c>
      <c r="F119" s="171">
        <v>49402</v>
      </c>
      <c r="G119" s="141" t="s">
        <v>155</v>
      </c>
      <c r="H119" s="174">
        <v>3</v>
      </c>
      <c r="I119" s="198" t="s">
        <v>818</v>
      </c>
    </row>
    <row r="120" spans="1:20" hidden="1">
      <c r="A120" s="140" t="str">
        <f t="shared" si="1"/>
        <v>03642-00034-03-A9F</v>
      </c>
      <c r="B120" s="162" t="s">
        <v>1119</v>
      </c>
      <c r="C120" s="162" t="s">
        <v>1787</v>
      </c>
      <c r="D120" s="162" t="s">
        <v>1122</v>
      </c>
      <c r="F120" s="171">
        <v>49402</v>
      </c>
      <c r="G120" s="141" t="s">
        <v>155</v>
      </c>
      <c r="H120" s="174">
        <v>3</v>
      </c>
      <c r="I120" s="186" t="s">
        <v>863</v>
      </c>
    </row>
    <row r="121" spans="1:20" hidden="1">
      <c r="A121" s="140" t="str">
        <f t="shared" si="1"/>
        <v>03642-00034-04-A6E</v>
      </c>
      <c r="B121" s="162" t="s">
        <v>1119</v>
      </c>
      <c r="C121" s="162" t="s">
        <v>1787</v>
      </c>
      <c r="D121" s="162" t="s">
        <v>1122</v>
      </c>
      <c r="F121" s="171">
        <v>49504</v>
      </c>
      <c r="G121" s="141" t="s">
        <v>155</v>
      </c>
      <c r="H121" s="174">
        <v>4</v>
      </c>
      <c r="I121" s="198" t="s">
        <v>818</v>
      </c>
      <c r="J121" s="174">
        <v>866</v>
      </c>
      <c r="K121" s="174">
        <v>866</v>
      </c>
      <c r="L121" s="149"/>
      <c r="M121" s="185"/>
    </row>
    <row r="122" spans="1:20" hidden="1">
      <c r="A122" s="140" t="str">
        <f t="shared" si="1"/>
        <v>03642-00034-04-A9F</v>
      </c>
      <c r="B122" s="162" t="s">
        <v>1119</v>
      </c>
      <c r="C122" s="162" t="s">
        <v>1787</v>
      </c>
      <c r="D122" s="162" t="s">
        <v>1122</v>
      </c>
      <c r="F122" s="171">
        <v>49504</v>
      </c>
      <c r="G122" s="141" t="s">
        <v>155</v>
      </c>
      <c r="H122" s="174">
        <v>4</v>
      </c>
      <c r="I122" s="198" t="s">
        <v>840</v>
      </c>
      <c r="J122" s="174">
        <v>9</v>
      </c>
      <c r="K122" s="174">
        <v>9</v>
      </c>
      <c r="L122" s="149"/>
      <c r="M122" s="185"/>
    </row>
    <row r="123" spans="1:20" hidden="1">
      <c r="A123" s="140" t="str">
        <f t="shared" si="1"/>
        <v>03642-00034-06-A9F</v>
      </c>
      <c r="B123" s="162" t="s">
        <v>1119</v>
      </c>
      <c r="C123" s="162" t="s">
        <v>1787</v>
      </c>
      <c r="D123" s="162" t="s">
        <v>1122</v>
      </c>
      <c r="F123" s="171">
        <v>51631</v>
      </c>
      <c r="G123" s="141" t="s">
        <v>155</v>
      </c>
      <c r="H123" s="174">
        <v>6</v>
      </c>
      <c r="I123" s="186" t="s">
        <v>863</v>
      </c>
      <c r="J123" s="174">
        <v>1687</v>
      </c>
      <c r="K123" s="174">
        <v>1687</v>
      </c>
      <c r="L123" s="149"/>
      <c r="M123" s="185"/>
    </row>
    <row r="124" spans="1:20" hidden="1">
      <c r="A124" s="140" t="str">
        <f t="shared" si="1"/>
        <v>03642-00034-06-A6E</v>
      </c>
      <c r="B124" s="162" t="s">
        <v>1119</v>
      </c>
      <c r="C124" s="162" t="s">
        <v>1787</v>
      </c>
      <c r="D124" s="162" t="s">
        <v>1122</v>
      </c>
      <c r="F124" s="171">
        <v>51631</v>
      </c>
      <c r="G124" s="141" t="s">
        <v>155</v>
      </c>
      <c r="H124" s="174">
        <v>6</v>
      </c>
      <c r="I124" s="186" t="s">
        <v>403</v>
      </c>
      <c r="J124" s="174">
        <v>2264</v>
      </c>
      <c r="K124" s="174">
        <v>2264</v>
      </c>
      <c r="L124" s="149"/>
      <c r="M124" s="185"/>
    </row>
    <row r="125" spans="1:20" hidden="1">
      <c r="A125" s="140" t="str">
        <f t="shared" si="1"/>
        <v>03642-00034-07-A9F</v>
      </c>
      <c r="B125" s="162" t="s">
        <v>1119</v>
      </c>
      <c r="C125" s="162" t="s">
        <v>1787</v>
      </c>
      <c r="D125" s="162" t="s">
        <v>1122</v>
      </c>
      <c r="F125" s="171">
        <v>53264</v>
      </c>
      <c r="G125" s="141" t="s">
        <v>155</v>
      </c>
      <c r="H125" s="174">
        <v>7</v>
      </c>
      <c r="I125" s="186" t="s">
        <v>863</v>
      </c>
      <c r="K125" s="174">
        <v>2443</v>
      </c>
      <c r="L125" s="149"/>
      <c r="M125" s="185"/>
    </row>
    <row r="126" spans="1:20" hidden="1">
      <c r="A126" s="140" t="str">
        <f t="shared" si="1"/>
        <v>03642-00034-07-A6E</v>
      </c>
      <c r="B126" s="162" t="s">
        <v>1119</v>
      </c>
      <c r="C126" s="162" t="s">
        <v>1787</v>
      </c>
      <c r="D126" s="162" t="s">
        <v>1122</v>
      </c>
      <c r="F126" s="171">
        <v>53264</v>
      </c>
      <c r="G126" s="141" t="s">
        <v>155</v>
      </c>
      <c r="H126" s="174">
        <v>7</v>
      </c>
      <c r="I126" s="186" t="s">
        <v>403</v>
      </c>
      <c r="K126" s="174">
        <v>2915</v>
      </c>
      <c r="L126" s="149"/>
      <c r="M126" s="185"/>
    </row>
    <row r="127" spans="1:20" hidden="1">
      <c r="A127" s="140" t="str">
        <f t="shared" si="1"/>
        <v>03642-00034-08-A9F</v>
      </c>
      <c r="B127" s="162" t="s">
        <v>1119</v>
      </c>
      <c r="C127" s="162" t="s">
        <v>1787</v>
      </c>
      <c r="D127" s="162" t="s">
        <v>1122</v>
      </c>
      <c r="F127" s="171">
        <v>54790</v>
      </c>
      <c r="G127" s="141" t="s">
        <v>155</v>
      </c>
      <c r="H127" s="174">
        <v>8</v>
      </c>
      <c r="I127" s="186" t="s">
        <v>863</v>
      </c>
      <c r="J127" s="174">
        <v>3571</v>
      </c>
      <c r="K127" s="174">
        <v>3571</v>
      </c>
      <c r="L127" s="149"/>
      <c r="M127" s="185" t="s">
        <v>404</v>
      </c>
    </row>
    <row r="128" spans="1:20" hidden="1">
      <c r="A128" s="140" t="str">
        <f t="shared" si="1"/>
        <v>03642-00034-08-A6E</v>
      </c>
      <c r="B128" s="162" t="s">
        <v>1119</v>
      </c>
      <c r="C128" s="162" t="s">
        <v>1787</v>
      </c>
      <c r="D128" s="162" t="s">
        <v>1122</v>
      </c>
      <c r="F128" s="171">
        <v>54790</v>
      </c>
      <c r="G128" s="141" t="s">
        <v>155</v>
      </c>
      <c r="H128" s="174">
        <v>8</v>
      </c>
      <c r="I128" s="186" t="s">
        <v>403</v>
      </c>
      <c r="J128" s="174">
        <v>4297</v>
      </c>
      <c r="K128" s="174">
        <v>4297</v>
      </c>
      <c r="L128" s="149"/>
      <c r="M128" s="185" t="s">
        <v>404</v>
      </c>
    </row>
    <row r="129" spans="1:14" hidden="1">
      <c r="A129" s="140" t="str">
        <f t="shared" si="1"/>
        <v>03642-00072-00-A6E</v>
      </c>
      <c r="B129" s="162" t="s">
        <v>1119</v>
      </c>
      <c r="C129" s="162" t="s">
        <v>1787</v>
      </c>
      <c r="D129" s="162" t="s">
        <v>1122</v>
      </c>
      <c r="F129" s="171">
        <v>63015</v>
      </c>
      <c r="G129" s="141" t="s">
        <v>1035</v>
      </c>
      <c r="H129" s="174">
        <v>0</v>
      </c>
      <c r="I129" s="186" t="s">
        <v>1033</v>
      </c>
      <c r="K129" s="174">
        <v>7085</v>
      </c>
      <c r="M129" s="217" t="s">
        <v>433</v>
      </c>
    </row>
    <row r="130" spans="1:14" ht="27" hidden="1">
      <c r="A130" s="140" t="str">
        <f t="shared" ref="A130:A191" si="2">G130&amp;"-"&amp;TEXT(H130,"00")&amp;"-"&amp;I130</f>
        <v>03642-00072-01-A6E</v>
      </c>
      <c r="B130" s="162" t="s">
        <v>1119</v>
      </c>
      <c r="C130" s="162" t="s">
        <v>1787</v>
      </c>
      <c r="D130" s="162" t="s">
        <v>1122</v>
      </c>
      <c r="F130" s="171">
        <v>63427</v>
      </c>
      <c r="G130" s="141" t="s">
        <v>1035</v>
      </c>
      <c r="H130" s="174">
        <v>1</v>
      </c>
      <c r="I130" s="186" t="s">
        <v>403</v>
      </c>
      <c r="K130" s="174">
        <v>7085</v>
      </c>
      <c r="M130" s="217" t="s">
        <v>1073</v>
      </c>
      <c r="N130" s="183" t="s">
        <v>1884</v>
      </c>
    </row>
    <row r="131" spans="1:14" hidden="1">
      <c r="A131" s="140" t="str">
        <f t="shared" si="2"/>
        <v>03642-00327-00-A9F</v>
      </c>
      <c r="B131" s="162" t="s">
        <v>1119</v>
      </c>
      <c r="C131" s="162" t="s">
        <v>1787</v>
      </c>
      <c r="D131" s="162" t="s">
        <v>1122</v>
      </c>
      <c r="F131" s="171">
        <v>62121</v>
      </c>
      <c r="G131" s="144" t="s">
        <v>1037</v>
      </c>
      <c r="H131" s="174">
        <v>0</v>
      </c>
      <c r="I131" s="186" t="s">
        <v>1034</v>
      </c>
      <c r="M131" s="217" t="s">
        <v>433</v>
      </c>
    </row>
    <row r="132" spans="1:14" hidden="1">
      <c r="A132" s="140" t="str">
        <f t="shared" si="2"/>
        <v>03742-00133-00-J7B</v>
      </c>
      <c r="B132" s="162" t="s">
        <v>1119</v>
      </c>
      <c r="C132" s="162" t="s">
        <v>1787</v>
      </c>
      <c r="D132" s="162" t="s">
        <v>1122</v>
      </c>
      <c r="F132" s="171">
        <v>50132</v>
      </c>
      <c r="G132" s="141" t="s">
        <v>198</v>
      </c>
      <c r="H132" s="174">
        <v>0</v>
      </c>
      <c r="I132" s="186" t="s">
        <v>890</v>
      </c>
      <c r="M132" s="217" t="s">
        <v>1194</v>
      </c>
      <c r="N132" s="183" t="s">
        <v>29</v>
      </c>
    </row>
    <row r="133" spans="1:14" hidden="1">
      <c r="A133" s="140" t="str">
        <f t="shared" si="2"/>
        <v>03742-00133-01-J7B</v>
      </c>
      <c r="B133" s="162" t="s">
        <v>1119</v>
      </c>
      <c r="C133" s="162" t="s">
        <v>1787</v>
      </c>
      <c r="D133" s="162" t="s">
        <v>1122</v>
      </c>
      <c r="F133" s="171">
        <v>51617</v>
      </c>
      <c r="G133" s="141" t="s">
        <v>198</v>
      </c>
      <c r="H133" s="174">
        <v>1</v>
      </c>
      <c r="I133" s="186" t="s">
        <v>199</v>
      </c>
      <c r="J133" s="174">
        <v>1</v>
      </c>
      <c r="L133" s="149"/>
      <c r="M133" s="185" t="s">
        <v>1194</v>
      </c>
      <c r="N133" s="183" t="s">
        <v>1885</v>
      </c>
    </row>
    <row r="134" spans="1:14" hidden="1">
      <c r="A134" s="140" t="str">
        <f t="shared" si="2"/>
        <v>03742-00133-01-J10B</v>
      </c>
      <c r="B134" s="162" t="s">
        <v>1119</v>
      </c>
      <c r="C134" s="162" t="s">
        <v>1787</v>
      </c>
      <c r="D134" s="162" t="s">
        <v>1122</v>
      </c>
      <c r="F134" s="171">
        <v>51617</v>
      </c>
      <c r="G134" s="141" t="s">
        <v>198</v>
      </c>
      <c r="H134" s="174">
        <v>1</v>
      </c>
      <c r="I134" s="186" t="s">
        <v>943</v>
      </c>
      <c r="M134" s="217" t="s">
        <v>1194</v>
      </c>
      <c r="N134" s="183" t="s">
        <v>1885</v>
      </c>
    </row>
    <row r="135" spans="1:14" hidden="1">
      <c r="A135" s="140" t="str">
        <f t="shared" si="2"/>
        <v>03742-00133-02-J7B</v>
      </c>
      <c r="B135" s="162" t="s">
        <v>1119</v>
      </c>
      <c r="C135" s="162" t="s">
        <v>1787</v>
      </c>
      <c r="D135" s="162" t="s">
        <v>1122</v>
      </c>
      <c r="F135" s="171">
        <v>53787</v>
      </c>
      <c r="G135" s="141" t="s">
        <v>198</v>
      </c>
      <c r="H135" s="174">
        <v>2</v>
      </c>
      <c r="I135" s="186" t="s">
        <v>199</v>
      </c>
      <c r="M135" s="217" t="s">
        <v>1134</v>
      </c>
      <c r="N135" s="183" t="s">
        <v>1886</v>
      </c>
    </row>
    <row r="136" spans="1:14" hidden="1">
      <c r="A136" s="140" t="str">
        <f t="shared" si="2"/>
        <v>03742-00133-02-J10B</v>
      </c>
      <c r="B136" s="162" t="s">
        <v>1119</v>
      </c>
      <c r="C136" s="162" t="s">
        <v>1787</v>
      </c>
      <c r="D136" s="162" t="s">
        <v>1122</v>
      </c>
      <c r="F136" s="171">
        <v>53787</v>
      </c>
      <c r="G136" s="141" t="s">
        <v>198</v>
      </c>
      <c r="H136" s="174">
        <v>2</v>
      </c>
      <c r="I136" s="186" t="s">
        <v>943</v>
      </c>
      <c r="M136" s="217" t="s">
        <v>1134</v>
      </c>
      <c r="N136" s="183" t="s">
        <v>1886</v>
      </c>
    </row>
    <row r="137" spans="1:14" hidden="1">
      <c r="A137" s="140" t="str">
        <f t="shared" si="2"/>
        <v>03742-00133-03-J7B</v>
      </c>
      <c r="B137" s="162" t="s">
        <v>1119</v>
      </c>
      <c r="C137" s="162" t="s">
        <v>1787</v>
      </c>
      <c r="D137" s="162" t="s">
        <v>1122</v>
      </c>
      <c r="F137" s="171">
        <v>54269</v>
      </c>
      <c r="G137" s="141" t="s">
        <v>198</v>
      </c>
      <c r="H137" s="174">
        <v>3</v>
      </c>
      <c r="I137" s="186" t="s">
        <v>199</v>
      </c>
      <c r="J137" s="174">
        <v>8</v>
      </c>
      <c r="L137" s="149"/>
      <c r="M137" s="185" t="s">
        <v>1065</v>
      </c>
      <c r="N137" s="183" t="s">
        <v>1887</v>
      </c>
    </row>
    <row r="138" spans="1:14" hidden="1">
      <c r="A138" s="140" t="str">
        <f t="shared" si="2"/>
        <v>03742-00133-03-J10B</v>
      </c>
      <c r="B138" s="162" t="s">
        <v>1119</v>
      </c>
      <c r="C138" s="162" t="s">
        <v>1787</v>
      </c>
      <c r="D138" s="162" t="s">
        <v>1122</v>
      </c>
      <c r="F138" s="171">
        <v>54269</v>
      </c>
      <c r="G138" s="141" t="s">
        <v>198</v>
      </c>
      <c r="H138" s="174">
        <v>3</v>
      </c>
      <c r="I138" s="186" t="s">
        <v>943</v>
      </c>
      <c r="J138" s="174">
        <v>7</v>
      </c>
      <c r="L138" s="149"/>
      <c r="M138" s="185" t="s">
        <v>1065</v>
      </c>
      <c r="N138" s="183" t="s">
        <v>1887</v>
      </c>
    </row>
    <row r="139" spans="1:14" hidden="1">
      <c r="A139" s="140" t="str">
        <f t="shared" si="2"/>
        <v>03742-00133-04-J7B</v>
      </c>
      <c r="B139" s="162" t="s">
        <v>1119</v>
      </c>
      <c r="C139" s="162" t="s">
        <v>1787</v>
      </c>
      <c r="D139" s="162" t="s">
        <v>1122</v>
      </c>
      <c r="F139" s="171">
        <v>54324</v>
      </c>
      <c r="G139" s="141" t="s">
        <v>198</v>
      </c>
      <c r="H139" s="174">
        <v>4</v>
      </c>
      <c r="I139" s="186" t="s">
        <v>199</v>
      </c>
      <c r="J139" s="174">
        <v>8</v>
      </c>
      <c r="K139" s="174">
        <v>8</v>
      </c>
      <c r="L139" s="149"/>
      <c r="M139" s="185" t="s">
        <v>312</v>
      </c>
      <c r="N139" s="183" t="s">
        <v>1888</v>
      </c>
    </row>
    <row r="140" spans="1:14" hidden="1">
      <c r="A140" s="140" t="str">
        <f t="shared" si="2"/>
        <v>03742-00133-04-J10B</v>
      </c>
      <c r="B140" s="162" t="s">
        <v>1119</v>
      </c>
      <c r="C140" s="162" t="s">
        <v>1787</v>
      </c>
      <c r="D140" s="162" t="s">
        <v>1122</v>
      </c>
      <c r="F140" s="171">
        <v>54324</v>
      </c>
      <c r="G140" s="141" t="s">
        <v>198</v>
      </c>
      <c r="H140" s="174">
        <v>4</v>
      </c>
      <c r="I140" s="186" t="s">
        <v>943</v>
      </c>
      <c r="J140" s="174">
        <v>7</v>
      </c>
      <c r="K140" s="174">
        <v>7</v>
      </c>
      <c r="L140" s="149"/>
      <c r="M140" s="185" t="s">
        <v>312</v>
      </c>
      <c r="N140" s="183" t="s">
        <v>1888</v>
      </c>
    </row>
    <row r="141" spans="1:14" ht="27" hidden="1">
      <c r="A141" s="140" t="str">
        <f t="shared" si="2"/>
        <v>03742-00133-05-J10B</v>
      </c>
      <c r="B141" s="162" t="s">
        <v>1119</v>
      </c>
      <c r="C141" s="162" t="s">
        <v>1787</v>
      </c>
      <c r="D141" s="162" t="s">
        <v>1122</v>
      </c>
      <c r="F141" s="171">
        <v>54905</v>
      </c>
      <c r="G141" s="141" t="s">
        <v>198</v>
      </c>
      <c r="H141" s="174">
        <v>5</v>
      </c>
      <c r="I141" s="186" t="s">
        <v>943</v>
      </c>
      <c r="L141" s="149"/>
      <c r="M141" s="185" t="s">
        <v>263</v>
      </c>
      <c r="N141" s="183" t="s">
        <v>1889</v>
      </c>
    </row>
    <row r="142" spans="1:14" ht="27" hidden="1">
      <c r="A142" s="140" t="str">
        <f t="shared" si="2"/>
        <v>03742-00133-05-J7B</v>
      </c>
      <c r="B142" s="162" t="s">
        <v>1119</v>
      </c>
      <c r="C142" s="162" t="s">
        <v>1787</v>
      </c>
      <c r="D142" s="162" t="s">
        <v>1122</v>
      </c>
      <c r="F142" s="171">
        <v>54905</v>
      </c>
      <c r="G142" s="141" t="s">
        <v>198</v>
      </c>
      <c r="H142" s="174">
        <v>5</v>
      </c>
      <c r="I142" s="186" t="s">
        <v>199</v>
      </c>
      <c r="J142" s="174">
        <v>8</v>
      </c>
      <c r="L142" s="149"/>
      <c r="M142" s="185" t="s">
        <v>263</v>
      </c>
      <c r="N142" s="183" t="s">
        <v>1889</v>
      </c>
    </row>
    <row r="143" spans="1:14" hidden="1">
      <c r="A143" s="140" t="str">
        <f t="shared" si="2"/>
        <v>03742-00133-06-J7B</v>
      </c>
      <c r="B143" s="162" t="s">
        <v>1119</v>
      </c>
      <c r="C143" s="162" t="s">
        <v>1787</v>
      </c>
      <c r="D143" s="162" t="s">
        <v>1122</v>
      </c>
      <c r="F143" s="171">
        <v>54648</v>
      </c>
      <c r="G143" s="141" t="s">
        <v>198</v>
      </c>
      <c r="H143" s="174">
        <v>6</v>
      </c>
      <c r="I143" s="186" t="s">
        <v>199</v>
      </c>
      <c r="J143" s="174">
        <v>132</v>
      </c>
      <c r="K143" s="174">
        <v>132</v>
      </c>
      <c r="L143" s="149"/>
      <c r="M143" s="185" t="s">
        <v>1196</v>
      </c>
      <c r="N143" s="183" t="s">
        <v>1890</v>
      </c>
    </row>
    <row r="144" spans="1:14" hidden="1">
      <c r="A144" s="140" t="str">
        <f t="shared" si="2"/>
        <v>03742-00133-06-J10B</v>
      </c>
      <c r="B144" s="162" t="s">
        <v>1119</v>
      </c>
      <c r="C144" s="162" t="s">
        <v>1787</v>
      </c>
      <c r="D144" s="162" t="s">
        <v>1122</v>
      </c>
      <c r="F144" s="171">
        <v>54648</v>
      </c>
      <c r="G144" s="141" t="s">
        <v>198</v>
      </c>
      <c r="H144" s="174">
        <v>6</v>
      </c>
      <c r="I144" s="186" t="s">
        <v>943</v>
      </c>
      <c r="J144" s="174">
        <v>8</v>
      </c>
      <c r="K144" s="174">
        <v>8</v>
      </c>
      <c r="L144" s="149"/>
      <c r="M144" s="185" t="s">
        <v>1196</v>
      </c>
      <c r="N144" s="183" t="s">
        <v>1890</v>
      </c>
    </row>
    <row r="145" spans="1:14" hidden="1">
      <c r="A145" s="140" t="str">
        <f t="shared" si="2"/>
        <v>03742-00133-07-J10B</v>
      </c>
      <c r="B145" s="162" t="s">
        <v>1119</v>
      </c>
      <c r="C145" s="162" t="s">
        <v>1787</v>
      </c>
      <c r="D145" s="162" t="s">
        <v>1122</v>
      </c>
      <c r="F145" s="171">
        <v>55139</v>
      </c>
      <c r="G145" s="141" t="s">
        <v>198</v>
      </c>
      <c r="H145" s="174">
        <v>7</v>
      </c>
      <c r="I145" s="186" t="s">
        <v>943</v>
      </c>
      <c r="M145" s="217" t="s">
        <v>423</v>
      </c>
      <c r="N145" s="183" t="s">
        <v>1891</v>
      </c>
    </row>
    <row r="146" spans="1:14" ht="27" hidden="1">
      <c r="A146" s="140" t="str">
        <f t="shared" si="2"/>
        <v>03742-00133-08-J7B</v>
      </c>
      <c r="B146" s="162" t="s">
        <v>1119</v>
      </c>
      <c r="C146" s="162" t="s">
        <v>1787</v>
      </c>
      <c r="D146" s="162" t="s">
        <v>1122</v>
      </c>
      <c r="F146" s="171">
        <v>54721</v>
      </c>
      <c r="G146" s="141" t="s">
        <v>198</v>
      </c>
      <c r="H146" s="174">
        <v>8</v>
      </c>
      <c r="I146" s="186" t="s">
        <v>199</v>
      </c>
      <c r="J146" s="174">
        <v>153</v>
      </c>
      <c r="K146" s="174">
        <v>75</v>
      </c>
      <c r="L146" s="149"/>
      <c r="M146" s="185" t="s">
        <v>1199</v>
      </c>
      <c r="N146" s="183" t="s">
        <v>1892</v>
      </c>
    </row>
    <row r="147" spans="1:14" ht="27" hidden="1">
      <c r="A147" s="140" t="str">
        <f t="shared" si="2"/>
        <v>03742-00133-08-J10B</v>
      </c>
      <c r="B147" s="162" t="s">
        <v>1119</v>
      </c>
      <c r="C147" s="162" t="s">
        <v>1787</v>
      </c>
      <c r="D147" s="162" t="s">
        <v>1122</v>
      </c>
      <c r="F147" s="171">
        <v>54721</v>
      </c>
      <c r="G147" s="141" t="s">
        <v>198</v>
      </c>
      <c r="H147" s="174">
        <v>8</v>
      </c>
      <c r="I147" s="186" t="s">
        <v>943</v>
      </c>
      <c r="J147" s="174">
        <v>8</v>
      </c>
      <c r="L147" s="149"/>
      <c r="M147" s="185" t="s">
        <v>1199</v>
      </c>
      <c r="N147" s="183" t="s">
        <v>1892</v>
      </c>
    </row>
    <row r="148" spans="1:14" ht="27" hidden="1">
      <c r="A148" s="140" t="str">
        <f t="shared" si="2"/>
        <v>03742-00133-09-J7B</v>
      </c>
      <c r="B148" s="162" t="s">
        <v>1119</v>
      </c>
      <c r="C148" s="162" t="s">
        <v>1787</v>
      </c>
      <c r="D148" s="162" t="s">
        <v>1122</v>
      </c>
      <c r="F148" s="171">
        <v>55674</v>
      </c>
      <c r="G148" s="141" t="s">
        <v>198</v>
      </c>
      <c r="H148" s="174">
        <v>9</v>
      </c>
      <c r="I148" s="186" t="s">
        <v>199</v>
      </c>
      <c r="M148" s="217" t="s">
        <v>309</v>
      </c>
      <c r="N148" s="183" t="s">
        <v>1893</v>
      </c>
    </row>
    <row r="149" spans="1:14" ht="27" hidden="1">
      <c r="A149" s="140" t="str">
        <f t="shared" si="2"/>
        <v>03742-00133-09-J10B</v>
      </c>
      <c r="B149" s="162" t="s">
        <v>1119</v>
      </c>
      <c r="C149" s="162" t="s">
        <v>1787</v>
      </c>
      <c r="D149" s="162" t="s">
        <v>1122</v>
      </c>
      <c r="F149" s="171">
        <v>55674</v>
      </c>
      <c r="G149" s="141" t="s">
        <v>198</v>
      </c>
      <c r="H149" s="174">
        <v>9</v>
      </c>
      <c r="I149" s="186" t="s">
        <v>943</v>
      </c>
      <c r="J149" s="174">
        <v>34</v>
      </c>
      <c r="K149" s="174">
        <v>34</v>
      </c>
      <c r="M149" s="217" t="s">
        <v>309</v>
      </c>
      <c r="N149" s="183" t="s">
        <v>1893</v>
      </c>
    </row>
    <row r="150" spans="1:14" ht="27" hidden="1">
      <c r="A150" s="140" t="str">
        <f t="shared" si="2"/>
        <v>03742-00133-10-J7B</v>
      </c>
      <c r="B150" s="162" t="s">
        <v>1119</v>
      </c>
      <c r="C150" s="162" t="s">
        <v>1787</v>
      </c>
      <c r="D150" s="162" t="s">
        <v>1122</v>
      </c>
      <c r="F150" s="171">
        <v>55994</v>
      </c>
      <c r="G150" s="141" t="s">
        <v>198</v>
      </c>
      <c r="H150" s="174">
        <v>10</v>
      </c>
      <c r="I150" s="186" t="s">
        <v>959</v>
      </c>
      <c r="M150" s="217" t="s">
        <v>1201</v>
      </c>
      <c r="N150" s="183" t="s">
        <v>1894</v>
      </c>
    </row>
    <row r="151" spans="1:14" ht="27" hidden="1">
      <c r="A151" s="140" t="str">
        <f t="shared" si="2"/>
        <v>03742-00133-10-J10B</v>
      </c>
      <c r="B151" s="162" t="s">
        <v>1119</v>
      </c>
      <c r="C151" s="162" t="s">
        <v>1787</v>
      </c>
      <c r="D151" s="162" t="s">
        <v>1122</v>
      </c>
      <c r="F151" s="171">
        <v>55994</v>
      </c>
      <c r="G151" s="141" t="s">
        <v>198</v>
      </c>
      <c r="H151" s="174">
        <v>10</v>
      </c>
      <c r="I151" s="186" t="s">
        <v>943</v>
      </c>
      <c r="J151" s="174">
        <v>45</v>
      </c>
      <c r="K151" s="174">
        <v>45</v>
      </c>
      <c r="M151" s="217" t="s">
        <v>1201</v>
      </c>
      <c r="N151" s="183" t="s">
        <v>1894</v>
      </c>
    </row>
    <row r="152" spans="1:14" ht="27" hidden="1">
      <c r="A152" s="140" t="str">
        <f t="shared" si="2"/>
        <v>03742-00133-11-J7B</v>
      </c>
      <c r="B152" s="162" t="s">
        <v>1119</v>
      </c>
      <c r="C152" s="162" t="s">
        <v>1787</v>
      </c>
      <c r="D152" s="162" t="s">
        <v>1122</v>
      </c>
      <c r="F152" s="171">
        <v>60238</v>
      </c>
      <c r="G152" s="141" t="s">
        <v>198</v>
      </c>
      <c r="H152" s="174">
        <v>11</v>
      </c>
      <c r="I152" s="186" t="s">
        <v>199</v>
      </c>
      <c r="J152" s="174">
        <v>1369</v>
      </c>
      <c r="K152" s="174">
        <v>1369</v>
      </c>
      <c r="M152" s="217" t="s">
        <v>268</v>
      </c>
      <c r="N152" s="183" t="s">
        <v>1895</v>
      </c>
    </row>
    <row r="153" spans="1:14" ht="27" hidden="1">
      <c r="A153" s="140" t="str">
        <f t="shared" si="2"/>
        <v>03742-00133-11-J10B</v>
      </c>
      <c r="B153" s="162" t="s">
        <v>1119</v>
      </c>
      <c r="C153" s="162" t="s">
        <v>1787</v>
      </c>
      <c r="D153" s="162" t="s">
        <v>1122</v>
      </c>
      <c r="F153" s="171">
        <v>60238</v>
      </c>
      <c r="G153" s="141" t="s">
        <v>198</v>
      </c>
      <c r="H153" s="174">
        <v>11</v>
      </c>
      <c r="I153" s="186" t="s">
        <v>943</v>
      </c>
      <c r="J153" s="174">
        <v>587</v>
      </c>
      <c r="K153" s="174">
        <v>577</v>
      </c>
      <c r="M153" s="217" t="s">
        <v>268</v>
      </c>
      <c r="N153" s="183" t="s">
        <v>1895</v>
      </c>
    </row>
    <row r="154" spans="1:14" ht="27" hidden="1">
      <c r="A154" s="140" t="str">
        <f t="shared" si="2"/>
        <v>03742-00133-12-J7B</v>
      </c>
      <c r="B154" s="162" t="s">
        <v>1119</v>
      </c>
      <c r="C154" s="162" t="s">
        <v>1787</v>
      </c>
      <c r="D154" s="162" t="s">
        <v>1122</v>
      </c>
      <c r="F154" s="171">
        <v>61179</v>
      </c>
      <c r="G154" s="141" t="s">
        <v>198</v>
      </c>
      <c r="H154" s="174">
        <v>12</v>
      </c>
      <c r="I154" s="186" t="s">
        <v>199</v>
      </c>
      <c r="J154" s="174">
        <v>2040</v>
      </c>
      <c r="K154" s="174">
        <v>2040</v>
      </c>
      <c r="M154" s="217" t="s">
        <v>1202</v>
      </c>
      <c r="N154" s="183" t="s">
        <v>1896</v>
      </c>
    </row>
    <row r="155" spans="1:14" ht="27" hidden="1">
      <c r="A155" s="140" t="str">
        <f t="shared" si="2"/>
        <v>03742-00133-12-J10B</v>
      </c>
      <c r="B155" s="162" t="s">
        <v>1119</v>
      </c>
      <c r="C155" s="162" t="s">
        <v>1787</v>
      </c>
      <c r="D155" s="162" t="s">
        <v>1122</v>
      </c>
      <c r="F155" s="171">
        <v>61179</v>
      </c>
      <c r="G155" s="141" t="s">
        <v>198</v>
      </c>
      <c r="H155" s="174">
        <v>12</v>
      </c>
      <c r="I155" s="186" t="s">
        <v>943</v>
      </c>
      <c r="J155" s="174">
        <v>1149</v>
      </c>
      <c r="K155" s="174">
        <v>1149</v>
      </c>
      <c r="M155" s="217" t="s">
        <v>1202</v>
      </c>
      <c r="N155" s="183" t="s">
        <v>1896</v>
      </c>
    </row>
    <row r="156" spans="1:14" ht="27" hidden="1">
      <c r="A156" s="140" t="str">
        <f t="shared" si="2"/>
        <v>03742-00529-00-J7B</v>
      </c>
      <c r="B156" s="162" t="s">
        <v>1119</v>
      </c>
      <c r="C156" s="162" t="s">
        <v>1787</v>
      </c>
      <c r="D156" s="162" t="s">
        <v>1122</v>
      </c>
      <c r="F156" s="171">
        <v>62516</v>
      </c>
      <c r="G156" s="141" t="s">
        <v>200</v>
      </c>
      <c r="H156" s="174">
        <v>0</v>
      </c>
      <c r="I156" s="186" t="s">
        <v>199</v>
      </c>
      <c r="J156" s="174">
        <v>2235</v>
      </c>
      <c r="K156" s="174">
        <v>2235</v>
      </c>
      <c r="M156" s="217" t="s">
        <v>433</v>
      </c>
      <c r="N156" s="183" t="s">
        <v>1897</v>
      </c>
    </row>
    <row r="157" spans="1:14" hidden="1">
      <c r="A157" s="140" t="str">
        <f t="shared" si="2"/>
        <v>03742-00529-01-J7B</v>
      </c>
      <c r="B157" s="162" t="s">
        <v>1119</v>
      </c>
      <c r="C157" s="162" t="s">
        <v>1787</v>
      </c>
      <c r="D157" s="162" t="s">
        <v>1122</v>
      </c>
      <c r="F157" s="171">
        <v>62686</v>
      </c>
      <c r="G157" s="141" t="s">
        <v>200</v>
      </c>
      <c r="H157" s="174">
        <v>1</v>
      </c>
      <c r="I157" s="186" t="s">
        <v>199</v>
      </c>
      <c r="J157" s="174">
        <v>2235</v>
      </c>
      <c r="K157" s="174">
        <v>2235</v>
      </c>
      <c r="M157" s="217" t="s">
        <v>1073</v>
      </c>
    </row>
    <row r="158" spans="1:14" ht="27" hidden="1">
      <c r="A158" s="140" t="str">
        <f t="shared" si="2"/>
        <v>03742-00529-02-J7B</v>
      </c>
      <c r="B158" s="162" t="s">
        <v>1119</v>
      </c>
      <c r="C158" s="162" t="s">
        <v>1787</v>
      </c>
      <c r="D158" s="162" t="s">
        <v>1122</v>
      </c>
      <c r="F158" s="171">
        <v>63236</v>
      </c>
      <c r="G158" s="173" t="s">
        <v>200</v>
      </c>
      <c r="H158" s="174">
        <v>2</v>
      </c>
      <c r="I158" s="186" t="s">
        <v>199</v>
      </c>
      <c r="J158" s="174">
        <v>2505</v>
      </c>
      <c r="K158" s="174">
        <v>2505</v>
      </c>
      <c r="M158" s="217" t="s">
        <v>373</v>
      </c>
      <c r="N158" s="183" t="s">
        <v>1898</v>
      </c>
    </row>
    <row r="159" spans="1:14" ht="27" hidden="1">
      <c r="A159" s="140" t="str">
        <f t="shared" si="2"/>
        <v>03742-00529-02-J10B</v>
      </c>
      <c r="B159" s="162" t="s">
        <v>1119</v>
      </c>
      <c r="C159" s="162" t="s">
        <v>1787</v>
      </c>
      <c r="D159" s="162" t="s">
        <v>1122</v>
      </c>
      <c r="F159" s="171">
        <v>63236</v>
      </c>
      <c r="G159" s="173" t="s">
        <v>200</v>
      </c>
      <c r="H159" s="174">
        <v>2</v>
      </c>
      <c r="I159" s="186" t="s">
        <v>943</v>
      </c>
      <c r="J159" s="174">
        <v>1783</v>
      </c>
      <c r="K159" s="174">
        <v>1782</v>
      </c>
      <c r="M159" s="217" t="s">
        <v>373</v>
      </c>
      <c r="N159" s="183" t="s">
        <v>1898</v>
      </c>
    </row>
    <row r="160" spans="1:14" hidden="1">
      <c r="A160" s="140" t="str">
        <f t="shared" si="2"/>
        <v>03742-00529-03-J7B</v>
      </c>
      <c r="B160" s="162" t="s">
        <v>1119</v>
      </c>
      <c r="C160" s="162" t="s">
        <v>1787</v>
      </c>
      <c r="D160" s="162" t="s">
        <v>1122</v>
      </c>
      <c r="F160" s="171">
        <v>63310</v>
      </c>
      <c r="G160" s="173" t="s">
        <v>200</v>
      </c>
      <c r="H160" s="174">
        <v>3</v>
      </c>
      <c r="I160" s="186" t="s">
        <v>199</v>
      </c>
      <c r="J160" s="174">
        <v>2513</v>
      </c>
      <c r="K160" s="174">
        <v>2513</v>
      </c>
      <c r="M160" s="217" t="s">
        <v>673</v>
      </c>
      <c r="N160" s="183" t="s">
        <v>1899</v>
      </c>
    </row>
    <row r="161" spans="1:20" hidden="1">
      <c r="A161" s="140" t="str">
        <f t="shared" si="2"/>
        <v>03742-00557-00-J7B</v>
      </c>
      <c r="B161" s="162" t="s">
        <v>1119</v>
      </c>
      <c r="C161" s="162" t="s">
        <v>1787</v>
      </c>
      <c r="D161" s="162" t="s">
        <v>1122</v>
      </c>
      <c r="E161" s="162" t="s">
        <v>1448</v>
      </c>
      <c r="F161" s="171">
        <v>63310</v>
      </c>
      <c r="G161" s="173" t="s">
        <v>1444</v>
      </c>
      <c r="H161" s="174">
        <v>0</v>
      </c>
      <c r="I161" s="186" t="s">
        <v>199</v>
      </c>
      <c r="J161" s="174">
        <v>2513</v>
      </c>
      <c r="K161" s="174">
        <v>2513</v>
      </c>
      <c r="M161" s="217" t="s">
        <v>673</v>
      </c>
      <c r="N161" s="183" t="s">
        <v>1900</v>
      </c>
    </row>
    <row r="162" spans="1:20" hidden="1">
      <c r="A162" s="140" t="str">
        <f t="shared" si="2"/>
        <v>03942-00087-00-F10E</v>
      </c>
      <c r="B162" s="162" t="s">
        <v>1119</v>
      </c>
      <c r="C162" s="162" t="s">
        <v>1787</v>
      </c>
      <c r="D162" s="162" t="s">
        <v>1122</v>
      </c>
      <c r="F162" s="171">
        <v>49467</v>
      </c>
      <c r="G162" s="141" t="s">
        <v>184</v>
      </c>
      <c r="H162" s="174">
        <v>0</v>
      </c>
      <c r="I162" s="186" t="s">
        <v>872</v>
      </c>
      <c r="N162" s="183" t="s">
        <v>29</v>
      </c>
    </row>
    <row r="163" spans="1:20" hidden="1">
      <c r="A163" s="140" t="str">
        <f t="shared" si="2"/>
        <v>03942-00087-01-F10E</v>
      </c>
      <c r="B163" s="162" t="s">
        <v>1119</v>
      </c>
      <c r="C163" s="162" t="s">
        <v>1787</v>
      </c>
      <c r="D163" s="162" t="s">
        <v>1122</v>
      </c>
      <c r="F163" s="171">
        <v>51175</v>
      </c>
      <c r="G163" s="141" t="s">
        <v>184</v>
      </c>
      <c r="H163" s="174">
        <v>1</v>
      </c>
      <c r="I163" s="186" t="s">
        <v>183</v>
      </c>
      <c r="J163" s="174">
        <v>7</v>
      </c>
      <c r="L163" s="149"/>
      <c r="M163" s="185"/>
    </row>
    <row r="164" spans="1:20" hidden="1">
      <c r="A164" s="140" t="str">
        <f t="shared" si="2"/>
        <v>03942-00087-02-F10E</v>
      </c>
      <c r="B164" s="162" t="s">
        <v>1119</v>
      </c>
      <c r="C164" s="162" t="s">
        <v>1787</v>
      </c>
      <c r="D164" s="162" t="s">
        <v>1122</v>
      </c>
      <c r="F164" s="171">
        <v>50879</v>
      </c>
      <c r="G164" s="141" t="s">
        <v>184</v>
      </c>
      <c r="H164" s="174">
        <v>2</v>
      </c>
      <c r="I164" s="186" t="s">
        <v>183</v>
      </c>
      <c r="J164" s="174">
        <v>7</v>
      </c>
      <c r="K164" s="174">
        <v>7</v>
      </c>
      <c r="L164" s="149"/>
      <c r="M164" s="185"/>
    </row>
    <row r="165" spans="1:20" hidden="1">
      <c r="A165" s="140" t="str">
        <f t="shared" si="2"/>
        <v>03942-00087-03-F10E</v>
      </c>
      <c r="B165" s="162" t="s">
        <v>1119</v>
      </c>
      <c r="C165" s="162" t="s">
        <v>1787</v>
      </c>
      <c r="D165" s="162" t="s">
        <v>1122</v>
      </c>
      <c r="F165" s="171">
        <v>51751</v>
      </c>
      <c r="G165" s="141" t="s">
        <v>184</v>
      </c>
      <c r="H165" s="174">
        <v>3</v>
      </c>
      <c r="I165" s="186" t="s">
        <v>913</v>
      </c>
      <c r="J165" s="174">
        <v>13</v>
      </c>
      <c r="K165" s="174">
        <v>13</v>
      </c>
      <c r="L165" s="149"/>
      <c r="M165" s="185"/>
    </row>
    <row r="166" spans="1:20" hidden="1">
      <c r="A166" s="140" t="str">
        <f t="shared" si="2"/>
        <v>03942-00087-04-F10E</v>
      </c>
      <c r="B166" s="162" t="s">
        <v>1119</v>
      </c>
      <c r="C166" s="162" t="s">
        <v>1787</v>
      </c>
      <c r="D166" s="162" t="s">
        <v>1122</v>
      </c>
      <c r="F166" s="171">
        <v>53280</v>
      </c>
      <c r="G166" s="141" t="s">
        <v>184</v>
      </c>
      <c r="H166" s="174">
        <v>4</v>
      </c>
      <c r="I166" s="186" t="s">
        <v>935</v>
      </c>
      <c r="J166" s="174">
        <v>712</v>
      </c>
      <c r="K166" s="174">
        <v>712</v>
      </c>
      <c r="L166" s="149"/>
      <c r="M166" s="185"/>
    </row>
    <row r="167" spans="1:20" hidden="1">
      <c r="A167" s="140" t="str">
        <f t="shared" si="2"/>
        <v>03942-00087-05-F10E</v>
      </c>
      <c r="B167" s="162" t="s">
        <v>1119</v>
      </c>
      <c r="C167" s="162" t="s">
        <v>1787</v>
      </c>
      <c r="D167" s="162" t="s">
        <v>1122</v>
      </c>
      <c r="F167" s="171">
        <v>53573</v>
      </c>
      <c r="G167" s="141" t="s">
        <v>184</v>
      </c>
      <c r="H167" s="174">
        <v>5</v>
      </c>
      <c r="I167" s="186" t="s">
        <v>935</v>
      </c>
      <c r="J167" s="174">
        <v>712</v>
      </c>
      <c r="K167" s="174">
        <v>712</v>
      </c>
      <c r="L167" s="149"/>
      <c r="M167" s="185"/>
    </row>
    <row r="168" spans="1:20" hidden="1">
      <c r="A168" s="140" t="str">
        <f t="shared" si="2"/>
        <v>03942-00087-06-F10E</v>
      </c>
      <c r="B168" s="162" t="s">
        <v>1119</v>
      </c>
      <c r="C168" s="162" t="s">
        <v>1787</v>
      </c>
      <c r="D168" s="162" t="s">
        <v>1122</v>
      </c>
      <c r="F168" s="171">
        <v>53722</v>
      </c>
      <c r="G168" s="141" t="s">
        <v>184</v>
      </c>
      <c r="H168" s="174">
        <v>6</v>
      </c>
      <c r="I168" s="186" t="s">
        <v>183</v>
      </c>
      <c r="K168" s="174">
        <v>812</v>
      </c>
      <c r="L168" s="149"/>
      <c r="M168" s="185"/>
    </row>
    <row r="169" spans="1:20" ht="27" hidden="1">
      <c r="A169" s="140" t="str">
        <f t="shared" si="2"/>
        <v>03942-00087-07-F10E</v>
      </c>
      <c r="B169" s="162" t="s">
        <v>1119</v>
      </c>
      <c r="C169" s="162" t="s">
        <v>1787</v>
      </c>
      <c r="D169" s="162" t="s">
        <v>1122</v>
      </c>
      <c r="F169" s="171">
        <v>54464</v>
      </c>
      <c r="G169" s="141" t="s">
        <v>184</v>
      </c>
      <c r="H169" s="174">
        <v>7</v>
      </c>
      <c r="I169" s="186" t="s">
        <v>183</v>
      </c>
      <c r="J169" s="174">
        <v>1374</v>
      </c>
      <c r="K169" s="174">
        <v>1374</v>
      </c>
      <c r="L169" s="149"/>
      <c r="M169" s="185" t="s">
        <v>1196</v>
      </c>
      <c r="N169" s="183" t="s">
        <v>1883</v>
      </c>
    </row>
    <row r="170" spans="1:20" hidden="1">
      <c r="A170" s="140" t="str">
        <f t="shared" si="2"/>
        <v>03942-00087-08-F10E</v>
      </c>
      <c r="B170" s="162" t="s">
        <v>1119</v>
      </c>
      <c r="C170" s="162" t="s">
        <v>1787</v>
      </c>
      <c r="D170" s="162" t="s">
        <v>1122</v>
      </c>
      <c r="F170" s="171">
        <v>55134</v>
      </c>
      <c r="G170" s="141" t="s">
        <v>184</v>
      </c>
      <c r="H170" s="174">
        <v>8</v>
      </c>
      <c r="I170" s="186" t="s">
        <v>183</v>
      </c>
      <c r="M170" s="217" t="s">
        <v>423</v>
      </c>
    </row>
    <row r="171" spans="1:20" hidden="1">
      <c r="A171" s="140" t="str">
        <f t="shared" si="2"/>
        <v>05542-00024-01-A12A</v>
      </c>
      <c r="B171" s="162" t="s">
        <v>1119</v>
      </c>
      <c r="C171" s="162" t="s">
        <v>1787</v>
      </c>
      <c r="D171" s="162" t="s">
        <v>1122</v>
      </c>
      <c r="F171" s="171">
        <v>40677</v>
      </c>
      <c r="G171" s="141" t="s">
        <v>489</v>
      </c>
      <c r="H171" s="174">
        <v>1</v>
      </c>
      <c r="I171" s="186" t="s">
        <v>27</v>
      </c>
      <c r="J171" s="174">
        <v>2</v>
      </c>
      <c r="R171" s="146"/>
      <c r="S171" s="147"/>
      <c r="T171" s="148"/>
    </row>
    <row r="172" spans="1:20" hidden="1">
      <c r="A172" s="140" t="str">
        <f t="shared" si="2"/>
        <v>05542-00024-01-A12B</v>
      </c>
      <c r="B172" s="162" t="s">
        <v>1119</v>
      </c>
      <c r="C172" s="162" t="s">
        <v>1787</v>
      </c>
      <c r="D172" s="162" t="s">
        <v>1122</v>
      </c>
      <c r="F172" s="171">
        <v>40677</v>
      </c>
      <c r="G172" s="141" t="s">
        <v>489</v>
      </c>
      <c r="H172" s="174">
        <v>1</v>
      </c>
      <c r="I172" s="186" t="s">
        <v>147</v>
      </c>
      <c r="J172" s="174">
        <v>3</v>
      </c>
      <c r="R172" s="146"/>
      <c r="S172" s="147"/>
      <c r="T172" s="148"/>
    </row>
    <row r="173" spans="1:20" hidden="1">
      <c r="A173" s="140" t="str">
        <f t="shared" si="2"/>
        <v>05542-00024-02-A12A</v>
      </c>
      <c r="B173" s="162" t="s">
        <v>1119</v>
      </c>
      <c r="C173" s="162" t="s">
        <v>1787</v>
      </c>
      <c r="D173" s="162" t="s">
        <v>1122</v>
      </c>
      <c r="F173" s="171">
        <v>41043</v>
      </c>
      <c r="G173" s="141" t="s">
        <v>489</v>
      </c>
      <c r="H173" s="174">
        <v>2</v>
      </c>
      <c r="I173" s="186" t="s">
        <v>27</v>
      </c>
      <c r="J173" s="174">
        <v>2</v>
      </c>
      <c r="R173" s="146"/>
      <c r="S173" s="147"/>
      <c r="T173" s="148"/>
    </row>
    <row r="174" spans="1:20" hidden="1">
      <c r="A174" s="140" t="str">
        <f t="shared" si="2"/>
        <v>05542-00024-03-A12A</v>
      </c>
      <c r="B174" s="162" t="s">
        <v>1119</v>
      </c>
      <c r="C174" s="162" t="s">
        <v>1787</v>
      </c>
      <c r="D174" s="162" t="s">
        <v>1122</v>
      </c>
      <c r="F174" s="171">
        <v>41131</v>
      </c>
      <c r="G174" s="141" t="s">
        <v>489</v>
      </c>
      <c r="H174" s="174">
        <v>3</v>
      </c>
      <c r="I174" s="186" t="s">
        <v>27</v>
      </c>
      <c r="J174" s="174">
        <v>53</v>
      </c>
      <c r="K174" s="174">
        <v>53</v>
      </c>
      <c r="R174" s="146"/>
      <c r="S174" s="147"/>
      <c r="T174" s="148"/>
    </row>
    <row r="175" spans="1:20" hidden="1">
      <c r="A175" s="140" t="str">
        <f t="shared" si="2"/>
        <v>05542-00024-05-A12A</v>
      </c>
      <c r="B175" s="162" t="s">
        <v>1119</v>
      </c>
      <c r="C175" s="162" t="s">
        <v>1787</v>
      </c>
      <c r="D175" s="162" t="s">
        <v>1122</v>
      </c>
      <c r="F175" s="171">
        <v>42850</v>
      </c>
      <c r="G175" s="141" t="s">
        <v>28</v>
      </c>
      <c r="H175" s="174">
        <v>5</v>
      </c>
      <c r="I175" s="188" t="s">
        <v>262</v>
      </c>
      <c r="J175" s="174" t="s">
        <v>512</v>
      </c>
      <c r="R175" s="146"/>
      <c r="S175" s="147"/>
      <c r="T175" s="148"/>
    </row>
    <row r="176" spans="1:20" hidden="1">
      <c r="A176" s="140" t="str">
        <f t="shared" si="2"/>
        <v>05542-00024-05-A12B</v>
      </c>
      <c r="B176" s="162" t="s">
        <v>1119</v>
      </c>
      <c r="C176" s="162" t="s">
        <v>1787</v>
      </c>
      <c r="D176" s="162" t="s">
        <v>1122</v>
      </c>
      <c r="F176" s="171">
        <v>42850</v>
      </c>
      <c r="G176" s="141" t="s">
        <v>28</v>
      </c>
      <c r="H176" s="174">
        <v>5</v>
      </c>
      <c r="I176" s="188" t="s">
        <v>503</v>
      </c>
      <c r="J176" s="174" t="s">
        <v>512</v>
      </c>
      <c r="R176" s="146"/>
      <c r="S176" s="147"/>
      <c r="T176" s="148"/>
    </row>
    <row r="177" spans="1:22" hidden="1">
      <c r="A177" s="140" t="str">
        <f t="shared" si="2"/>
        <v>05542-00024-06-A12A</v>
      </c>
      <c r="B177" s="162" t="s">
        <v>1119</v>
      </c>
      <c r="C177" s="162" t="s">
        <v>1787</v>
      </c>
      <c r="D177" s="162" t="s">
        <v>1122</v>
      </c>
      <c r="F177" s="171">
        <v>43589</v>
      </c>
      <c r="G177" s="141" t="s">
        <v>28</v>
      </c>
      <c r="H177" s="174">
        <v>6</v>
      </c>
      <c r="I177" s="188" t="s">
        <v>262</v>
      </c>
      <c r="T177" s="148"/>
    </row>
    <row r="178" spans="1:22" hidden="1">
      <c r="A178" s="140" t="str">
        <f t="shared" si="2"/>
        <v>05542-00025-00-A12A</v>
      </c>
      <c r="B178" s="162" t="s">
        <v>1119</v>
      </c>
      <c r="C178" s="162" t="s">
        <v>1787</v>
      </c>
      <c r="D178" s="162" t="s">
        <v>1122</v>
      </c>
      <c r="F178" s="171">
        <v>40652</v>
      </c>
      <c r="G178" s="141" t="s">
        <v>488</v>
      </c>
      <c r="H178" s="174">
        <v>0</v>
      </c>
      <c r="I178" s="186" t="s">
        <v>27</v>
      </c>
      <c r="J178" s="174">
        <v>2</v>
      </c>
      <c r="N178" s="183" t="s">
        <v>1901</v>
      </c>
      <c r="R178" s="146"/>
      <c r="S178" s="147"/>
      <c r="T178" s="148"/>
    </row>
    <row r="179" spans="1:22" hidden="1">
      <c r="A179" s="140" t="str">
        <f t="shared" si="2"/>
        <v>05542-00025-00-A12B</v>
      </c>
      <c r="B179" s="162" t="s">
        <v>1119</v>
      </c>
      <c r="C179" s="162" t="s">
        <v>1787</v>
      </c>
      <c r="D179" s="162" t="s">
        <v>1122</v>
      </c>
      <c r="F179" s="171">
        <v>40652</v>
      </c>
      <c r="G179" s="141" t="s">
        <v>488</v>
      </c>
      <c r="H179" s="174">
        <v>0</v>
      </c>
      <c r="I179" s="186" t="s">
        <v>147</v>
      </c>
      <c r="J179" s="174">
        <v>3</v>
      </c>
      <c r="N179" s="183" t="s">
        <v>1901</v>
      </c>
      <c r="R179" s="146"/>
      <c r="S179" s="147"/>
      <c r="T179" s="148"/>
    </row>
    <row r="180" spans="1:22" hidden="1">
      <c r="A180" s="140" t="str">
        <f t="shared" si="2"/>
        <v>05542-00025-01-A12A</v>
      </c>
      <c r="B180" s="162" t="s">
        <v>1119</v>
      </c>
      <c r="C180" s="162" t="s">
        <v>1787</v>
      </c>
      <c r="D180" s="162" t="s">
        <v>1122</v>
      </c>
      <c r="F180" s="171">
        <v>41447</v>
      </c>
      <c r="G180" s="141" t="s">
        <v>488</v>
      </c>
      <c r="H180" s="174">
        <v>1</v>
      </c>
      <c r="I180" s="186" t="s">
        <v>27</v>
      </c>
      <c r="J180" s="174" t="s">
        <v>47</v>
      </c>
      <c r="R180" s="146"/>
      <c r="S180" s="147"/>
      <c r="T180" s="148"/>
    </row>
    <row r="181" spans="1:22" hidden="1">
      <c r="A181" s="140" t="str">
        <f t="shared" si="2"/>
        <v>05542-00025-01-A12B</v>
      </c>
      <c r="B181" s="162" t="s">
        <v>1119</v>
      </c>
      <c r="C181" s="162" t="s">
        <v>1787</v>
      </c>
      <c r="D181" s="162" t="s">
        <v>1122</v>
      </c>
      <c r="F181" s="171">
        <v>41447</v>
      </c>
      <c r="G181" s="141" t="s">
        <v>488</v>
      </c>
      <c r="H181" s="174">
        <v>1</v>
      </c>
      <c r="I181" s="186" t="s">
        <v>147</v>
      </c>
      <c r="J181" s="174" t="s">
        <v>47</v>
      </c>
      <c r="R181" s="146"/>
      <c r="S181" s="147"/>
      <c r="T181" s="148"/>
    </row>
    <row r="182" spans="1:22" hidden="1">
      <c r="A182" s="140" t="str">
        <f t="shared" si="2"/>
        <v>05542-00025-02-A12A</v>
      </c>
      <c r="B182" s="162" t="s">
        <v>1119</v>
      </c>
      <c r="C182" s="162" t="s">
        <v>1787</v>
      </c>
      <c r="D182" s="162" t="s">
        <v>1122</v>
      </c>
      <c r="F182" s="171">
        <v>42065</v>
      </c>
      <c r="G182" s="141" t="s">
        <v>488</v>
      </c>
      <c r="H182" s="174">
        <v>2</v>
      </c>
      <c r="I182" s="186" t="s">
        <v>27</v>
      </c>
      <c r="J182" s="174" t="s">
        <v>47</v>
      </c>
      <c r="R182" s="146"/>
      <c r="S182" s="147"/>
      <c r="T182" s="148"/>
    </row>
    <row r="183" spans="1:22" hidden="1">
      <c r="A183" s="140" t="str">
        <f t="shared" si="2"/>
        <v>05542-00025-02-A12B</v>
      </c>
      <c r="B183" s="162" t="s">
        <v>1119</v>
      </c>
      <c r="C183" s="162" t="s">
        <v>1787</v>
      </c>
      <c r="D183" s="162" t="s">
        <v>1122</v>
      </c>
      <c r="F183" s="171">
        <v>42065</v>
      </c>
      <c r="G183" s="141" t="s">
        <v>488</v>
      </c>
      <c r="H183" s="174">
        <v>2</v>
      </c>
      <c r="I183" s="186" t="s">
        <v>147</v>
      </c>
      <c r="J183" s="174">
        <v>98</v>
      </c>
      <c r="R183" s="146"/>
      <c r="S183" s="147"/>
      <c r="T183" s="148"/>
    </row>
    <row r="184" spans="1:22" hidden="1">
      <c r="A184" s="140" t="str">
        <f t="shared" si="2"/>
        <v>05542-00025-02-A7G</v>
      </c>
      <c r="B184" s="162" t="s">
        <v>1119</v>
      </c>
      <c r="C184" s="162" t="s">
        <v>1787</v>
      </c>
      <c r="D184" s="162" t="s">
        <v>1122</v>
      </c>
      <c r="F184" s="171">
        <v>42065</v>
      </c>
      <c r="G184" s="141" t="s">
        <v>488</v>
      </c>
      <c r="H184" s="174">
        <v>2</v>
      </c>
      <c r="I184" s="186" t="s">
        <v>497</v>
      </c>
      <c r="J184" s="174">
        <v>1</v>
      </c>
      <c r="R184" s="146"/>
      <c r="S184" s="147"/>
      <c r="T184" s="148"/>
    </row>
    <row r="185" spans="1:22" hidden="1">
      <c r="A185" s="140" t="str">
        <f t="shared" si="2"/>
        <v>05542-00025-03-A7G</v>
      </c>
      <c r="B185" s="162" t="s">
        <v>1119</v>
      </c>
      <c r="C185" s="162" t="s">
        <v>1787</v>
      </c>
      <c r="D185" s="162" t="s">
        <v>1122</v>
      </c>
      <c r="F185" s="171">
        <v>42659</v>
      </c>
      <c r="G185" s="141" t="s">
        <v>488</v>
      </c>
      <c r="H185" s="174">
        <v>3</v>
      </c>
      <c r="I185" s="188" t="s">
        <v>508</v>
      </c>
      <c r="J185" s="174">
        <v>3</v>
      </c>
      <c r="R185" s="146"/>
      <c r="S185" s="147"/>
      <c r="T185" s="148"/>
    </row>
    <row r="186" spans="1:22" hidden="1">
      <c r="A186" s="140" t="str">
        <f t="shared" si="2"/>
        <v>05542-00025-03-A12B</v>
      </c>
      <c r="B186" s="162" t="s">
        <v>1119</v>
      </c>
      <c r="C186" s="162" t="s">
        <v>1787</v>
      </c>
      <c r="D186" s="162" t="s">
        <v>1122</v>
      </c>
      <c r="F186" s="171">
        <v>42659</v>
      </c>
      <c r="G186" s="141" t="s">
        <v>488</v>
      </c>
      <c r="H186" s="174">
        <v>3</v>
      </c>
      <c r="I186" s="188" t="s">
        <v>503</v>
      </c>
      <c r="J186" s="174" t="s">
        <v>47</v>
      </c>
      <c r="R186" s="146"/>
      <c r="S186" s="147"/>
      <c r="T186" s="148"/>
    </row>
    <row r="187" spans="1:22" hidden="1">
      <c r="A187" s="140" t="str">
        <f t="shared" si="2"/>
        <v>05542-00025-04-A12B</v>
      </c>
      <c r="B187" s="162" t="s">
        <v>1119</v>
      </c>
      <c r="C187" s="162" t="s">
        <v>1787</v>
      </c>
      <c r="D187" s="162" t="s">
        <v>1122</v>
      </c>
      <c r="F187" s="171">
        <v>43589</v>
      </c>
      <c r="G187" s="141" t="s">
        <v>145</v>
      </c>
      <c r="H187" s="174">
        <v>4</v>
      </c>
      <c r="I187" s="188" t="s">
        <v>503</v>
      </c>
      <c r="R187" s="154"/>
      <c r="S187" s="147"/>
      <c r="T187" s="148"/>
      <c r="V187" s="150"/>
    </row>
    <row r="188" spans="1:22" hidden="1">
      <c r="A188" s="140" t="str">
        <f t="shared" si="2"/>
        <v>05542-00025-04-A7G</v>
      </c>
      <c r="B188" s="162" t="s">
        <v>1119</v>
      </c>
      <c r="C188" s="162" t="s">
        <v>1787</v>
      </c>
      <c r="D188" s="162" t="s">
        <v>1122</v>
      </c>
      <c r="F188" s="171">
        <v>43589</v>
      </c>
      <c r="G188" s="141" t="s">
        <v>145</v>
      </c>
      <c r="H188" s="174">
        <v>4</v>
      </c>
      <c r="I188" s="188" t="s">
        <v>508</v>
      </c>
      <c r="R188" s="154"/>
      <c r="S188" s="147"/>
      <c r="T188" s="148"/>
      <c r="V188" s="150"/>
    </row>
    <row r="189" spans="1:22" hidden="1">
      <c r="A189" s="140" t="str">
        <f t="shared" si="2"/>
        <v>05542-00025-05-A12B</v>
      </c>
      <c r="B189" s="162" t="s">
        <v>1119</v>
      </c>
      <c r="C189" s="162" t="s">
        <v>1787</v>
      </c>
      <c r="D189" s="162" t="s">
        <v>1122</v>
      </c>
      <c r="F189" s="171">
        <v>43748</v>
      </c>
      <c r="G189" s="141" t="s">
        <v>488</v>
      </c>
      <c r="H189" s="174">
        <v>5</v>
      </c>
      <c r="I189" s="188" t="s">
        <v>503</v>
      </c>
    </row>
    <row r="190" spans="1:22" hidden="1">
      <c r="A190" s="140" t="str">
        <f t="shared" si="2"/>
        <v>05542-00025-05-A7G</v>
      </c>
      <c r="B190" s="162" t="s">
        <v>1119</v>
      </c>
      <c r="C190" s="162" t="s">
        <v>1787</v>
      </c>
      <c r="D190" s="162" t="s">
        <v>1122</v>
      </c>
      <c r="F190" s="171">
        <v>43748</v>
      </c>
      <c r="G190" s="141" t="s">
        <v>488</v>
      </c>
      <c r="H190" s="174">
        <v>5</v>
      </c>
      <c r="I190" s="188" t="s">
        <v>508</v>
      </c>
    </row>
    <row r="191" spans="1:22" hidden="1">
      <c r="A191" s="140" t="str">
        <f t="shared" si="2"/>
        <v>05542-00083-00-A12B</v>
      </c>
      <c r="B191" s="162" t="s">
        <v>1119</v>
      </c>
      <c r="C191" s="162" t="s">
        <v>1787</v>
      </c>
      <c r="D191" s="162" t="s">
        <v>1122</v>
      </c>
      <c r="F191" s="171">
        <v>42481</v>
      </c>
      <c r="G191" s="141" t="s">
        <v>502</v>
      </c>
      <c r="H191" s="174">
        <v>0</v>
      </c>
      <c r="I191" s="188" t="s">
        <v>503</v>
      </c>
      <c r="J191" s="174">
        <v>360</v>
      </c>
      <c r="N191" s="183" t="s">
        <v>1902</v>
      </c>
      <c r="R191" s="146"/>
      <c r="S191" s="147"/>
      <c r="T191" s="148"/>
    </row>
    <row r="192" spans="1:22" hidden="1">
      <c r="A192" s="140" t="str">
        <f t="shared" ref="A192:A254" si="3">G192&amp;"-"&amp;TEXT(H192,"00")&amp;"-"&amp;I192</f>
        <v>05542-00083-01-A12B</v>
      </c>
      <c r="B192" s="162" t="s">
        <v>1119</v>
      </c>
      <c r="C192" s="162" t="s">
        <v>1787</v>
      </c>
      <c r="D192" s="162" t="s">
        <v>1122</v>
      </c>
      <c r="F192" s="171">
        <v>43589</v>
      </c>
      <c r="G192" s="141" t="s">
        <v>148</v>
      </c>
      <c r="H192" s="174">
        <v>1</v>
      </c>
      <c r="I192" s="188" t="s">
        <v>503</v>
      </c>
      <c r="T192" s="148"/>
    </row>
    <row r="193" spans="1:24" hidden="1">
      <c r="A193" s="140" t="str">
        <f t="shared" si="3"/>
        <v>05542-00083-02-A12B</v>
      </c>
      <c r="B193" s="162" t="s">
        <v>1119</v>
      </c>
      <c r="C193" s="162" t="s">
        <v>1787</v>
      </c>
      <c r="D193" s="162" t="s">
        <v>1122</v>
      </c>
      <c r="F193" s="171">
        <v>43748</v>
      </c>
      <c r="G193" s="141" t="s">
        <v>502</v>
      </c>
      <c r="H193" s="174">
        <v>2</v>
      </c>
      <c r="I193" s="188" t="s">
        <v>503</v>
      </c>
    </row>
    <row r="194" spans="1:24" hidden="1">
      <c r="A194" s="140" t="str">
        <f t="shared" si="3"/>
        <v>05542-00114-00-A12A</v>
      </c>
      <c r="B194" s="162" t="s">
        <v>1119</v>
      </c>
      <c r="C194" s="162" t="s">
        <v>1787</v>
      </c>
      <c r="D194" s="162" t="s">
        <v>1122</v>
      </c>
      <c r="F194" s="171">
        <v>46235</v>
      </c>
      <c r="G194" s="141" t="s">
        <v>30</v>
      </c>
      <c r="H194" s="174">
        <v>0</v>
      </c>
      <c r="I194" s="190" t="s">
        <v>27</v>
      </c>
      <c r="J194" s="174">
        <v>2172</v>
      </c>
      <c r="K194" s="174">
        <v>2172</v>
      </c>
      <c r="L194" s="149"/>
      <c r="M194" s="185"/>
      <c r="P194" s="155"/>
      <c r="R194" s="151"/>
      <c r="S194" s="147"/>
      <c r="T194" s="148"/>
      <c r="U194" s="150"/>
      <c r="X194" s="150"/>
    </row>
    <row r="195" spans="1:24" hidden="1">
      <c r="A195" s="140" t="str">
        <f t="shared" si="3"/>
        <v>05542-00114-01-A12A</v>
      </c>
      <c r="B195" s="162" t="s">
        <v>1119</v>
      </c>
      <c r="C195" s="162" t="s">
        <v>1787</v>
      </c>
      <c r="D195" s="162" t="s">
        <v>1122</v>
      </c>
      <c r="F195" s="171">
        <v>46554</v>
      </c>
      <c r="G195" s="141" t="s">
        <v>30</v>
      </c>
      <c r="H195" s="174">
        <v>1</v>
      </c>
      <c r="I195" s="189" t="s">
        <v>262</v>
      </c>
      <c r="J195" s="174">
        <v>2172</v>
      </c>
      <c r="K195" s="174">
        <v>2172</v>
      </c>
      <c r="L195" s="149"/>
      <c r="M195" s="185"/>
      <c r="P195" s="155"/>
      <c r="R195" s="151"/>
      <c r="S195" s="147"/>
      <c r="T195" s="148"/>
    </row>
    <row r="196" spans="1:24" hidden="1">
      <c r="A196" s="140" t="str">
        <f t="shared" si="3"/>
        <v>05542-00114-01-A12B</v>
      </c>
      <c r="B196" s="162" t="s">
        <v>1119</v>
      </c>
      <c r="C196" s="162" t="s">
        <v>1787</v>
      </c>
      <c r="D196" s="162" t="s">
        <v>1122</v>
      </c>
      <c r="F196" s="171">
        <v>46554</v>
      </c>
      <c r="G196" s="141" t="s">
        <v>30</v>
      </c>
      <c r="H196" s="174">
        <v>1</v>
      </c>
      <c r="I196" s="189" t="s">
        <v>503</v>
      </c>
      <c r="J196" s="174">
        <v>2094</v>
      </c>
      <c r="K196" s="174">
        <v>2094</v>
      </c>
      <c r="L196" s="149"/>
      <c r="M196" s="185"/>
      <c r="P196" s="155"/>
      <c r="X196" s="150"/>
    </row>
    <row r="197" spans="1:24" ht="27" hidden="1">
      <c r="A197" s="140" t="str">
        <f t="shared" si="3"/>
        <v>05542-00143-00-A12B</v>
      </c>
      <c r="B197" s="162" t="s">
        <v>1119</v>
      </c>
      <c r="C197" s="162" t="s">
        <v>1787</v>
      </c>
      <c r="D197" s="162" t="s">
        <v>1122</v>
      </c>
      <c r="F197" s="171">
        <v>46235</v>
      </c>
      <c r="G197" s="141" t="s">
        <v>150</v>
      </c>
      <c r="H197" s="174">
        <v>0</v>
      </c>
      <c r="I197" s="190" t="s">
        <v>147</v>
      </c>
      <c r="J197" s="174">
        <v>2094</v>
      </c>
      <c r="K197" s="174">
        <v>2094</v>
      </c>
      <c r="L197" s="149"/>
      <c r="M197" s="185"/>
      <c r="N197" s="183" t="s">
        <v>1903</v>
      </c>
      <c r="O197" s="156"/>
      <c r="P197" s="155"/>
      <c r="U197" s="150"/>
      <c r="V197" s="150"/>
      <c r="X197" s="150"/>
    </row>
    <row r="198" spans="1:24" ht="40.5" hidden="1">
      <c r="A198" s="140" t="str">
        <f t="shared" si="3"/>
        <v>05542-00143-01-A12B</v>
      </c>
      <c r="B198" s="162" t="s">
        <v>1119</v>
      </c>
      <c r="C198" s="162" t="s">
        <v>1787</v>
      </c>
      <c r="D198" s="162" t="s">
        <v>1122</v>
      </c>
      <c r="F198" s="171">
        <v>46656</v>
      </c>
      <c r="G198" s="141" t="s">
        <v>150</v>
      </c>
      <c r="H198" s="174">
        <v>1</v>
      </c>
      <c r="I198" s="211" t="s">
        <v>1997</v>
      </c>
      <c r="J198" s="174">
        <v>2536</v>
      </c>
      <c r="K198" s="174">
        <v>2536</v>
      </c>
      <c r="L198" s="149"/>
      <c r="M198" s="185"/>
      <c r="O198" s="156" t="s">
        <v>829</v>
      </c>
      <c r="R198" s="146"/>
      <c r="S198" s="146"/>
      <c r="T198" s="146"/>
      <c r="U198" s="146"/>
    </row>
    <row r="199" spans="1:24" ht="40.5" hidden="1">
      <c r="A199" s="140" t="str">
        <f t="shared" si="3"/>
        <v>05542-00143-02-A12B</v>
      </c>
      <c r="B199" s="162" t="s">
        <v>1119</v>
      </c>
      <c r="C199" s="162" t="s">
        <v>1787</v>
      </c>
      <c r="D199" s="162" t="s">
        <v>1122</v>
      </c>
      <c r="F199" s="171">
        <v>46839</v>
      </c>
      <c r="G199" s="141" t="s">
        <v>150</v>
      </c>
      <c r="H199" s="174">
        <v>2</v>
      </c>
      <c r="I199" s="211" t="s">
        <v>503</v>
      </c>
      <c r="J199" s="174">
        <v>2336</v>
      </c>
      <c r="K199" s="174">
        <v>2418</v>
      </c>
      <c r="L199" s="149"/>
      <c r="M199" s="185"/>
      <c r="O199" s="156" t="s">
        <v>831</v>
      </c>
      <c r="R199" s="151"/>
      <c r="S199" s="146"/>
      <c r="T199" s="146"/>
    </row>
    <row r="200" spans="1:24" hidden="1">
      <c r="A200" s="140" t="str">
        <f t="shared" si="3"/>
        <v>05542-00143-03-A12B</v>
      </c>
      <c r="B200" s="162" t="s">
        <v>1119</v>
      </c>
      <c r="C200" s="162" t="s">
        <v>1787</v>
      </c>
      <c r="D200" s="162" t="s">
        <v>1122</v>
      </c>
      <c r="F200" s="171">
        <v>47086</v>
      </c>
      <c r="G200" s="141" t="s">
        <v>150</v>
      </c>
      <c r="H200" s="174">
        <v>3</v>
      </c>
      <c r="I200" s="198" t="s">
        <v>503</v>
      </c>
      <c r="N200" s="184"/>
      <c r="R200" s="146"/>
      <c r="S200" s="147"/>
      <c r="T200" s="148"/>
    </row>
    <row r="201" spans="1:24" hidden="1">
      <c r="A201" s="140" t="str">
        <f t="shared" si="3"/>
        <v>05542-00143-05-A12B</v>
      </c>
      <c r="B201" s="162" t="s">
        <v>1119</v>
      </c>
      <c r="C201" s="162" t="s">
        <v>1787</v>
      </c>
      <c r="D201" s="162" t="s">
        <v>1122</v>
      </c>
      <c r="F201" s="171">
        <v>47975</v>
      </c>
      <c r="G201" s="141" t="s">
        <v>150</v>
      </c>
      <c r="H201" s="174">
        <v>5</v>
      </c>
      <c r="I201" s="186" t="s">
        <v>147</v>
      </c>
      <c r="J201" s="174">
        <v>3114</v>
      </c>
      <c r="K201" s="174">
        <v>3148</v>
      </c>
      <c r="L201" s="149"/>
      <c r="M201" s="185"/>
      <c r="O201" s="156"/>
      <c r="P201" s="155"/>
      <c r="S201" s="147"/>
      <c r="T201" s="148"/>
    </row>
    <row r="202" spans="1:24" hidden="1">
      <c r="A202" s="140" t="str">
        <f t="shared" si="3"/>
        <v>05542-00147-00-A12A</v>
      </c>
      <c r="B202" s="162" t="s">
        <v>1119</v>
      </c>
      <c r="C202" s="162" t="s">
        <v>1787</v>
      </c>
      <c r="D202" s="162" t="s">
        <v>1122</v>
      </c>
      <c r="F202" s="171">
        <v>46656</v>
      </c>
      <c r="G202" s="141" t="s">
        <v>32</v>
      </c>
      <c r="H202" s="174">
        <v>0</v>
      </c>
      <c r="I202" s="198" t="s">
        <v>262</v>
      </c>
      <c r="J202" s="174">
        <v>2490</v>
      </c>
      <c r="K202" s="174">
        <v>2490</v>
      </c>
      <c r="L202" s="149"/>
      <c r="M202" s="185"/>
      <c r="R202" s="146"/>
      <c r="S202" s="146"/>
      <c r="T202" s="146"/>
      <c r="U202" s="146"/>
    </row>
    <row r="203" spans="1:24" ht="40.5" hidden="1">
      <c r="A203" s="140" t="str">
        <f t="shared" si="3"/>
        <v>05542-00147-00-A12B</v>
      </c>
      <c r="B203" s="162" t="s">
        <v>1119</v>
      </c>
      <c r="C203" s="162" t="s">
        <v>1787</v>
      </c>
      <c r="D203" s="162" t="s">
        <v>1122</v>
      </c>
      <c r="F203" s="171">
        <v>46656</v>
      </c>
      <c r="G203" s="141" t="s">
        <v>32</v>
      </c>
      <c r="H203" s="174">
        <v>0</v>
      </c>
      <c r="I203" s="211" t="s">
        <v>503</v>
      </c>
      <c r="J203" s="174">
        <v>2536</v>
      </c>
      <c r="K203" s="174">
        <v>2536</v>
      </c>
      <c r="L203" s="149"/>
      <c r="M203" s="185"/>
      <c r="O203" s="156" t="s">
        <v>829</v>
      </c>
      <c r="R203" s="146"/>
      <c r="S203" s="146"/>
      <c r="T203" s="146"/>
      <c r="U203" s="146"/>
    </row>
    <row r="204" spans="1:24" ht="40.5" hidden="1">
      <c r="A204" s="140" t="str">
        <f t="shared" si="3"/>
        <v>05542-00147-01-A12B</v>
      </c>
      <c r="B204" s="162" t="s">
        <v>1119</v>
      </c>
      <c r="C204" s="162" t="s">
        <v>1787</v>
      </c>
      <c r="D204" s="162" t="s">
        <v>1122</v>
      </c>
      <c r="F204" s="171">
        <v>46839</v>
      </c>
      <c r="G204" s="141" t="s">
        <v>32</v>
      </c>
      <c r="H204" s="174">
        <v>1</v>
      </c>
      <c r="I204" s="211" t="s">
        <v>503</v>
      </c>
      <c r="J204" s="174">
        <v>2336</v>
      </c>
      <c r="K204" s="174">
        <v>2418</v>
      </c>
      <c r="L204" s="149"/>
      <c r="M204" s="185"/>
      <c r="O204" s="156" t="s">
        <v>831</v>
      </c>
      <c r="R204" s="151"/>
      <c r="S204" s="146"/>
      <c r="T204" s="146"/>
    </row>
    <row r="205" spans="1:24" hidden="1">
      <c r="A205" s="140" t="str">
        <f t="shared" si="3"/>
        <v>05542-00147-01-A12A</v>
      </c>
      <c r="B205" s="162" t="s">
        <v>1119</v>
      </c>
      <c r="C205" s="162" t="s">
        <v>1787</v>
      </c>
      <c r="D205" s="162" t="s">
        <v>1122</v>
      </c>
      <c r="F205" s="171">
        <v>46839</v>
      </c>
      <c r="G205" s="141" t="s">
        <v>32</v>
      </c>
      <c r="H205" s="174">
        <v>1</v>
      </c>
      <c r="I205" s="196" t="s">
        <v>262</v>
      </c>
      <c r="J205" s="174">
        <v>2490</v>
      </c>
      <c r="K205" s="174">
        <v>2490</v>
      </c>
      <c r="L205" s="149"/>
      <c r="M205" s="185"/>
      <c r="R205" s="146"/>
      <c r="S205" s="146"/>
      <c r="T205" s="146"/>
    </row>
    <row r="206" spans="1:24" hidden="1">
      <c r="A206" s="140" t="str">
        <f t="shared" si="3"/>
        <v>05542-00147-03-A12A</v>
      </c>
      <c r="B206" s="162" t="s">
        <v>1119</v>
      </c>
      <c r="C206" s="162" t="s">
        <v>1787</v>
      </c>
      <c r="D206" s="162" t="s">
        <v>1122</v>
      </c>
      <c r="F206" s="171">
        <v>48000</v>
      </c>
      <c r="G206" s="141" t="s">
        <v>32</v>
      </c>
      <c r="H206" s="174">
        <v>3</v>
      </c>
      <c r="I206" s="186" t="s">
        <v>27</v>
      </c>
      <c r="J206" s="174">
        <v>2940</v>
      </c>
      <c r="K206" s="174">
        <v>2958</v>
      </c>
      <c r="L206" s="149"/>
      <c r="M206" s="185"/>
      <c r="P206" s="155"/>
      <c r="R206" s="146"/>
      <c r="S206" s="147"/>
      <c r="T206" s="148"/>
    </row>
    <row r="207" spans="1:24" hidden="1">
      <c r="A207" s="140" t="str">
        <f t="shared" si="3"/>
        <v>05542-00147-03-A12B</v>
      </c>
      <c r="B207" s="162" t="s">
        <v>1119</v>
      </c>
      <c r="C207" s="162" t="s">
        <v>1787</v>
      </c>
      <c r="D207" s="162" t="s">
        <v>1122</v>
      </c>
      <c r="F207" s="171">
        <v>48000</v>
      </c>
      <c r="G207" s="141" t="s">
        <v>32</v>
      </c>
      <c r="H207" s="174">
        <v>3</v>
      </c>
      <c r="I207" s="186" t="s">
        <v>854</v>
      </c>
      <c r="J207" s="174">
        <v>3142</v>
      </c>
      <c r="K207" s="174">
        <v>3232</v>
      </c>
      <c r="L207" s="149"/>
      <c r="M207" s="185"/>
      <c r="P207" s="155"/>
      <c r="Q207" s="143"/>
      <c r="R207" s="145"/>
      <c r="S207" s="145"/>
    </row>
    <row r="208" spans="1:24" hidden="1">
      <c r="A208" s="140" t="str">
        <f t="shared" si="3"/>
        <v>05542-00173-00-A13A</v>
      </c>
      <c r="B208" s="162" t="s">
        <v>1119</v>
      </c>
      <c r="C208" s="162" t="s">
        <v>1787</v>
      </c>
      <c r="D208" s="162" t="s">
        <v>1122</v>
      </c>
      <c r="F208" s="171">
        <v>48185</v>
      </c>
      <c r="G208" s="141" t="s">
        <v>37</v>
      </c>
      <c r="H208" s="174">
        <v>0</v>
      </c>
      <c r="I208" s="186" t="s">
        <v>855</v>
      </c>
      <c r="N208" s="183" t="s">
        <v>2133</v>
      </c>
      <c r="P208" s="155"/>
      <c r="R208" s="146"/>
      <c r="S208" s="147"/>
      <c r="T208" s="148"/>
    </row>
    <row r="209" spans="1:14" hidden="1">
      <c r="A209" s="140" t="str">
        <f t="shared" si="3"/>
        <v>05542-00173-01-A13A</v>
      </c>
      <c r="B209" s="162" t="s">
        <v>1119</v>
      </c>
      <c r="C209" s="162" t="s">
        <v>1787</v>
      </c>
      <c r="D209" s="162" t="s">
        <v>1122</v>
      </c>
      <c r="F209" s="171">
        <v>49568</v>
      </c>
      <c r="G209" s="161" t="s">
        <v>873</v>
      </c>
      <c r="H209" s="174">
        <v>1</v>
      </c>
      <c r="I209" s="191" t="s">
        <v>267</v>
      </c>
      <c r="J209" s="174">
        <v>7</v>
      </c>
      <c r="M209" s="217" t="s">
        <v>1134</v>
      </c>
      <c r="N209" s="183" t="s">
        <v>2134</v>
      </c>
    </row>
    <row r="210" spans="1:14" hidden="1">
      <c r="A210" s="140" t="str">
        <f t="shared" si="3"/>
        <v>05542-00173-02-A13A</v>
      </c>
      <c r="B210" s="162" t="s">
        <v>1119</v>
      </c>
      <c r="C210" s="162" t="s">
        <v>1787</v>
      </c>
      <c r="D210" s="162" t="s">
        <v>1122</v>
      </c>
      <c r="F210" s="171">
        <v>50197</v>
      </c>
      <c r="G210" s="141" t="s">
        <v>37</v>
      </c>
      <c r="H210" s="174">
        <v>2</v>
      </c>
      <c r="I210" s="186" t="s">
        <v>36</v>
      </c>
      <c r="J210" s="174">
        <v>7</v>
      </c>
      <c r="L210" s="149"/>
      <c r="M210" s="185" t="s">
        <v>302</v>
      </c>
      <c r="N210" s="183" t="s">
        <v>2134</v>
      </c>
    </row>
    <row r="211" spans="1:14" hidden="1">
      <c r="A211" s="140" t="str">
        <f t="shared" si="3"/>
        <v>05542-00173-03-A13A</v>
      </c>
      <c r="B211" s="162" t="s">
        <v>1119</v>
      </c>
      <c r="C211" s="162" t="s">
        <v>1787</v>
      </c>
      <c r="D211" s="162" t="s">
        <v>1122</v>
      </c>
      <c r="F211" s="171">
        <v>50888</v>
      </c>
      <c r="G211" s="141" t="s">
        <v>37</v>
      </c>
      <c r="H211" s="174">
        <v>3</v>
      </c>
      <c r="I211" s="186" t="s">
        <v>36</v>
      </c>
      <c r="J211" s="174">
        <v>7</v>
      </c>
      <c r="K211" s="174">
        <v>7</v>
      </c>
      <c r="L211" s="149"/>
      <c r="M211" s="185" t="s">
        <v>263</v>
      </c>
      <c r="N211" s="183" t="s">
        <v>2134</v>
      </c>
    </row>
    <row r="212" spans="1:14" ht="27" hidden="1">
      <c r="A212" s="140" t="str">
        <f t="shared" si="3"/>
        <v>05542-00173-04-A13A</v>
      </c>
      <c r="B212" s="162" t="s">
        <v>1119</v>
      </c>
      <c r="C212" s="162" t="s">
        <v>1787</v>
      </c>
      <c r="D212" s="162" t="s">
        <v>1122</v>
      </c>
      <c r="F212" s="171">
        <v>51119</v>
      </c>
      <c r="G212" s="141" t="s">
        <v>37</v>
      </c>
      <c r="H212" s="174">
        <v>4</v>
      </c>
      <c r="I212" s="186" t="s">
        <v>36</v>
      </c>
      <c r="J212" s="174">
        <v>16</v>
      </c>
      <c r="K212" s="174">
        <v>16</v>
      </c>
      <c r="L212" s="149"/>
      <c r="M212" s="185" t="s">
        <v>1196</v>
      </c>
      <c r="N212" s="183" t="s">
        <v>2135</v>
      </c>
    </row>
    <row r="213" spans="1:14" hidden="1">
      <c r="A213" s="140" t="str">
        <f t="shared" si="3"/>
        <v>05542-00173-05-A13A</v>
      </c>
      <c r="B213" s="162" t="s">
        <v>1119</v>
      </c>
      <c r="C213" s="162" t="s">
        <v>1787</v>
      </c>
      <c r="D213" s="162" t="s">
        <v>1122</v>
      </c>
      <c r="F213" s="171">
        <v>51427</v>
      </c>
      <c r="G213" s="141" t="s">
        <v>37</v>
      </c>
      <c r="H213" s="174">
        <v>5</v>
      </c>
      <c r="I213" s="186" t="s">
        <v>909</v>
      </c>
      <c r="M213" s="217" t="s">
        <v>423</v>
      </c>
      <c r="N213" s="183" t="s">
        <v>2091</v>
      </c>
    </row>
    <row r="214" spans="1:14" hidden="1">
      <c r="A214" s="140" t="str">
        <f t="shared" si="3"/>
        <v>05542-00173-06-A13A</v>
      </c>
      <c r="B214" s="162" t="s">
        <v>1119</v>
      </c>
      <c r="C214" s="162" t="s">
        <v>1787</v>
      </c>
      <c r="D214" s="162" t="s">
        <v>1122</v>
      </c>
      <c r="F214" s="171">
        <v>51642</v>
      </c>
      <c r="G214" s="141" t="s">
        <v>37</v>
      </c>
      <c r="H214" s="174">
        <v>6</v>
      </c>
      <c r="I214" s="186" t="s">
        <v>36</v>
      </c>
      <c r="J214" s="174">
        <v>475</v>
      </c>
      <c r="K214" s="174">
        <v>461</v>
      </c>
      <c r="L214" s="149"/>
      <c r="M214" s="185" t="s">
        <v>1199</v>
      </c>
      <c r="N214" s="183" t="s">
        <v>2136</v>
      </c>
    </row>
    <row r="215" spans="1:14" ht="27" hidden="1">
      <c r="A215" s="140" t="str">
        <f t="shared" si="3"/>
        <v>05542-00173-07-A13A</v>
      </c>
      <c r="B215" s="162" t="s">
        <v>1119</v>
      </c>
      <c r="C215" s="162" t="s">
        <v>1787</v>
      </c>
      <c r="D215" s="162" t="s">
        <v>1122</v>
      </c>
      <c r="F215" s="171">
        <v>55511</v>
      </c>
      <c r="G215" s="141" t="s">
        <v>37</v>
      </c>
      <c r="H215" s="174">
        <v>7</v>
      </c>
      <c r="I215" s="186" t="s">
        <v>36</v>
      </c>
      <c r="M215" s="217" t="s">
        <v>268</v>
      </c>
      <c r="N215" s="183" t="s">
        <v>2137</v>
      </c>
    </row>
    <row r="216" spans="1:14" ht="27" hidden="1">
      <c r="A216" s="140" t="str">
        <f t="shared" si="3"/>
        <v>05542-00189-00-A13AW</v>
      </c>
      <c r="B216" s="162" t="s">
        <v>1119</v>
      </c>
      <c r="C216" s="162" t="s">
        <v>1787</v>
      </c>
      <c r="D216" s="162" t="s">
        <v>1122</v>
      </c>
      <c r="E216" s="162" t="s">
        <v>1707</v>
      </c>
      <c r="F216" s="171">
        <v>63312</v>
      </c>
      <c r="G216" s="141" t="s">
        <v>1715</v>
      </c>
      <c r="H216" s="174">
        <v>0</v>
      </c>
      <c r="I216" s="186" t="s">
        <v>1718</v>
      </c>
      <c r="J216" s="174">
        <v>457</v>
      </c>
      <c r="M216" s="217" t="s">
        <v>47</v>
      </c>
      <c r="N216" s="183" t="s">
        <v>1904</v>
      </c>
    </row>
    <row r="217" spans="1:14" ht="40.5" hidden="1">
      <c r="A217" s="140" t="str">
        <f t="shared" si="3"/>
        <v>05542-00189-01-A13AW</v>
      </c>
      <c r="B217" s="162" t="s">
        <v>1119</v>
      </c>
      <c r="C217" s="162" t="s">
        <v>1787</v>
      </c>
      <c r="D217" s="162" t="s">
        <v>1122</v>
      </c>
      <c r="E217" s="162" t="s">
        <v>1707</v>
      </c>
      <c r="F217" s="171">
        <v>63514</v>
      </c>
      <c r="G217" s="141" t="s">
        <v>1715</v>
      </c>
      <c r="H217" s="174">
        <v>1</v>
      </c>
      <c r="I217" s="186" t="s">
        <v>1718</v>
      </c>
      <c r="J217" s="174">
        <v>457</v>
      </c>
      <c r="M217" s="217" t="s">
        <v>673</v>
      </c>
      <c r="N217" s="183" t="s">
        <v>1905</v>
      </c>
    </row>
    <row r="218" spans="1:14" ht="27" hidden="1">
      <c r="A218" s="140" t="str">
        <f t="shared" si="3"/>
        <v>05542-00198-00-A13AW</v>
      </c>
      <c r="B218" s="162" t="s">
        <v>1119</v>
      </c>
      <c r="C218" s="162" t="s">
        <v>1787</v>
      </c>
      <c r="D218" s="162" t="s">
        <v>1122</v>
      </c>
      <c r="E218" s="162" t="s">
        <v>1707</v>
      </c>
      <c r="F218" s="171">
        <v>63312</v>
      </c>
      <c r="G218" s="141" t="s">
        <v>1719</v>
      </c>
      <c r="H218" s="174">
        <v>0</v>
      </c>
      <c r="I218" s="186" t="s">
        <v>1718</v>
      </c>
      <c r="J218" s="174">
        <v>457</v>
      </c>
      <c r="M218" s="217" t="s">
        <v>47</v>
      </c>
      <c r="N218" s="183" t="s">
        <v>1904</v>
      </c>
    </row>
    <row r="219" spans="1:14" ht="40.5" hidden="1">
      <c r="A219" s="140" t="str">
        <f t="shared" si="3"/>
        <v>05542-00198-01-A13AW</v>
      </c>
      <c r="B219" s="162" t="s">
        <v>1119</v>
      </c>
      <c r="C219" s="162" t="s">
        <v>1787</v>
      </c>
      <c r="D219" s="162" t="s">
        <v>1122</v>
      </c>
      <c r="E219" s="162" t="s">
        <v>1707</v>
      </c>
      <c r="F219" s="171">
        <v>63514</v>
      </c>
      <c r="G219" s="141" t="s">
        <v>1719</v>
      </c>
      <c r="H219" s="174">
        <v>1</v>
      </c>
      <c r="I219" s="186" t="s">
        <v>1718</v>
      </c>
      <c r="J219" s="174">
        <v>457</v>
      </c>
      <c r="M219" s="217" t="s">
        <v>673</v>
      </c>
      <c r="N219" s="183" t="s">
        <v>1905</v>
      </c>
    </row>
    <row r="220" spans="1:14" hidden="1">
      <c r="A220" s="140" t="str">
        <f t="shared" si="3"/>
        <v>05542-00326-00-A12A</v>
      </c>
      <c r="B220" s="162" t="s">
        <v>1119</v>
      </c>
      <c r="C220" s="162" t="s">
        <v>1787</v>
      </c>
      <c r="D220" s="162" t="s">
        <v>1122</v>
      </c>
      <c r="F220" s="171">
        <v>49584</v>
      </c>
      <c r="G220" s="141" t="s">
        <v>34</v>
      </c>
      <c r="H220" s="174">
        <v>0</v>
      </c>
      <c r="I220" s="186" t="s">
        <v>874</v>
      </c>
      <c r="J220" s="174">
        <v>3744</v>
      </c>
      <c r="K220" s="174">
        <v>3744</v>
      </c>
      <c r="L220" s="149"/>
      <c r="M220" s="185"/>
    </row>
    <row r="221" spans="1:14" hidden="1">
      <c r="A221" s="140" t="str">
        <f t="shared" si="3"/>
        <v>05542-00326-00-A12B</v>
      </c>
      <c r="B221" s="162" t="s">
        <v>1119</v>
      </c>
      <c r="C221" s="162" t="s">
        <v>1787</v>
      </c>
      <c r="D221" s="162" t="s">
        <v>1122</v>
      </c>
      <c r="F221" s="171">
        <v>49584</v>
      </c>
      <c r="G221" s="141" t="s">
        <v>34</v>
      </c>
      <c r="H221" s="174">
        <v>0</v>
      </c>
      <c r="I221" s="186" t="s">
        <v>147</v>
      </c>
      <c r="J221" s="174">
        <v>4176</v>
      </c>
      <c r="L221" s="149"/>
      <c r="M221" s="185"/>
    </row>
    <row r="222" spans="1:14" hidden="1">
      <c r="A222" s="140" t="str">
        <f t="shared" si="3"/>
        <v>05542-00326-02-A12A</v>
      </c>
      <c r="B222" s="162" t="s">
        <v>1119</v>
      </c>
      <c r="C222" s="162" t="s">
        <v>1787</v>
      </c>
      <c r="D222" s="162" t="s">
        <v>1122</v>
      </c>
      <c r="F222" s="171">
        <v>51486</v>
      </c>
      <c r="G222" s="141" t="s">
        <v>34</v>
      </c>
      <c r="H222" s="174">
        <v>2</v>
      </c>
      <c r="I222" s="186" t="s">
        <v>910</v>
      </c>
    </row>
    <row r="223" spans="1:14" hidden="1">
      <c r="A223" s="140" t="str">
        <f t="shared" si="3"/>
        <v>05542-00326-02-A12B</v>
      </c>
      <c r="B223" s="162" t="s">
        <v>1119</v>
      </c>
      <c r="C223" s="162" t="s">
        <v>1787</v>
      </c>
      <c r="D223" s="162" t="s">
        <v>1122</v>
      </c>
      <c r="F223" s="171">
        <v>51486</v>
      </c>
      <c r="G223" s="141" t="s">
        <v>34</v>
      </c>
      <c r="H223" s="174">
        <v>2</v>
      </c>
      <c r="I223" s="186" t="s">
        <v>147</v>
      </c>
    </row>
    <row r="224" spans="1:14" ht="27" hidden="1">
      <c r="A224" s="140" t="str">
        <f t="shared" si="3"/>
        <v>05542-00326-03-A12A</v>
      </c>
      <c r="B224" s="162" t="s">
        <v>1119</v>
      </c>
      <c r="C224" s="162" t="s">
        <v>1787</v>
      </c>
      <c r="D224" s="162" t="s">
        <v>1122</v>
      </c>
      <c r="F224" s="171">
        <v>54464</v>
      </c>
      <c r="G224" s="141" t="s">
        <v>34</v>
      </c>
      <c r="H224" s="174">
        <v>3</v>
      </c>
      <c r="I224" s="186" t="s">
        <v>940</v>
      </c>
      <c r="J224" s="174">
        <v>3908</v>
      </c>
      <c r="K224" s="174">
        <v>3908</v>
      </c>
      <c r="L224" s="149"/>
      <c r="M224" s="185" t="s">
        <v>1160</v>
      </c>
      <c r="N224" s="183" t="s">
        <v>1883</v>
      </c>
    </row>
    <row r="225" spans="1:15" hidden="1">
      <c r="A225" s="140" t="str">
        <f t="shared" si="3"/>
        <v>05542-00326-04-A12A</v>
      </c>
      <c r="B225" s="162" t="s">
        <v>1119</v>
      </c>
      <c r="C225" s="162" t="s">
        <v>1787</v>
      </c>
      <c r="D225" s="162" t="s">
        <v>1122</v>
      </c>
      <c r="F225" s="171">
        <v>55511</v>
      </c>
      <c r="G225" s="142" t="s">
        <v>34</v>
      </c>
      <c r="H225" s="174">
        <v>4</v>
      </c>
      <c r="I225" s="186" t="s">
        <v>27</v>
      </c>
      <c r="M225" s="217" t="s">
        <v>266</v>
      </c>
    </row>
    <row r="226" spans="1:15" hidden="1">
      <c r="A226" s="140" t="str">
        <f t="shared" si="3"/>
        <v>05542-00326-04-A12B</v>
      </c>
      <c r="B226" s="162" t="s">
        <v>1119</v>
      </c>
      <c r="C226" s="162" t="s">
        <v>1787</v>
      </c>
      <c r="D226" s="162" t="s">
        <v>1122</v>
      </c>
      <c r="F226" s="171">
        <v>55511</v>
      </c>
      <c r="G226" s="142" t="s">
        <v>34</v>
      </c>
      <c r="H226" s="174">
        <v>4</v>
      </c>
      <c r="I226" s="186" t="s">
        <v>147</v>
      </c>
      <c r="M226" s="217" t="s">
        <v>266</v>
      </c>
    </row>
    <row r="227" spans="1:15" hidden="1">
      <c r="A227" s="140" t="str">
        <f t="shared" si="3"/>
        <v>05542-00411-01-A13A</v>
      </c>
      <c r="B227" s="162" t="s">
        <v>1119</v>
      </c>
      <c r="C227" s="162" t="s">
        <v>1787</v>
      </c>
      <c r="D227" s="162" t="s">
        <v>1122</v>
      </c>
      <c r="F227" s="171">
        <v>53256</v>
      </c>
      <c r="G227" s="141" t="s">
        <v>39</v>
      </c>
      <c r="H227" s="174">
        <v>1</v>
      </c>
      <c r="I227" s="186" t="s">
        <v>932</v>
      </c>
      <c r="J227" s="174">
        <v>1121</v>
      </c>
      <c r="K227" s="174">
        <v>1121</v>
      </c>
      <c r="L227" s="149"/>
      <c r="M227" s="185" t="s">
        <v>2000</v>
      </c>
      <c r="N227" s="183" t="s">
        <v>2138</v>
      </c>
    </row>
    <row r="228" spans="1:15" ht="27" hidden="1">
      <c r="A228" s="140" t="str">
        <f t="shared" si="3"/>
        <v>05542-00411-02-A13A</v>
      </c>
      <c r="B228" s="162" t="s">
        <v>1119</v>
      </c>
      <c r="C228" s="162" t="s">
        <v>1787</v>
      </c>
      <c r="D228" s="162" t="s">
        <v>1122</v>
      </c>
      <c r="F228" s="171">
        <v>53346</v>
      </c>
      <c r="G228" s="141" t="s">
        <v>39</v>
      </c>
      <c r="H228" s="174">
        <v>2</v>
      </c>
      <c r="I228" s="186" t="s">
        <v>932</v>
      </c>
      <c r="K228" s="174">
        <v>1121</v>
      </c>
      <c r="L228" s="149"/>
      <c r="M228" s="185" t="s">
        <v>1158</v>
      </c>
      <c r="N228" s="183" t="s">
        <v>2139</v>
      </c>
    </row>
    <row r="229" spans="1:15" hidden="1">
      <c r="A229" s="140" t="str">
        <f t="shared" si="3"/>
        <v>05542-00411-03-A13A</v>
      </c>
      <c r="B229" s="162" t="s">
        <v>1119</v>
      </c>
      <c r="C229" s="162" t="s">
        <v>1787</v>
      </c>
      <c r="D229" s="162" t="s">
        <v>1122</v>
      </c>
      <c r="F229" s="171">
        <v>53838</v>
      </c>
      <c r="G229" s="141" t="s">
        <v>39</v>
      </c>
      <c r="H229" s="174">
        <v>3</v>
      </c>
      <c r="I229" s="186" t="s">
        <v>932</v>
      </c>
      <c r="J229" s="174">
        <v>1315</v>
      </c>
      <c r="K229" s="174">
        <v>1315</v>
      </c>
      <c r="L229" s="149"/>
      <c r="M229" s="185" t="s">
        <v>388</v>
      </c>
      <c r="N229" s="183" t="s">
        <v>2140</v>
      </c>
    </row>
    <row r="230" spans="1:15" hidden="1">
      <c r="A230" s="140" t="str">
        <f t="shared" si="3"/>
        <v>05542-00411-04-A13A</v>
      </c>
      <c r="B230" s="162" t="s">
        <v>1119</v>
      </c>
      <c r="C230" s="162" t="s">
        <v>1787</v>
      </c>
      <c r="D230" s="162" t="s">
        <v>1122</v>
      </c>
      <c r="F230" s="171">
        <v>54536</v>
      </c>
      <c r="G230" s="141" t="s">
        <v>39</v>
      </c>
      <c r="H230" s="174">
        <v>4</v>
      </c>
      <c r="I230" s="186" t="s">
        <v>36</v>
      </c>
      <c r="J230" s="174">
        <v>1581</v>
      </c>
      <c r="K230" s="174">
        <v>1581</v>
      </c>
      <c r="L230" s="149"/>
      <c r="M230" s="185" t="s">
        <v>1165</v>
      </c>
      <c r="N230" s="183" t="s">
        <v>2111</v>
      </c>
    </row>
    <row r="231" spans="1:15" ht="27" hidden="1">
      <c r="A231" s="140" t="str">
        <f t="shared" si="3"/>
        <v>05542-00411-05-A13A</v>
      </c>
      <c r="B231" s="162" t="s">
        <v>1119</v>
      </c>
      <c r="C231" s="162" t="s">
        <v>1787</v>
      </c>
      <c r="D231" s="162" t="s">
        <v>1122</v>
      </c>
      <c r="F231" s="171">
        <v>54790</v>
      </c>
      <c r="G231" s="141" t="s">
        <v>39</v>
      </c>
      <c r="H231" s="174">
        <v>5</v>
      </c>
      <c r="I231" s="186" t="s">
        <v>36</v>
      </c>
      <c r="J231" s="174">
        <v>1890</v>
      </c>
      <c r="K231" s="174">
        <v>1890</v>
      </c>
      <c r="L231" s="149"/>
      <c r="M231" s="185" t="s">
        <v>451</v>
      </c>
      <c r="N231" s="183" t="s">
        <v>2137</v>
      </c>
    </row>
    <row r="232" spans="1:15" hidden="1">
      <c r="A232" s="140" t="str">
        <f t="shared" si="3"/>
        <v>05542-00411-06-A13A</v>
      </c>
      <c r="B232" s="162" t="s">
        <v>1119</v>
      </c>
      <c r="C232" s="162" t="s">
        <v>1787</v>
      </c>
      <c r="D232" s="162" t="s">
        <v>1122</v>
      </c>
      <c r="F232" s="171">
        <v>55857</v>
      </c>
      <c r="G232" s="141" t="s">
        <v>39</v>
      </c>
      <c r="H232" s="174">
        <v>6</v>
      </c>
      <c r="I232" s="186" t="s">
        <v>36</v>
      </c>
      <c r="J232" s="174">
        <v>2106</v>
      </c>
      <c r="K232" s="174">
        <v>2105</v>
      </c>
      <c r="M232" s="217" t="s">
        <v>1089</v>
      </c>
      <c r="N232" s="183" t="s">
        <v>2141</v>
      </c>
    </row>
    <row r="233" spans="1:15" ht="54" hidden="1">
      <c r="A233" s="140" t="str">
        <f t="shared" si="3"/>
        <v>05542-00411-07-A13A</v>
      </c>
      <c r="B233" s="162" t="s">
        <v>1119</v>
      </c>
      <c r="C233" s="162" t="s">
        <v>1787</v>
      </c>
      <c r="D233" s="162" t="s">
        <v>1122</v>
      </c>
      <c r="F233" s="171">
        <v>60239</v>
      </c>
      <c r="G233" s="141" t="s">
        <v>39</v>
      </c>
      <c r="H233" s="174">
        <v>7</v>
      </c>
      <c r="I233" s="186" t="s">
        <v>36</v>
      </c>
      <c r="J233" s="174">
        <v>2682</v>
      </c>
      <c r="K233" s="174">
        <v>2682</v>
      </c>
      <c r="M233" s="217" t="s">
        <v>1765</v>
      </c>
      <c r="N233" s="183" t="s">
        <v>2142</v>
      </c>
    </row>
    <row r="234" spans="1:15" ht="27" hidden="1">
      <c r="A234" s="140" t="str">
        <f t="shared" si="3"/>
        <v>05542-00411-08-A13A</v>
      </c>
      <c r="B234" s="162" t="s">
        <v>1119</v>
      </c>
      <c r="C234" s="162" t="s">
        <v>1787</v>
      </c>
      <c r="D234" s="162" t="s">
        <v>1122</v>
      </c>
      <c r="F234" s="171">
        <v>61087</v>
      </c>
      <c r="G234" s="141" t="s">
        <v>39</v>
      </c>
      <c r="H234" s="174">
        <v>8</v>
      </c>
      <c r="I234" s="186" t="s">
        <v>36</v>
      </c>
      <c r="J234" s="174">
        <v>2780</v>
      </c>
      <c r="K234" s="174">
        <v>2780</v>
      </c>
      <c r="M234" s="217" t="s">
        <v>264</v>
      </c>
      <c r="N234" s="183" t="s">
        <v>2112</v>
      </c>
    </row>
    <row r="235" spans="1:15" ht="15.75" hidden="1" customHeight="1">
      <c r="A235" s="140" t="str">
        <f t="shared" si="3"/>
        <v>05542-00412-00-A13A</v>
      </c>
      <c r="B235" s="162" t="s">
        <v>1119</v>
      </c>
      <c r="C235" s="162" t="s">
        <v>1787</v>
      </c>
      <c r="D235" s="162" t="s">
        <v>1122</v>
      </c>
      <c r="F235" s="171">
        <v>61312</v>
      </c>
      <c r="G235" s="141" t="s">
        <v>41</v>
      </c>
      <c r="H235" s="174">
        <v>0</v>
      </c>
      <c r="I235" s="186" t="s">
        <v>966</v>
      </c>
      <c r="J235" s="174">
        <v>3112</v>
      </c>
      <c r="K235" s="174">
        <v>3110</v>
      </c>
      <c r="N235" s="183" t="s">
        <v>2155</v>
      </c>
    </row>
    <row r="236" spans="1:15" hidden="1">
      <c r="A236" s="140" t="str">
        <f t="shared" si="3"/>
        <v>05542-00412-01-A13A</v>
      </c>
      <c r="B236" s="162" t="s">
        <v>1119</v>
      </c>
      <c r="C236" s="162" t="s">
        <v>1787</v>
      </c>
      <c r="D236" s="162" t="s">
        <v>1122</v>
      </c>
      <c r="F236" s="171">
        <v>61591</v>
      </c>
      <c r="G236" s="141" t="s">
        <v>41</v>
      </c>
      <c r="H236" s="174">
        <v>1</v>
      </c>
      <c r="I236" s="186" t="s">
        <v>970</v>
      </c>
      <c r="J236" s="174">
        <v>3110</v>
      </c>
      <c r="K236" s="174">
        <v>3110</v>
      </c>
      <c r="M236" s="217" t="s">
        <v>673</v>
      </c>
      <c r="N236" s="183" t="s">
        <v>2155</v>
      </c>
    </row>
    <row r="237" spans="1:15" ht="27" hidden="1">
      <c r="A237" s="140" t="str">
        <f t="shared" si="3"/>
        <v>05542-00412-02-A13A</v>
      </c>
      <c r="B237" s="162" t="s">
        <v>1119</v>
      </c>
      <c r="C237" s="162" t="s">
        <v>1787</v>
      </c>
      <c r="D237" s="162" t="s">
        <v>1122</v>
      </c>
      <c r="F237" s="171">
        <v>62717</v>
      </c>
      <c r="G237" s="141" t="s">
        <v>41</v>
      </c>
      <c r="H237" s="174">
        <v>2</v>
      </c>
      <c r="I237" s="186" t="s">
        <v>970</v>
      </c>
      <c r="M237" s="217" t="s">
        <v>269</v>
      </c>
      <c r="N237" s="183" t="s">
        <v>2156</v>
      </c>
    </row>
    <row r="238" spans="1:15" hidden="1">
      <c r="A238" s="140" t="str">
        <f t="shared" si="3"/>
        <v>05542-00425-00-A12B</v>
      </c>
      <c r="B238" s="162" t="s">
        <v>1119</v>
      </c>
      <c r="C238" s="162" t="s">
        <v>1787</v>
      </c>
      <c r="D238" s="162" t="s">
        <v>1122</v>
      </c>
      <c r="F238" s="171">
        <v>53811</v>
      </c>
      <c r="G238" s="141" t="s">
        <v>152</v>
      </c>
      <c r="H238" s="174">
        <v>0</v>
      </c>
      <c r="I238" s="186" t="s">
        <v>147</v>
      </c>
      <c r="J238" s="174">
        <v>7154</v>
      </c>
      <c r="K238" s="174">
        <v>7154</v>
      </c>
      <c r="L238" s="149"/>
      <c r="M238" s="185"/>
      <c r="N238" s="183" t="s">
        <v>1906</v>
      </c>
    </row>
    <row r="239" spans="1:15" ht="27" hidden="1">
      <c r="A239" s="140" t="str">
        <f t="shared" si="3"/>
        <v>05542-00425-01-A12B</v>
      </c>
      <c r="B239" s="162" t="s">
        <v>1119</v>
      </c>
      <c r="C239" s="162" t="s">
        <v>1787</v>
      </c>
      <c r="D239" s="162" t="s">
        <v>1122</v>
      </c>
      <c r="F239" s="171">
        <v>54464</v>
      </c>
      <c r="G239" s="141" t="s">
        <v>152</v>
      </c>
      <c r="H239" s="174">
        <v>1</v>
      </c>
      <c r="I239" s="186" t="s">
        <v>147</v>
      </c>
      <c r="J239" s="174">
        <v>7620</v>
      </c>
      <c r="K239" s="174">
        <v>7620</v>
      </c>
      <c r="L239" s="149"/>
      <c r="M239" s="185" t="s">
        <v>1161</v>
      </c>
      <c r="N239" s="183" t="s">
        <v>1883</v>
      </c>
      <c r="O239" s="156"/>
    </row>
    <row r="240" spans="1:15" hidden="1">
      <c r="A240" s="140" t="str">
        <f t="shared" si="3"/>
        <v>05542-00425-02-A12B</v>
      </c>
      <c r="B240" s="162" t="s">
        <v>1119</v>
      </c>
      <c r="C240" s="162" t="s">
        <v>1787</v>
      </c>
      <c r="D240" s="162" t="s">
        <v>1122</v>
      </c>
      <c r="F240" s="171">
        <v>55511</v>
      </c>
      <c r="G240" s="141" t="s">
        <v>152</v>
      </c>
      <c r="H240" s="174">
        <v>2</v>
      </c>
      <c r="I240" s="186" t="s">
        <v>147</v>
      </c>
      <c r="M240" s="217" t="s">
        <v>402</v>
      </c>
    </row>
    <row r="241" spans="1:20" hidden="1">
      <c r="A241" s="140" t="str">
        <f t="shared" si="3"/>
        <v>05542-00549-00-A13AW</v>
      </c>
      <c r="B241" s="162" t="s">
        <v>1119</v>
      </c>
      <c r="C241" s="162" t="s">
        <v>1787</v>
      </c>
      <c r="D241" s="162" t="s">
        <v>1122</v>
      </c>
      <c r="E241" s="162" t="s">
        <v>1707</v>
      </c>
      <c r="F241" s="171">
        <v>55438</v>
      </c>
      <c r="G241" s="141" t="s">
        <v>246</v>
      </c>
      <c r="H241" s="174">
        <v>0</v>
      </c>
      <c r="I241" s="186" t="s">
        <v>245</v>
      </c>
      <c r="J241" s="174">
        <v>6</v>
      </c>
      <c r="K241" s="174">
        <v>6</v>
      </c>
      <c r="L241" s="149" t="s">
        <v>950</v>
      </c>
      <c r="M241" s="185"/>
      <c r="N241" s="183" t="s">
        <v>29</v>
      </c>
    </row>
    <row r="242" spans="1:20" hidden="1">
      <c r="A242" s="140" t="str">
        <f t="shared" si="3"/>
        <v>05542-00549-01-A13AW</v>
      </c>
      <c r="B242" s="162" t="s">
        <v>1119</v>
      </c>
      <c r="C242" s="162" t="s">
        <v>1787</v>
      </c>
      <c r="D242" s="162" t="s">
        <v>1122</v>
      </c>
      <c r="E242" s="162" t="s">
        <v>1707</v>
      </c>
      <c r="F242" s="171">
        <v>60282</v>
      </c>
      <c r="G242" s="141" t="s">
        <v>246</v>
      </c>
      <c r="H242" s="174">
        <v>1</v>
      </c>
      <c r="I242" s="210" t="s">
        <v>956</v>
      </c>
      <c r="J242" s="174">
        <v>6</v>
      </c>
      <c r="K242" s="174">
        <v>6</v>
      </c>
      <c r="L242" s="187" t="s">
        <v>950</v>
      </c>
      <c r="M242" s="217" t="s">
        <v>360</v>
      </c>
      <c r="O242" s="156"/>
    </row>
    <row r="243" spans="1:20" ht="14.25" hidden="1" thickBot="1">
      <c r="A243" s="140" t="str">
        <f t="shared" si="3"/>
        <v>05542-00559-00-A13AW</v>
      </c>
      <c r="B243" s="162" t="s">
        <v>1119</v>
      </c>
      <c r="C243" s="162" t="s">
        <v>1787</v>
      </c>
      <c r="D243" s="162" t="s">
        <v>1122</v>
      </c>
      <c r="E243" s="162" t="s">
        <v>1707</v>
      </c>
      <c r="F243" s="171">
        <v>61312</v>
      </c>
      <c r="G243" s="141" t="s">
        <v>475</v>
      </c>
      <c r="H243" s="174">
        <v>0</v>
      </c>
      <c r="I243" s="212" t="s">
        <v>968</v>
      </c>
      <c r="J243" s="174">
        <v>69</v>
      </c>
      <c r="K243" s="174">
        <v>69</v>
      </c>
      <c r="L243" s="187" t="s">
        <v>969</v>
      </c>
      <c r="N243" s="183" t="s">
        <v>1907</v>
      </c>
      <c r="O243" s="156"/>
    </row>
    <row r="244" spans="1:20" hidden="1">
      <c r="A244" s="140" t="str">
        <f t="shared" si="3"/>
        <v>05542-00559-01-A13AW</v>
      </c>
      <c r="B244" s="162" t="s">
        <v>1119</v>
      </c>
      <c r="C244" s="162" t="s">
        <v>1787</v>
      </c>
      <c r="D244" s="162" t="s">
        <v>1122</v>
      </c>
      <c r="E244" s="162" t="s">
        <v>1707</v>
      </c>
      <c r="F244" s="171">
        <v>61591</v>
      </c>
      <c r="G244" s="141" t="s">
        <v>475</v>
      </c>
      <c r="H244" s="174">
        <v>1</v>
      </c>
      <c r="I244" s="210" t="s">
        <v>968</v>
      </c>
      <c r="J244" s="174">
        <v>69</v>
      </c>
      <c r="K244" s="174">
        <v>69</v>
      </c>
      <c r="O244" s="156"/>
    </row>
    <row r="245" spans="1:20" hidden="1">
      <c r="A245" s="140" t="str">
        <f t="shared" si="3"/>
        <v>05542-00559-02-A13AW</v>
      </c>
      <c r="B245" s="162" t="s">
        <v>1119</v>
      </c>
      <c r="C245" s="162" t="s">
        <v>1787</v>
      </c>
      <c r="D245" s="162" t="s">
        <v>1122</v>
      </c>
      <c r="E245" s="162" t="s">
        <v>1707</v>
      </c>
      <c r="F245" s="171">
        <v>62444</v>
      </c>
      <c r="G245" s="141" t="s">
        <v>475</v>
      </c>
      <c r="H245" s="174">
        <v>2</v>
      </c>
      <c r="I245" s="210" t="s">
        <v>245</v>
      </c>
      <c r="K245" s="174">
        <v>154</v>
      </c>
      <c r="O245" s="156"/>
    </row>
    <row r="246" spans="1:20" hidden="1">
      <c r="A246" s="140" t="str">
        <f t="shared" si="3"/>
        <v>05542-00559-03-A13AW</v>
      </c>
      <c r="B246" s="162" t="s">
        <v>1119</v>
      </c>
      <c r="C246" s="162" t="s">
        <v>1787</v>
      </c>
      <c r="D246" s="162" t="s">
        <v>1122</v>
      </c>
      <c r="E246" s="162" t="s">
        <v>1707</v>
      </c>
      <c r="F246" s="171">
        <v>62540</v>
      </c>
      <c r="G246" s="141" t="s">
        <v>475</v>
      </c>
      <c r="H246" s="174">
        <v>3</v>
      </c>
      <c r="I246" s="210" t="s">
        <v>968</v>
      </c>
      <c r="J246" s="174">
        <v>264</v>
      </c>
      <c r="K246" s="174">
        <v>264</v>
      </c>
      <c r="O246" s="156"/>
    </row>
    <row r="247" spans="1:20" ht="14.25" hidden="1" customHeight="1" thickBot="1">
      <c r="A247" s="140" t="str">
        <f t="shared" si="3"/>
        <v>05542-00559-04-A13AW</v>
      </c>
      <c r="B247" s="162" t="s">
        <v>1119</v>
      </c>
      <c r="C247" s="162" t="s">
        <v>1787</v>
      </c>
      <c r="D247" s="162" t="s">
        <v>1122</v>
      </c>
      <c r="E247" s="162" t="s">
        <v>1707</v>
      </c>
      <c r="F247" s="171">
        <v>62765</v>
      </c>
      <c r="G247" s="141" t="s">
        <v>475</v>
      </c>
      <c r="H247" s="174">
        <v>4</v>
      </c>
      <c r="I247" s="203" t="s">
        <v>971</v>
      </c>
      <c r="M247" s="217" t="s">
        <v>433</v>
      </c>
    </row>
    <row r="248" spans="1:20" hidden="1">
      <c r="A248" s="140" t="str">
        <f t="shared" si="3"/>
        <v>05542-00639-00-A13AW</v>
      </c>
      <c r="B248" s="162" t="s">
        <v>1119</v>
      </c>
      <c r="C248" s="162" t="s">
        <v>1787</v>
      </c>
      <c r="D248" s="162" t="s">
        <v>1122</v>
      </c>
      <c r="E248" s="162" t="s">
        <v>1707</v>
      </c>
      <c r="F248" s="171">
        <v>60286</v>
      </c>
      <c r="G248" s="141" t="s">
        <v>247</v>
      </c>
      <c r="H248" s="174">
        <v>0</v>
      </c>
      <c r="I248" s="186" t="s">
        <v>245</v>
      </c>
      <c r="J248" s="174">
        <v>6</v>
      </c>
      <c r="K248" s="174">
        <v>6</v>
      </c>
      <c r="M248" s="217" t="s">
        <v>360</v>
      </c>
    </row>
    <row r="249" spans="1:20" ht="14.25" hidden="1" thickBot="1">
      <c r="A249" s="140" t="str">
        <f t="shared" si="3"/>
        <v>05542-00639-01-A13AW</v>
      </c>
      <c r="B249" s="162" t="s">
        <v>1119</v>
      </c>
      <c r="C249" s="162" t="s">
        <v>1787</v>
      </c>
      <c r="D249" s="162" t="s">
        <v>1122</v>
      </c>
      <c r="E249" s="162" t="s">
        <v>1707</v>
      </c>
      <c r="F249" s="171">
        <v>60282</v>
      </c>
      <c r="G249" s="141" t="s">
        <v>247</v>
      </c>
      <c r="H249" s="174">
        <v>1</v>
      </c>
      <c r="I249" s="212" t="s">
        <v>956</v>
      </c>
      <c r="J249" s="174">
        <v>6</v>
      </c>
      <c r="K249" s="174">
        <v>6</v>
      </c>
      <c r="L249" s="187" t="s">
        <v>950</v>
      </c>
      <c r="O249" s="156"/>
    </row>
    <row r="250" spans="1:20" hidden="1">
      <c r="A250" s="140" t="str">
        <f t="shared" si="3"/>
        <v>05542-00651-00-A13AW</v>
      </c>
      <c r="B250" s="162" t="s">
        <v>1119</v>
      </c>
      <c r="C250" s="162" t="s">
        <v>1787</v>
      </c>
      <c r="D250" s="162" t="s">
        <v>1122</v>
      </c>
      <c r="E250" s="162" t="s">
        <v>1707</v>
      </c>
      <c r="F250" s="171">
        <v>61312</v>
      </c>
      <c r="G250" s="141" t="s">
        <v>476</v>
      </c>
      <c r="H250" s="174">
        <v>0</v>
      </c>
      <c r="I250" s="210" t="s">
        <v>968</v>
      </c>
      <c r="J250" s="174">
        <v>69</v>
      </c>
      <c r="K250" s="174">
        <v>69</v>
      </c>
      <c r="L250" s="187" t="s">
        <v>950</v>
      </c>
      <c r="M250" s="217" t="s">
        <v>433</v>
      </c>
      <c r="O250" s="156"/>
    </row>
    <row r="251" spans="1:20" hidden="1">
      <c r="A251" s="140" t="str">
        <f t="shared" si="3"/>
        <v>05542-00651-01-A13AW</v>
      </c>
      <c r="B251" s="162" t="s">
        <v>1119</v>
      </c>
      <c r="C251" s="162" t="s">
        <v>1787</v>
      </c>
      <c r="D251" s="162" t="s">
        <v>1122</v>
      </c>
      <c r="E251" s="162" t="s">
        <v>1707</v>
      </c>
      <c r="F251" s="171">
        <v>61591</v>
      </c>
      <c r="G251" s="141" t="s">
        <v>476</v>
      </c>
      <c r="H251" s="174">
        <v>1</v>
      </c>
      <c r="I251" s="210" t="s">
        <v>245</v>
      </c>
      <c r="J251" s="174">
        <v>69</v>
      </c>
      <c r="K251" s="174">
        <v>69</v>
      </c>
      <c r="O251" s="156"/>
    </row>
    <row r="252" spans="1:20" ht="14.25" hidden="1" thickBot="1">
      <c r="A252" s="140" t="str">
        <f t="shared" si="3"/>
        <v>05542-00651-02-A13AW</v>
      </c>
      <c r="B252" s="162" t="s">
        <v>1119</v>
      </c>
      <c r="C252" s="162" t="s">
        <v>1787</v>
      </c>
      <c r="D252" s="162" t="s">
        <v>1122</v>
      </c>
      <c r="E252" s="162" t="s">
        <v>1707</v>
      </c>
      <c r="F252" s="171">
        <v>62444</v>
      </c>
      <c r="G252" s="141" t="s">
        <v>476</v>
      </c>
      <c r="H252" s="174">
        <v>2</v>
      </c>
      <c r="I252" s="212" t="s">
        <v>968</v>
      </c>
      <c r="K252" s="174">
        <v>154</v>
      </c>
      <c r="O252" s="156"/>
    </row>
    <row r="253" spans="1:20" hidden="1">
      <c r="A253" s="140" t="str">
        <f t="shared" si="3"/>
        <v>05542-00651-03-A13AW</v>
      </c>
      <c r="B253" s="162" t="s">
        <v>1119</v>
      </c>
      <c r="C253" s="162" t="s">
        <v>1787</v>
      </c>
      <c r="D253" s="162" t="s">
        <v>1122</v>
      </c>
      <c r="E253" s="162" t="s">
        <v>1707</v>
      </c>
      <c r="F253" s="171">
        <v>62540</v>
      </c>
      <c r="G253" s="141" t="s">
        <v>476</v>
      </c>
      <c r="H253" s="174">
        <v>3</v>
      </c>
      <c r="I253" s="210" t="s">
        <v>245</v>
      </c>
      <c r="J253" s="174">
        <v>264</v>
      </c>
      <c r="K253" s="174">
        <v>264</v>
      </c>
      <c r="O253" s="156"/>
    </row>
    <row r="254" spans="1:20" ht="14.25" hidden="1" thickBot="1">
      <c r="A254" s="140" t="str">
        <f t="shared" si="3"/>
        <v>05542-00651-04-A13AW</v>
      </c>
      <c r="B254" s="162" t="s">
        <v>1119</v>
      </c>
      <c r="C254" s="162" t="s">
        <v>1787</v>
      </c>
      <c r="D254" s="162" t="s">
        <v>1122</v>
      </c>
      <c r="E254" s="162" t="s">
        <v>1707</v>
      </c>
      <c r="F254" s="171">
        <v>62765</v>
      </c>
      <c r="G254" s="141" t="s">
        <v>476</v>
      </c>
      <c r="H254" s="174">
        <v>4</v>
      </c>
      <c r="I254" s="203" t="s">
        <v>971</v>
      </c>
    </row>
    <row r="255" spans="1:20" ht="14.25" hidden="1" thickBot="1">
      <c r="A255" s="140" t="str">
        <f t="shared" ref="A255:A318" si="4">G255&amp;"-"&amp;TEXT(H255,"00")&amp;"-"&amp;I255</f>
        <v>05642-00015-00-A14H</v>
      </c>
      <c r="B255" s="162" t="s">
        <v>1119</v>
      </c>
      <c r="C255" s="162" t="s">
        <v>1787</v>
      </c>
      <c r="D255" s="162" t="s">
        <v>1122</v>
      </c>
      <c r="F255" s="171">
        <v>41229</v>
      </c>
      <c r="G255" s="141" t="s">
        <v>491</v>
      </c>
      <c r="H255" s="174">
        <v>0</v>
      </c>
      <c r="I255" s="203" t="s">
        <v>492</v>
      </c>
      <c r="J255" s="174">
        <v>1</v>
      </c>
      <c r="N255" s="183" t="s">
        <v>29</v>
      </c>
      <c r="R255" s="146"/>
      <c r="S255" s="147"/>
      <c r="T255" s="148"/>
    </row>
    <row r="256" spans="1:20" hidden="1">
      <c r="A256" s="140" t="str">
        <f t="shared" si="4"/>
        <v>05642-00015-00-A14I</v>
      </c>
      <c r="B256" s="162" t="s">
        <v>1119</v>
      </c>
      <c r="C256" s="162" t="s">
        <v>1787</v>
      </c>
      <c r="D256" s="162" t="s">
        <v>1122</v>
      </c>
      <c r="F256" s="171">
        <v>41229</v>
      </c>
      <c r="G256" s="141" t="s">
        <v>491</v>
      </c>
      <c r="H256" s="174">
        <v>0</v>
      </c>
      <c r="I256" s="186" t="s">
        <v>493</v>
      </c>
      <c r="J256" s="174">
        <v>1</v>
      </c>
      <c r="N256" s="183" t="s">
        <v>29</v>
      </c>
      <c r="R256" s="146"/>
      <c r="S256" s="147"/>
      <c r="T256" s="148"/>
    </row>
    <row r="257" spans="1:22" ht="14.25" hidden="1" thickBot="1">
      <c r="A257" s="140" t="str">
        <f t="shared" si="4"/>
        <v>05642-00015-01-A14H</v>
      </c>
      <c r="B257" s="162" t="s">
        <v>1119</v>
      </c>
      <c r="C257" s="162" t="s">
        <v>1787</v>
      </c>
      <c r="D257" s="162" t="s">
        <v>1122</v>
      </c>
      <c r="F257" s="171">
        <v>42011</v>
      </c>
      <c r="G257" s="141" t="s">
        <v>80</v>
      </c>
      <c r="H257" s="174">
        <v>1</v>
      </c>
      <c r="I257" s="203" t="s">
        <v>918</v>
      </c>
      <c r="J257" s="174">
        <v>1</v>
      </c>
      <c r="L257" s="149"/>
      <c r="M257" s="185"/>
      <c r="R257" s="146"/>
      <c r="S257" s="147"/>
      <c r="T257" s="148"/>
    </row>
    <row r="258" spans="1:22" ht="14.25" hidden="1" thickBot="1">
      <c r="A258" s="140" t="str">
        <f t="shared" si="4"/>
        <v>05642-00015-01-A14I</v>
      </c>
      <c r="B258" s="162" t="s">
        <v>1119</v>
      </c>
      <c r="C258" s="162" t="s">
        <v>1787</v>
      </c>
      <c r="D258" s="162" t="s">
        <v>1122</v>
      </c>
      <c r="F258" s="171">
        <v>42011</v>
      </c>
      <c r="G258" s="141" t="s">
        <v>80</v>
      </c>
      <c r="H258" s="174">
        <v>1</v>
      </c>
      <c r="I258" s="203" t="s">
        <v>493</v>
      </c>
      <c r="J258" s="174">
        <v>184</v>
      </c>
      <c r="L258" s="149"/>
      <c r="M258" s="185"/>
      <c r="R258" s="146"/>
      <c r="S258" s="147"/>
      <c r="T258" s="148"/>
    </row>
    <row r="259" spans="1:22" hidden="1">
      <c r="A259" s="140" t="str">
        <f t="shared" si="4"/>
        <v>05642-00015-02-A14H</v>
      </c>
      <c r="B259" s="162" t="s">
        <v>1119</v>
      </c>
      <c r="C259" s="162" t="s">
        <v>1787</v>
      </c>
      <c r="D259" s="162" t="s">
        <v>1122</v>
      </c>
      <c r="F259" s="171">
        <v>42850</v>
      </c>
      <c r="G259" s="141" t="s">
        <v>491</v>
      </c>
      <c r="H259" s="174">
        <v>2</v>
      </c>
      <c r="I259" s="188" t="s">
        <v>511</v>
      </c>
      <c r="J259" s="174" t="s">
        <v>512</v>
      </c>
      <c r="R259" s="146"/>
      <c r="S259" s="147"/>
      <c r="T259" s="148"/>
    </row>
    <row r="260" spans="1:22" ht="14.25" hidden="1" thickBot="1">
      <c r="A260" s="140" t="str">
        <f t="shared" si="4"/>
        <v>05642-00015-02-A14I</v>
      </c>
      <c r="B260" s="162" t="s">
        <v>1119</v>
      </c>
      <c r="C260" s="162" t="s">
        <v>1787</v>
      </c>
      <c r="D260" s="162" t="s">
        <v>1122</v>
      </c>
      <c r="F260" s="171">
        <v>42850</v>
      </c>
      <c r="G260" s="141" t="s">
        <v>491</v>
      </c>
      <c r="H260" s="174">
        <v>2</v>
      </c>
      <c r="I260" s="204" t="s">
        <v>505</v>
      </c>
      <c r="J260" s="174" t="s">
        <v>512</v>
      </c>
      <c r="R260" s="146"/>
      <c r="S260" s="147"/>
      <c r="T260" s="148"/>
    </row>
    <row r="261" spans="1:22" hidden="1">
      <c r="A261" s="140" t="str">
        <f t="shared" si="4"/>
        <v>05642-00015-03-A14I</v>
      </c>
      <c r="B261" s="162" t="s">
        <v>1119</v>
      </c>
      <c r="C261" s="162" t="s">
        <v>1787</v>
      </c>
      <c r="D261" s="162" t="s">
        <v>1122</v>
      </c>
      <c r="F261" s="171">
        <v>43589</v>
      </c>
      <c r="G261" s="141" t="s">
        <v>80</v>
      </c>
      <c r="H261" s="174">
        <v>3</v>
      </c>
      <c r="I261" s="188" t="s">
        <v>505</v>
      </c>
      <c r="T261" s="148"/>
    </row>
    <row r="262" spans="1:22" hidden="1">
      <c r="A262" s="140" t="str">
        <f t="shared" si="4"/>
        <v>05642-00015-03-A14H</v>
      </c>
      <c r="B262" s="162" t="s">
        <v>1119</v>
      </c>
      <c r="C262" s="162" t="s">
        <v>1787</v>
      </c>
      <c r="D262" s="162" t="s">
        <v>1122</v>
      </c>
      <c r="F262" s="171">
        <v>43589</v>
      </c>
      <c r="G262" s="141" t="s">
        <v>80</v>
      </c>
      <c r="H262" s="174">
        <v>3</v>
      </c>
      <c r="I262" s="188" t="s">
        <v>511</v>
      </c>
      <c r="T262" s="148"/>
    </row>
    <row r="263" spans="1:22" hidden="1">
      <c r="A263" s="140" t="str">
        <f t="shared" si="4"/>
        <v>05642-00015-04-A14I</v>
      </c>
      <c r="B263" s="162" t="s">
        <v>1119</v>
      </c>
      <c r="C263" s="162" t="s">
        <v>1787</v>
      </c>
      <c r="D263" s="162" t="s">
        <v>1122</v>
      </c>
      <c r="F263" s="171">
        <v>43748</v>
      </c>
      <c r="G263" s="141" t="s">
        <v>80</v>
      </c>
      <c r="H263" s="174">
        <v>4</v>
      </c>
      <c r="I263" s="188" t="s">
        <v>505</v>
      </c>
      <c r="M263" s="217" t="s">
        <v>312</v>
      </c>
      <c r="N263" s="184"/>
      <c r="T263" s="148"/>
      <c r="V263" s="150"/>
    </row>
    <row r="264" spans="1:22" hidden="1">
      <c r="A264" s="140" t="str">
        <f t="shared" si="4"/>
        <v>05642-00015-04-A14H</v>
      </c>
      <c r="B264" s="162" t="s">
        <v>1119</v>
      </c>
      <c r="C264" s="162" t="s">
        <v>1787</v>
      </c>
      <c r="D264" s="162" t="s">
        <v>1122</v>
      </c>
      <c r="F264" s="171">
        <v>43748</v>
      </c>
      <c r="G264" s="141" t="s">
        <v>80</v>
      </c>
      <c r="H264" s="174">
        <v>4</v>
      </c>
      <c r="I264" s="188" t="s">
        <v>511</v>
      </c>
      <c r="M264" s="217" t="s">
        <v>312</v>
      </c>
      <c r="N264" s="184"/>
      <c r="T264" s="148"/>
      <c r="V264" s="150"/>
    </row>
    <row r="265" spans="1:22" hidden="1">
      <c r="A265" s="140" t="str">
        <f t="shared" si="4"/>
        <v>05642-00075-00-A14I</v>
      </c>
      <c r="B265" s="162" t="s">
        <v>1119</v>
      </c>
      <c r="C265" s="162" t="s">
        <v>1787</v>
      </c>
      <c r="D265" s="162" t="s">
        <v>1122</v>
      </c>
      <c r="F265" s="171">
        <v>62636</v>
      </c>
      <c r="G265" s="141" t="s">
        <v>1024</v>
      </c>
      <c r="H265" s="174">
        <v>0</v>
      </c>
      <c r="I265" s="188" t="s">
        <v>505</v>
      </c>
      <c r="M265" s="217" t="s">
        <v>1045</v>
      </c>
    </row>
    <row r="266" spans="1:22" ht="108" hidden="1">
      <c r="A266" s="140" t="str">
        <f t="shared" si="4"/>
        <v>05642-00108-01-F14F</v>
      </c>
      <c r="B266" s="162" t="s">
        <v>1119</v>
      </c>
      <c r="C266" s="162" t="s">
        <v>1787</v>
      </c>
      <c r="D266" s="162" t="s">
        <v>1122</v>
      </c>
      <c r="F266" s="171">
        <v>42851</v>
      </c>
      <c r="G266" s="141" t="s">
        <v>520</v>
      </c>
      <c r="H266" s="174">
        <v>1</v>
      </c>
      <c r="I266" s="188" t="s">
        <v>509</v>
      </c>
      <c r="J266" s="174">
        <v>2</v>
      </c>
      <c r="N266" s="183" t="s">
        <v>1908</v>
      </c>
      <c r="R266" s="146"/>
      <c r="S266" s="147"/>
      <c r="T266" s="148"/>
    </row>
    <row r="267" spans="1:22" ht="27" hidden="1">
      <c r="A267" s="140" t="str">
        <f t="shared" si="4"/>
        <v>05642-00108-02-F14F</v>
      </c>
      <c r="B267" s="162" t="s">
        <v>1119</v>
      </c>
      <c r="C267" s="162" t="s">
        <v>1787</v>
      </c>
      <c r="D267" s="162" t="s">
        <v>1122</v>
      </c>
      <c r="F267" s="171">
        <v>43322</v>
      </c>
      <c r="G267" s="141" t="s">
        <v>520</v>
      </c>
      <c r="H267" s="174">
        <v>2</v>
      </c>
      <c r="I267" s="188" t="s">
        <v>509</v>
      </c>
      <c r="J267" s="174">
        <v>37</v>
      </c>
      <c r="N267" s="183" t="s">
        <v>1909</v>
      </c>
      <c r="R267" s="151"/>
      <c r="S267" s="147"/>
      <c r="T267" s="148"/>
    </row>
    <row r="268" spans="1:22" ht="54" hidden="1">
      <c r="A268" s="140" t="str">
        <f t="shared" si="4"/>
        <v>05642-00108-03-F14F</v>
      </c>
      <c r="B268" s="162" t="s">
        <v>1119</v>
      </c>
      <c r="C268" s="162" t="s">
        <v>1787</v>
      </c>
      <c r="D268" s="162" t="s">
        <v>1122</v>
      </c>
      <c r="F268" s="171">
        <v>43497</v>
      </c>
      <c r="G268" s="141" t="s">
        <v>520</v>
      </c>
      <c r="H268" s="174">
        <v>3</v>
      </c>
      <c r="I268" s="188" t="s">
        <v>509</v>
      </c>
      <c r="J268" s="174">
        <v>106</v>
      </c>
      <c r="N268" s="183" t="s">
        <v>1910</v>
      </c>
      <c r="T268" s="148"/>
    </row>
    <row r="269" spans="1:22" ht="27" hidden="1">
      <c r="A269" s="140" t="str">
        <f t="shared" si="4"/>
        <v>05642-00108-04-F14F</v>
      </c>
      <c r="B269" s="162" t="s">
        <v>1119</v>
      </c>
      <c r="C269" s="162" t="s">
        <v>1787</v>
      </c>
      <c r="D269" s="162" t="s">
        <v>1122</v>
      </c>
      <c r="F269" s="171">
        <v>43589</v>
      </c>
      <c r="G269" s="141" t="s">
        <v>186</v>
      </c>
      <c r="H269" s="174">
        <v>4</v>
      </c>
      <c r="I269" s="188" t="s">
        <v>509</v>
      </c>
      <c r="N269" s="183" t="s">
        <v>1911</v>
      </c>
      <c r="T269" s="148"/>
    </row>
    <row r="270" spans="1:22" hidden="1">
      <c r="A270" s="140" t="str">
        <f t="shared" si="4"/>
        <v>05642-00108-05-F14F</v>
      </c>
      <c r="B270" s="162" t="s">
        <v>1119</v>
      </c>
      <c r="C270" s="162" t="s">
        <v>1787</v>
      </c>
      <c r="D270" s="162" t="s">
        <v>1122</v>
      </c>
      <c r="F270" s="171">
        <v>43748</v>
      </c>
      <c r="G270" s="141" t="s">
        <v>520</v>
      </c>
      <c r="H270" s="174">
        <v>5</v>
      </c>
      <c r="I270" s="188" t="s">
        <v>509</v>
      </c>
      <c r="N270" s="183" t="s">
        <v>1912</v>
      </c>
    </row>
    <row r="271" spans="1:22" ht="54" hidden="1">
      <c r="A271" s="140" t="str">
        <f t="shared" si="4"/>
        <v>05642-00108-06-F14F</v>
      </c>
      <c r="B271" s="162" t="s">
        <v>1119</v>
      </c>
      <c r="C271" s="162" t="s">
        <v>1787</v>
      </c>
      <c r="D271" s="162" t="s">
        <v>1122</v>
      </c>
      <c r="F271" s="171">
        <v>44193</v>
      </c>
      <c r="G271" s="141" t="s">
        <v>520</v>
      </c>
      <c r="H271" s="174">
        <v>6</v>
      </c>
      <c r="I271" s="188" t="s">
        <v>509</v>
      </c>
      <c r="J271" s="174" t="s">
        <v>512</v>
      </c>
      <c r="N271" s="183" t="s">
        <v>1913</v>
      </c>
    </row>
    <row r="272" spans="1:22" ht="27" hidden="1">
      <c r="A272" s="140" t="str">
        <f t="shared" si="4"/>
        <v>05642-00108-07-F14F</v>
      </c>
      <c r="B272" s="162" t="s">
        <v>1119</v>
      </c>
      <c r="C272" s="162" t="s">
        <v>1787</v>
      </c>
      <c r="D272" s="162" t="s">
        <v>1122</v>
      </c>
      <c r="F272" s="171">
        <v>55511</v>
      </c>
      <c r="G272" s="141" t="s">
        <v>186</v>
      </c>
      <c r="H272" s="174">
        <v>7</v>
      </c>
      <c r="I272" s="186" t="s">
        <v>185</v>
      </c>
      <c r="M272" s="217" t="s">
        <v>423</v>
      </c>
      <c r="N272" s="183" t="s">
        <v>1914</v>
      </c>
    </row>
    <row r="273" spans="1:20" hidden="1">
      <c r="A273" s="140" t="str">
        <f t="shared" si="4"/>
        <v>05642-00207-00-A14FW</v>
      </c>
      <c r="B273" s="162" t="s">
        <v>1119</v>
      </c>
      <c r="C273" s="162" t="s">
        <v>1787</v>
      </c>
      <c r="D273" s="162" t="s">
        <v>1122</v>
      </c>
      <c r="F273" s="171">
        <v>41330</v>
      </c>
      <c r="G273" s="141" t="s">
        <v>494</v>
      </c>
      <c r="H273" s="174">
        <v>0</v>
      </c>
      <c r="I273" s="186" t="s">
        <v>52</v>
      </c>
      <c r="J273" s="174">
        <v>3</v>
      </c>
      <c r="N273" s="183" t="s">
        <v>78</v>
      </c>
      <c r="R273" s="146"/>
      <c r="S273" s="147"/>
      <c r="T273" s="148"/>
    </row>
    <row r="274" spans="1:20" ht="14.25" hidden="1" thickBot="1">
      <c r="A274" s="140" t="str">
        <f t="shared" si="4"/>
        <v>05642-00207-01-A14FW</v>
      </c>
      <c r="B274" s="162" t="s">
        <v>1119</v>
      </c>
      <c r="C274" s="162" t="s">
        <v>1787</v>
      </c>
      <c r="D274" s="162" t="s">
        <v>1122</v>
      </c>
      <c r="F274" s="171">
        <v>43796</v>
      </c>
      <c r="G274" s="141" t="s">
        <v>494</v>
      </c>
      <c r="H274" s="174">
        <v>1</v>
      </c>
      <c r="I274" s="204" t="s">
        <v>513</v>
      </c>
      <c r="J274" s="174">
        <v>659</v>
      </c>
      <c r="K274" s="174">
        <v>658</v>
      </c>
      <c r="L274" s="149"/>
      <c r="M274" s="185"/>
    </row>
    <row r="275" spans="1:20" hidden="1">
      <c r="A275" s="140" t="str">
        <f t="shared" si="4"/>
        <v>05642-00207-02-A14FW</v>
      </c>
      <c r="B275" s="162" t="s">
        <v>1119</v>
      </c>
      <c r="C275" s="162" t="s">
        <v>1787</v>
      </c>
      <c r="D275" s="162" t="s">
        <v>1122</v>
      </c>
      <c r="F275" s="171">
        <v>44946</v>
      </c>
      <c r="G275" s="141" t="s">
        <v>494</v>
      </c>
      <c r="H275" s="174">
        <v>2</v>
      </c>
      <c r="I275" s="188" t="s">
        <v>513</v>
      </c>
      <c r="J275" s="174">
        <v>1089</v>
      </c>
      <c r="K275" s="174">
        <v>1089</v>
      </c>
      <c r="L275" s="149"/>
      <c r="M275" s="185" t="s">
        <v>298</v>
      </c>
      <c r="O275" s="156"/>
      <c r="P275" s="155"/>
      <c r="Q275" s="150"/>
      <c r="R275" s="151"/>
      <c r="S275" s="147"/>
      <c r="T275" s="148"/>
    </row>
    <row r="276" spans="1:20" ht="14.25" hidden="1" thickBot="1">
      <c r="A276" s="140" t="str">
        <f t="shared" si="4"/>
        <v>05642-00231-00-A14D-2</v>
      </c>
      <c r="B276" s="162" t="s">
        <v>1119</v>
      </c>
      <c r="C276" s="162" t="s">
        <v>1787</v>
      </c>
      <c r="D276" s="162" t="s">
        <v>1122</v>
      </c>
      <c r="F276" s="171">
        <v>42160</v>
      </c>
      <c r="G276" s="141" t="s">
        <v>496</v>
      </c>
      <c r="H276" s="174">
        <v>0</v>
      </c>
      <c r="I276" s="203" t="s">
        <v>43</v>
      </c>
      <c r="J276" s="174">
        <v>1</v>
      </c>
      <c r="R276" s="146"/>
      <c r="S276" s="147"/>
      <c r="T276" s="148"/>
    </row>
    <row r="277" spans="1:20" ht="14.25" hidden="1" thickBot="1">
      <c r="A277" s="140" t="str">
        <f t="shared" si="4"/>
        <v>05642-00231-01-A14D-2</v>
      </c>
      <c r="B277" s="162" t="s">
        <v>1119</v>
      </c>
      <c r="C277" s="162" t="s">
        <v>1787</v>
      </c>
      <c r="D277" s="162" t="s">
        <v>1122</v>
      </c>
      <c r="F277" s="171">
        <v>42065</v>
      </c>
      <c r="G277" s="141" t="s">
        <v>496</v>
      </c>
      <c r="H277" s="174">
        <v>1</v>
      </c>
      <c r="I277" s="203" t="s">
        <v>43</v>
      </c>
      <c r="J277" s="174">
        <v>1</v>
      </c>
      <c r="R277" s="146"/>
      <c r="S277" s="147"/>
      <c r="T277" s="148"/>
    </row>
    <row r="278" spans="1:20" ht="14.25" hidden="1" thickBot="1">
      <c r="A278" s="140" t="str">
        <f t="shared" si="4"/>
        <v>05642-00231-02-A14D-2</v>
      </c>
      <c r="B278" s="162" t="s">
        <v>1119</v>
      </c>
      <c r="C278" s="162" t="s">
        <v>1787</v>
      </c>
      <c r="D278" s="162" t="s">
        <v>1122</v>
      </c>
      <c r="F278" s="171">
        <v>42491</v>
      </c>
      <c r="G278" s="141" t="s">
        <v>496</v>
      </c>
      <c r="H278" s="174">
        <v>2</v>
      </c>
      <c r="I278" s="204" t="s">
        <v>504</v>
      </c>
      <c r="J278" s="174">
        <v>1</v>
      </c>
      <c r="N278" s="183" t="s">
        <v>1019</v>
      </c>
      <c r="R278" s="146"/>
      <c r="S278" s="147"/>
      <c r="T278" s="148"/>
    </row>
    <row r="279" spans="1:20" ht="14.25" hidden="1" thickBot="1">
      <c r="A279" s="140" t="str">
        <f t="shared" si="4"/>
        <v>05642-00231-03-A14D-2</v>
      </c>
      <c r="B279" s="162" t="s">
        <v>1119</v>
      </c>
      <c r="C279" s="162" t="s">
        <v>1787</v>
      </c>
      <c r="D279" s="162" t="s">
        <v>1122</v>
      </c>
      <c r="F279" s="171">
        <v>42850</v>
      </c>
      <c r="G279" s="141" t="s">
        <v>496</v>
      </c>
      <c r="H279" s="174">
        <v>3</v>
      </c>
      <c r="I279" s="204" t="s">
        <v>504</v>
      </c>
      <c r="J279" s="174" t="s">
        <v>512</v>
      </c>
      <c r="R279" s="146"/>
      <c r="S279" s="147"/>
      <c r="T279" s="148"/>
    </row>
    <row r="280" spans="1:20" ht="14.25" hidden="1" thickBot="1">
      <c r="A280" s="140" t="str">
        <f t="shared" si="4"/>
        <v>05642-00231-04-A14D-2</v>
      </c>
      <c r="B280" s="162" t="s">
        <v>1119</v>
      </c>
      <c r="C280" s="162" t="s">
        <v>1787</v>
      </c>
      <c r="D280" s="162" t="s">
        <v>1122</v>
      </c>
      <c r="F280" s="171">
        <v>43183</v>
      </c>
      <c r="G280" s="141" t="s">
        <v>496</v>
      </c>
      <c r="H280" s="174">
        <v>4</v>
      </c>
      <c r="I280" s="204" t="s">
        <v>504</v>
      </c>
      <c r="P280" s="142"/>
      <c r="R280" s="146"/>
      <c r="S280" s="147"/>
      <c r="T280" s="148"/>
    </row>
    <row r="281" spans="1:20" ht="14.25" hidden="1" thickBot="1">
      <c r="A281" s="140" t="str">
        <f t="shared" si="4"/>
        <v>05642-00231-05-A14D-2</v>
      </c>
      <c r="B281" s="162" t="s">
        <v>1119</v>
      </c>
      <c r="C281" s="162" t="s">
        <v>1787</v>
      </c>
      <c r="D281" s="162" t="s">
        <v>1122</v>
      </c>
      <c r="F281" s="171">
        <v>43589</v>
      </c>
      <c r="G281" s="141" t="s">
        <v>44</v>
      </c>
      <c r="H281" s="174">
        <v>5</v>
      </c>
      <c r="I281" s="204" t="s">
        <v>504</v>
      </c>
      <c r="M281" s="217" t="s">
        <v>270</v>
      </c>
      <c r="T281" s="148"/>
    </row>
    <row r="282" spans="1:20" ht="14.25" hidden="1" thickBot="1">
      <c r="A282" s="140" t="str">
        <f t="shared" si="4"/>
        <v>05642-00250-00-A14FW</v>
      </c>
      <c r="B282" s="162" t="s">
        <v>1119</v>
      </c>
      <c r="C282" s="162" t="s">
        <v>1787</v>
      </c>
      <c r="D282" s="162" t="s">
        <v>1122</v>
      </c>
      <c r="F282" s="171">
        <v>42834</v>
      </c>
      <c r="G282" s="141" t="s">
        <v>55</v>
      </c>
      <c r="H282" s="174">
        <v>0</v>
      </c>
      <c r="I282" s="204" t="s">
        <v>513</v>
      </c>
      <c r="J282" s="174">
        <v>517</v>
      </c>
      <c r="R282" s="146"/>
      <c r="S282" s="147"/>
      <c r="T282" s="148"/>
    </row>
    <row r="283" spans="1:20" ht="14.25" hidden="1" thickBot="1">
      <c r="A283" s="140" t="str">
        <f t="shared" si="4"/>
        <v>05642-00250-01-A14HW</v>
      </c>
      <c r="B283" s="162" t="s">
        <v>1119</v>
      </c>
      <c r="C283" s="162" t="s">
        <v>1787</v>
      </c>
      <c r="D283" s="162" t="s">
        <v>1122</v>
      </c>
      <c r="F283" s="171">
        <v>43461</v>
      </c>
      <c r="G283" s="141" t="s">
        <v>55</v>
      </c>
      <c r="H283" s="174">
        <v>1</v>
      </c>
      <c r="I283" s="201" t="s">
        <v>856</v>
      </c>
      <c r="J283" s="174" t="s">
        <v>512</v>
      </c>
      <c r="T283" s="148"/>
    </row>
    <row r="284" spans="1:20" ht="14.25" hidden="1" thickBot="1">
      <c r="A284" s="140" t="str">
        <f t="shared" si="4"/>
        <v>05642-00250-02-A14FW</v>
      </c>
      <c r="B284" s="162" t="s">
        <v>1119</v>
      </c>
      <c r="C284" s="162" t="s">
        <v>1787</v>
      </c>
      <c r="D284" s="162" t="s">
        <v>1122</v>
      </c>
      <c r="F284" s="171">
        <v>43796</v>
      </c>
      <c r="G284" s="141" t="s">
        <v>523</v>
      </c>
      <c r="H284" s="174">
        <v>2</v>
      </c>
      <c r="I284" s="204" t="s">
        <v>513</v>
      </c>
      <c r="J284" s="174">
        <v>659</v>
      </c>
      <c r="K284" s="174">
        <v>658</v>
      </c>
      <c r="L284" s="149"/>
      <c r="M284" s="185"/>
    </row>
    <row r="285" spans="1:20" ht="14.25" hidden="1" thickBot="1">
      <c r="A285" s="140" t="str">
        <f t="shared" si="4"/>
        <v>05642-00250-03-A14FW</v>
      </c>
      <c r="B285" s="162" t="s">
        <v>1119</v>
      </c>
      <c r="C285" s="162" t="s">
        <v>1787</v>
      </c>
      <c r="D285" s="162" t="s">
        <v>1122</v>
      </c>
      <c r="F285" s="171">
        <v>43815</v>
      </c>
      <c r="G285" s="141" t="s">
        <v>523</v>
      </c>
      <c r="H285" s="174">
        <v>3</v>
      </c>
      <c r="I285" s="204" t="s">
        <v>513</v>
      </c>
      <c r="J285" s="174">
        <v>698</v>
      </c>
    </row>
    <row r="286" spans="1:20" ht="14.25" hidden="1" thickBot="1">
      <c r="A286" s="140" t="str">
        <f t="shared" si="4"/>
        <v>05642-00250-04-A14FW</v>
      </c>
      <c r="B286" s="162" t="s">
        <v>1119</v>
      </c>
      <c r="C286" s="162" t="s">
        <v>1787</v>
      </c>
      <c r="D286" s="162" t="s">
        <v>1122</v>
      </c>
      <c r="F286" s="171">
        <v>44946</v>
      </c>
      <c r="G286" s="141" t="s">
        <v>523</v>
      </c>
      <c r="H286" s="174">
        <v>4</v>
      </c>
      <c r="I286" s="204" t="s">
        <v>52</v>
      </c>
      <c r="J286" s="174">
        <v>1089</v>
      </c>
      <c r="K286" s="174">
        <v>1089</v>
      </c>
      <c r="L286" s="149"/>
      <c r="M286" s="185"/>
      <c r="O286" s="156"/>
      <c r="P286" s="155"/>
    </row>
    <row r="287" spans="1:20" ht="14.25" hidden="1" customHeight="1" thickBot="1">
      <c r="A287" s="140" t="str">
        <f t="shared" si="4"/>
        <v>05642-00250-05-A14FW</v>
      </c>
      <c r="B287" s="162" t="s">
        <v>1119</v>
      </c>
      <c r="C287" s="162" t="s">
        <v>1787</v>
      </c>
      <c r="D287" s="162" t="s">
        <v>1122</v>
      </c>
      <c r="F287" s="171">
        <v>55511</v>
      </c>
      <c r="G287" s="141" t="s">
        <v>55</v>
      </c>
      <c r="H287" s="174">
        <v>5</v>
      </c>
      <c r="I287" s="203" t="s">
        <v>945</v>
      </c>
      <c r="M287" s="217" t="s">
        <v>290</v>
      </c>
    </row>
    <row r="288" spans="1:20" ht="14.25" hidden="1" thickBot="1">
      <c r="A288" s="140" t="str">
        <f t="shared" si="4"/>
        <v>05642-00273-01-A14GW</v>
      </c>
      <c r="B288" s="162" t="s">
        <v>1119</v>
      </c>
      <c r="C288" s="162" t="s">
        <v>1787</v>
      </c>
      <c r="D288" s="162" t="s">
        <v>1122</v>
      </c>
      <c r="F288" s="171">
        <v>45980</v>
      </c>
      <c r="G288" s="141" t="s">
        <v>69</v>
      </c>
      <c r="H288" s="174">
        <v>1</v>
      </c>
      <c r="I288" s="202" t="s">
        <v>68</v>
      </c>
      <c r="P288" s="155"/>
      <c r="R288" s="151"/>
      <c r="S288" s="147"/>
      <c r="T288" s="148"/>
    </row>
    <row r="289" spans="1:24" ht="14.25" hidden="1" thickBot="1">
      <c r="A289" s="140" t="str">
        <f t="shared" si="4"/>
        <v>05642-00273-01-A14HW</v>
      </c>
      <c r="B289" s="162" t="s">
        <v>1119</v>
      </c>
      <c r="C289" s="162" t="s">
        <v>1787</v>
      </c>
      <c r="D289" s="162" t="s">
        <v>1122</v>
      </c>
      <c r="F289" s="171">
        <v>45980</v>
      </c>
      <c r="G289" s="141" t="s">
        <v>69</v>
      </c>
      <c r="H289" s="174">
        <v>1</v>
      </c>
      <c r="I289" s="202" t="s">
        <v>841</v>
      </c>
      <c r="P289" s="155"/>
      <c r="R289" s="151"/>
      <c r="S289" s="147"/>
      <c r="T289" s="148"/>
    </row>
    <row r="290" spans="1:24" ht="14.25" hidden="1" customHeight="1" thickBot="1">
      <c r="A290" s="140" t="str">
        <f t="shared" si="4"/>
        <v>05642-00273-02-A14GW</v>
      </c>
      <c r="B290" s="162" t="s">
        <v>1119</v>
      </c>
      <c r="C290" s="162" t="s">
        <v>1787</v>
      </c>
      <c r="D290" s="162" t="s">
        <v>1122</v>
      </c>
      <c r="F290" s="171">
        <v>46047</v>
      </c>
      <c r="G290" s="141" t="s">
        <v>69</v>
      </c>
      <c r="H290" s="174">
        <v>2</v>
      </c>
      <c r="I290" s="202" t="s">
        <v>813</v>
      </c>
      <c r="P290" s="155"/>
      <c r="R290" s="151"/>
      <c r="S290" s="147"/>
      <c r="T290" s="148"/>
    </row>
    <row r="291" spans="1:24" ht="14.25" hidden="1" thickBot="1">
      <c r="A291" s="140" t="str">
        <f t="shared" si="4"/>
        <v>05642-00273-02-A14HW</v>
      </c>
      <c r="B291" s="162" t="s">
        <v>1119</v>
      </c>
      <c r="C291" s="162" t="s">
        <v>1787</v>
      </c>
      <c r="D291" s="162" t="s">
        <v>1122</v>
      </c>
      <c r="F291" s="171">
        <v>46047</v>
      </c>
      <c r="G291" s="141" t="s">
        <v>69</v>
      </c>
      <c r="H291" s="174">
        <v>2</v>
      </c>
      <c r="I291" s="202" t="s">
        <v>841</v>
      </c>
      <c r="P291" s="155"/>
      <c r="R291" s="151"/>
      <c r="S291" s="147"/>
      <c r="T291" s="148"/>
    </row>
    <row r="292" spans="1:24" ht="14.25" hidden="1" thickBot="1">
      <c r="A292" s="140" t="str">
        <f t="shared" si="4"/>
        <v>05642-00273-03-A14GW</v>
      </c>
      <c r="B292" s="162" t="s">
        <v>1119</v>
      </c>
      <c r="C292" s="162" t="s">
        <v>1787</v>
      </c>
      <c r="D292" s="162" t="s">
        <v>1122</v>
      </c>
      <c r="F292" s="171">
        <v>46081</v>
      </c>
      <c r="G292" s="141" t="s">
        <v>69</v>
      </c>
      <c r="H292" s="174">
        <v>3</v>
      </c>
      <c r="I292" s="202" t="s">
        <v>68</v>
      </c>
      <c r="J292" s="174">
        <v>195</v>
      </c>
      <c r="P292" s="155"/>
      <c r="R292" s="151"/>
      <c r="S292" s="147"/>
      <c r="T292" s="148"/>
    </row>
    <row r="293" spans="1:24" hidden="1">
      <c r="A293" s="140" t="str">
        <f t="shared" si="4"/>
        <v>05642-00273-03-A14HW</v>
      </c>
      <c r="B293" s="162" t="s">
        <v>1119</v>
      </c>
      <c r="C293" s="162" t="s">
        <v>1787</v>
      </c>
      <c r="D293" s="162" t="s">
        <v>1122</v>
      </c>
      <c r="F293" s="171">
        <v>46081</v>
      </c>
      <c r="G293" s="141" t="s">
        <v>69</v>
      </c>
      <c r="H293" s="174">
        <v>3</v>
      </c>
      <c r="I293" s="190" t="s">
        <v>841</v>
      </c>
      <c r="J293" s="174">
        <v>2</v>
      </c>
      <c r="P293" s="155"/>
      <c r="R293" s="151"/>
      <c r="S293" s="147"/>
      <c r="T293" s="148"/>
    </row>
    <row r="294" spans="1:24" ht="14.25" hidden="1" thickBot="1">
      <c r="A294" s="140" t="str">
        <f t="shared" si="4"/>
        <v>05642-00273-05-A14GW</v>
      </c>
      <c r="B294" s="162" t="s">
        <v>1119</v>
      </c>
      <c r="C294" s="162" t="s">
        <v>1787</v>
      </c>
      <c r="D294" s="162" t="s">
        <v>1122</v>
      </c>
      <c r="F294" s="171">
        <v>55511</v>
      </c>
      <c r="G294" s="141" t="s">
        <v>69</v>
      </c>
      <c r="H294" s="174">
        <v>5</v>
      </c>
      <c r="I294" s="202" t="s">
        <v>68</v>
      </c>
      <c r="M294" s="217" t="s">
        <v>303</v>
      </c>
    </row>
    <row r="295" spans="1:24" ht="14.25" hidden="1" thickBot="1">
      <c r="A295" s="140" t="str">
        <f t="shared" si="4"/>
        <v>05642-00275-01-A14GW</v>
      </c>
      <c r="B295" s="162" t="s">
        <v>1119</v>
      </c>
      <c r="C295" s="162" t="s">
        <v>78</v>
      </c>
      <c r="D295" s="162" t="s">
        <v>1122</v>
      </c>
      <c r="F295" s="171">
        <v>45980</v>
      </c>
      <c r="G295" s="141" t="s">
        <v>77</v>
      </c>
      <c r="H295" s="174">
        <v>1</v>
      </c>
      <c r="I295" s="202" t="s">
        <v>813</v>
      </c>
      <c r="P295" s="155"/>
    </row>
    <row r="296" spans="1:24" ht="14.25" hidden="1" thickBot="1">
      <c r="A296" s="140" t="str">
        <f t="shared" si="4"/>
        <v>05642-00275-01-A14HW</v>
      </c>
      <c r="B296" s="162" t="s">
        <v>1119</v>
      </c>
      <c r="C296" s="162" t="s">
        <v>78</v>
      </c>
      <c r="D296" s="162" t="s">
        <v>1122</v>
      </c>
      <c r="F296" s="171">
        <v>45980</v>
      </c>
      <c r="G296" s="141" t="s">
        <v>77</v>
      </c>
      <c r="H296" s="174">
        <v>1</v>
      </c>
      <c r="I296" s="202" t="s">
        <v>841</v>
      </c>
      <c r="P296" s="155"/>
      <c r="R296" s="151"/>
      <c r="S296" s="147"/>
      <c r="T296" s="148"/>
      <c r="U296" s="150"/>
    </row>
    <row r="297" spans="1:24" ht="40.5" hidden="1" customHeight="1">
      <c r="A297" s="140" t="str">
        <f t="shared" si="4"/>
        <v>05642-00275-02-A14HW</v>
      </c>
      <c r="B297" s="162" t="s">
        <v>1119</v>
      </c>
      <c r="C297" s="162" t="s">
        <v>78</v>
      </c>
      <c r="D297" s="162" t="s">
        <v>1122</v>
      </c>
      <c r="F297" s="171">
        <v>47449</v>
      </c>
      <c r="G297" s="141" t="s">
        <v>77</v>
      </c>
      <c r="H297" s="174">
        <v>2</v>
      </c>
      <c r="I297" s="186" t="s">
        <v>841</v>
      </c>
      <c r="R297" s="151"/>
      <c r="S297" s="147"/>
      <c r="T297" s="148"/>
    </row>
    <row r="298" spans="1:24" hidden="1">
      <c r="A298" s="140" t="str">
        <f t="shared" si="4"/>
        <v>05642-00275-02-A14GW</v>
      </c>
      <c r="B298" s="162" t="s">
        <v>1119</v>
      </c>
      <c r="C298" s="162" t="s">
        <v>78</v>
      </c>
      <c r="D298" s="162" t="s">
        <v>1122</v>
      </c>
      <c r="F298" s="171">
        <v>47449</v>
      </c>
      <c r="G298" s="141" t="s">
        <v>77</v>
      </c>
      <c r="H298" s="174">
        <v>2</v>
      </c>
      <c r="I298" s="196" t="s">
        <v>812</v>
      </c>
      <c r="T298" s="148"/>
    </row>
    <row r="299" spans="1:24" hidden="1">
      <c r="A299" s="140" t="str">
        <f t="shared" si="4"/>
        <v>05642-00275-03-A14GW</v>
      </c>
      <c r="B299" s="162" t="s">
        <v>1119</v>
      </c>
      <c r="C299" s="162" t="s">
        <v>78</v>
      </c>
      <c r="D299" s="162" t="s">
        <v>1122</v>
      </c>
      <c r="F299" s="171">
        <v>49659</v>
      </c>
      <c r="G299" s="141" t="s">
        <v>77</v>
      </c>
      <c r="H299" s="174">
        <v>3</v>
      </c>
      <c r="I299" s="198" t="s">
        <v>812</v>
      </c>
      <c r="J299" s="174">
        <v>899</v>
      </c>
      <c r="K299" s="174">
        <v>898</v>
      </c>
      <c r="L299" s="149"/>
      <c r="M299" s="185"/>
    </row>
    <row r="300" spans="1:24" hidden="1">
      <c r="A300" s="140" t="str">
        <f t="shared" si="4"/>
        <v>05642-00275-03-A14HW</v>
      </c>
      <c r="B300" s="162" t="s">
        <v>1119</v>
      </c>
      <c r="C300" s="162" t="s">
        <v>78</v>
      </c>
      <c r="D300" s="162" t="s">
        <v>1122</v>
      </c>
      <c r="F300" s="171">
        <v>49659</v>
      </c>
      <c r="G300" s="141" t="s">
        <v>77</v>
      </c>
      <c r="H300" s="174">
        <v>3</v>
      </c>
      <c r="I300" s="196" t="s">
        <v>856</v>
      </c>
      <c r="J300" s="174">
        <v>325</v>
      </c>
      <c r="K300" s="174">
        <v>324</v>
      </c>
      <c r="L300" s="149"/>
      <c r="M300" s="185"/>
    </row>
    <row r="301" spans="1:24" ht="14.25" hidden="1" thickBot="1">
      <c r="A301" s="140" t="str">
        <f t="shared" si="4"/>
        <v>05642-00275-04-A14GW</v>
      </c>
      <c r="B301" s="162" t="s">
        <v>1119</v>
      </c>
      <c r="C301" s="162" t="s">
        <v>78</v>
      </c>
      <c r="D301" s="162" t="s">
        <v>1122</v>
      </c>
      <c r="F301" s="171">
        <v>51803</v>
      </c>
      <c r="G301" s="141" t="s">
        <v>77</v>
      </c>
      <c r="H301" s="174">
        <v>4</v>
      </c>
      <c r="I301" s="202" t="s">
        <v>68</v>
      </c>
      <c r="J301" s="174">
        <v>1224</v>
      </c>
      <c r="K301" s="174">
        <v>1224</v>
      </c>
      <c r="L301" s="149"/>
      <c r="M301" s="185" t="s">
        <v>309</v>
      </c>
    </row>
    <row r="302" spans="1:24" ht="14.25" hidden="1" thickBot="1">
      <c r="A302" s="140" t="str">
        <f t="shared" si="4"/>
        <v>05642-00275-04-A14HW</v>
      </c>
      <c r="B302" s="162" t="s">
        <v>1119</v>
      </c>
      <c r="C302" s="162" t="s">
        <v>78</v>
      </c>
      <c r="D302" s="162" t="s">
        <v>1122</v>
      </c>
      <c r="F302" s="171">
        <v>51803</v>
      </c>
      <c r="G302" s="141" t="s">
        <v>77</v>
      </c>
      <c r="H302" s="174">
        <v>4</v>
      </c>
      <c r="I302" s="203" t="s">
        <v>911</v>
      </c>
      <c r="J302" s="174">
        <v>904</v>
      </c>
      <c r="K302" s="174">
        <v>904</v>
      </c>
      <c r="L302" s="149"/>
      <c r="M302" s="185" t="s">
        <v>309</v>
      </c>
    </row>
    <row r="303" spans="1:24" ht="14.25" hidden="1" thickBot="1">
      <c r="A303" s="140" t="str">
        <f t="shared" si="4"/>
        <v>05642-00371-00-A14D-3</v>
      </c>
      <c r="B303" s="162" t="s">
        <v>1119</v>
      </c>
      <c r="C303" s="162" t="s">
        <v>1787</v>
      </c>
      <c r="D303" s="162" t="s">
        <v>1122</v>
      </c>
      <c r="F303" s="171">
        <v>45524</v>
      </c>
      <c r="G303" s="141" t="s">
        <v>46</v>
      </c>
      <c r="H303" s="174">
        <v>0</v>
      </c>
      <c r="I303" s="202" t="s">
        <v>536</v>
      </c>
      <c r="M303" s="217" t="s">
        <v>275</v>
      </c>
      <c r="O303" s="156"/>
      <c r="P303" s="155"/>
      <c r="Q303" s="150"/>
      <c r="R303" s="157"/>
      <c r="S303" s="147"/>
      <c r="T303" s="148"/>
    </row>
    <row r="304" spans="1:24" ht="14.25" hidden="1" thickBot="1">
      <c r="A304" s="140" t="str">
        <f t="shared" si="4"/>
        <v>05642-00371-01-A14D-2</v>
      </c>
      <c r="B304" s="162" t="s">
        <v>1119</v>
      </c>
      <c r="C304" s="162" t="s">
        <v>1787</v>
      </c>
      <c r="D304" s="162" t="s">
        <v>1122</v>
      </c>
      <c r="F304" s="171">
        <v>46655</v>
      </c>
      <c r="G304" s="141" t="s">
        <v>274</v>
      </c>
      <c r="H304" s="174">
        <v>1</v>
      </c>
      <c r="I304" s="202" t="s">
        <v>828</v>
      </c>
      <c r="M304" s="217" t="s">
        <v>2000</v>
      </c>
      <c r="P304" s="155"/>
      <c r="R304" s="146"/>
      <c r="S304" s="147"/>
      <c r="T304" s="148"/>
      <c r="X304" s="150"/>
    </row>
    <row r="305" spans="1:24" ht="14.25" hidden="1" thickBot="1">
      <c r="A305" s="140" t="str">
        <f t="shared" si="4"/>
        <v>05642-00371-01-A14D-3</v>
      </c>
      <c r="B305" s="162" t="s">
        <v>1119</v>
      </c>
      <c r="C305" s="162" t="s">
        <v>1787</v>
      </c>
      <c r="D305" s="162" t="s">
        <v>1122</v>
      </c>
      <c r="F305" s="171">
        <v>46655</v>
      </c>
      <c r="G305" s="141" t="s">
        <v>274</v>
      </c>
      <c r="H305" s="174">
        <v>1</v>
      </c>
      <c r="I305" s="202" t="s">
        <v>536</v>
      </c>
      <c r="M305" s="217" t="s">
        <v>2000</v>
      </c>
      <c r="P305" s="155"/>
      <c r="R305" s="146"/>
      <c r="S305" s="147"/>
      <c r="T305" s="148"/>
      <c r="X305" s="150"/>
    </row>
    <row r="306" spans="1:24" ht="27.75" hidden="1" thickBot="1">
      <c r="A306" s="140" t="str">
        <f t="shared" si="4"/>
        <v>05642-00372-00-A14I</v>
      </c>
      <c r="B306" s="162" t="s">
        <v>1119</v>
      </c>
      <c r="C306" s="162" t="s">
        <v>1787</v>
      </c>
      <c r="D306" s="162" t="s">
        <v>1122</v>
      </c>
      <c r="F306" s="171">
        <v>46010</v>
      </c>
      <c r="G306" s="141" t="s">
        <v>81</v>
      </c>
      <c r="H306" s="174">
        <v>0</v>
      </c>
      <c r="I306" s="202" t="s">
        <v>814</v>
      </c>
      <c r="N306" s="183" t="s">
        <v>1915</v>
      </c>
      <c r="P306" s="155"/>
      <c r="R306" s="151"/>
      <c r="S306" s="147"/>
      <c r="T306" s="148"/>
    </row>
    <row r="307" spans="1:24" ht="41.25" hidden="1" thickBot="1">
      <c r="A307" s="140" t="str">
        <f t="shared" si="4"/>
        <v>05642-00372-01-A14I</v>
      </c>
      <c r="B307" s="162" t="s">
        <v>1119</v>
      </c>
      <c r="C307" s="162" t="s">
        <v>1787</v>
      </c>
      <c r="D307" s="162" t="s">
        <v>1122</v>
      </c>
      <c r="F307" s="171">
        <v>46756</v>
      </c>
      <c r="G307" s="141" t="s">
        <v>81</v>
      </c>
      <c r="H307" s="174">
        <v>1</v>
      </c>
      <c r="I307" s="213" t="s">
        <v>505</v>
      </c>
      <c r="J307" s="174">
        <v>4996</v>
      </c>
      <c r="K307" s="174">
        <v>4996</v>
      </c>
      <c r="L307" s="149"/>
      <c r="M307" s="185"/>
      <c r="O307" s="156" t="s">
        <v>830</v>
      </c>
      <c r="R307" s="151"/>
    </row>
    <row r="308" spans="1:24" ht="14.25" hidden="1" thickBot="1">
      <c r="A308" s="140" t="str">
        <f t="shared" si="4"/>
        <v>05642-00372-03-A14I</v>
      </c>
      <c r="B308" s="162" t="s">
        <v>1119</v>
      </c>
      <c r="C308" s="162" t="s">
        <v>1787</v>
      </c>
      <c r="D308" s="162" t="s">
        <v>1122</v>
      </c>
      <c r="F308" s="171">
        <v>47634</v>
      </c>
      <c r="G308" s="141" t="s">
        <v>81</v>
      </c>
      <c r="H308" s="174">
        <v>3</v>
      </c>
      <c r="I308" s="203" t="s">
        <v>493</v>
      </c>
      <c r="J308" s="174">
        <v>5466</v>
      </c>
      <c r="L308" s="149"/>
      <c r="M308" s="185"/>
      <c r="S308" s="147"/>
      <c r="T308" s="148"/>
    </row>
    <row r="309" spans="1:24" hidden="1">
      <c r="A309" s="140" t="str">
        <f t="shared" si="4"/>
        <v>05642-00372-04-A14I</v>
      </c>
      <c r="B309" s="162" t="s">
        <v>1119</v>
      </c>
      <c r="C309" s="162" t="s">
        <v>1787</v>
      </c>
      <c r="D309" s="162" t="s">
        <v>1122</v>
      </c>
      <c r="F309" s="171">
        <v>47974</v>
      </c>
      <c r="G309" s="141" t="s">
        <v>81</v>
      </c>
      <c r="H309" s="174">
        <v>4</v>
      </c>
      <c r="I309" s="186" t="s">
        <v>852</v>
      </c>
      <c r="J309" s="174">
        <v>5530</v>
      </c>
      <c r="K309" s="174">
        <v>5530</v>
      </c>
      <c r="L309" s="149"/>
      <c r="M309" s="185"/>
      <c r="P309" s="155"/>
      <c r="R309" s="151"/>
      <c r="S309" s="147"/>
      <c r="T309" s="148"/>
    </row>
    <row r="310" spans="1:24" ht="14.25" hidden="1" thickBot="1">
      <c r="A310" s="140" t="str">
        <f t="shared" si="4"/>
        <v>05642-00372-05-A14I</v>
      </c>
      <c r="B310" s="162" t="s">
        <v>1119</v>
      </c>
      <c r="C310" s="162" t="s">
        <v>1787</v>
      </c>
      <c r="D310" s="162" t="s">
        <v>1122</v>
      </c>
      <c r="F310" s="171">
        <v>48741</v>
      </c>
      <c r="G310" s="141" t="s">
        <v>81</v>
      </c>
      <c r="H310" s="174">
        <v>5</v>
      </c>
      <c r="I310" s="203" t="s">
        <v>493</v>
      </c>
      <c r="J310" s="174">
        <v>6160</v>
      </c>
      <c r="K310" s="174">
        <v>6160</v>
      </c>
      <c r="L310" s="149"/>
      <c r="M310" s="185"/>
      <c r="N310" s="185"/>
      <c r="P310" s="155"/>
      <c r="T310" s="144"/>
    </row>
    <row r="311" spans="1:24" ht="54.75" hidden="1" thickBot="1">
      <c r="A311" s="140" t="str">
        <f t="shared" si="4"/>
        <v>05642-00372-06-A14I</v>
      </c>
      <c r="B311" s="162" t="s">
        <v>1119</v>
      </c>
      <c r="C311" s="162" t="s">
        <v>1787</v>
      </c>
      <c r="D311" s="162" t="s">
        <v>1122</v>
      </c>
      <c r="F311" s="171">
        <v>49695</v>
      </c>
      <c r="G311" s="141" t="s">
        <v>81</v>
      </c>
      <c r="H311" s="174">
        <v>6</v>
      </c>
      <c r="I311" s="212" t="s">
        <v>493</v>
      </c>
      <c r="J311" s="174">
        <v>7120</v>
      </c>
      <c r="K311" s="174">
        <v>7120</v>
      </c>
      <c r="L311" s="149"/>
      <c r="M311" s="185"/>
      <c r="O311" s="156" t="s">
        <v>881</v>
      </c>
    </row>
    <row r="312" spans="1:24" ht="14.25" hidden="1" thickBot="1">
      <c r="A312" s="140" t="str">
        <f t="shared" si="4"/>
        <v>05642-00372-08-A14I</v>
      </c>
      <c r="B312" s="162" t="s">
        <v>1119</v>
      </c>
      <c r="C312" s="162" t="s">
        <v>1787</v>
      </c>
      <c r="D312" s="162" t="s">
        <v>1122</v>
      </c>
      <c r="F312" s="171">
        <v>52576</v>
      </c>
      <c r="G312" s="141" t="s">
        <v>81</v>
      </c>
      <c r="H312" s="174">
        <v>8</v>
      </c>
      <c r="I312" s="203" t="s">
        <v>493</v>
      </c>
      <c r="M312" s="217" t="s">
        <v>318</v>
      </c>
    </row>
    <row r="313" spans="1:24" ht="14.25" hidden="1" thickBot="1">
      <c r="A313" s="140" t="str">
        <f t="shared" si="4"/>
        <v>05642-00373-00-F14F</v>
      </c>
      <c r="B313" s="162" t="s">
        <v>1119</v>
      </c>
      <c r="C313" s="162" t="s">
        <v>1787</v>
      </c>
      <c r="D313" s="162" t="s">
        <v>1122</v>
      </c>
      <c r="F313" s="171">
        <v>46280</v>
      </c>
      <c r="G313" s="141" t="s">
        <v>188</v>
      </c>
      <c r="H313" s="174">
        <v>0</v>
      </c>
      <c r="I313" s="202" t="s">
        <v>822</v>
      </c>
      <c r="J313" s="174">
        <v>692</v>
      </c>
      <c r="K313" s="174">
        <v>692</v>
      </c>
      <c r="L313" s="149"/>
      <c r="M313" s="185"/>
      <c r="N313" s="183" t="s">
        <v>1916</v>
      </c>
      <c r="P313" s="155"/>
      <c r="R313" s="158"/>
      <c r="S313" s="147"/>
      <c r="T313" s="148"/>
      <c r="U313" s="150"/>
      <c r="V313" s="150"/>
      <c r="X313" s="150"/>
    </row>
    <row r="314" spans="1:24" ht="14.25" hidden="1" thickBot="1">
      <c r="A314" s="140" t="str">
        <f t="shared" si="4"/>
        <v>05642-00373-01-F14F</v>
      </c>
      <c r="B314" s="162" t="s">
        <v>1119</v>
      </c>
      <c r="C314" s="162" t="s">
        <v>1787</v>
      </c>
      <c r="D314" s="162" t="s">
        <v>1122</v>
      </c>
      <c r="F314" s="171">
        <v>46738</v>
      </c>
      <c r="G314" s="141" t="s">
        <v>188</v>
      </c>
      <c r="H314" s="174">
        <v>1</v>
      </c>
      <c r="I314" s="195" t="s">
        <v>509</v>
      </c>
      <c r="J314" s="174">
        <v>837</v>
      </c>
      <c r="K314" s="174">
        <v>836</v>
      </c>
      <c r="L314" s="149"/>
      <c r="M314" s="185"/>
      <c r="R314" s="146"/>
      <c r="S314" s="146"/>
      <c r="T314" s="146"/>
      <c r="U314" s="146"/>
    </row>
    <row r="315" spans="1:24" hidden="1">
      <c r="A315" s="140" t="str">
        <f t="shared" si="4"/>
        <v>05642-00373-02-F14F</v>
      </c>
      <c r="B315" s="162" t="s">
        <v>1119</v>
      </c>
      <c r="C315" s="162" t="s">
        <v>1787</v>
      </c>
      <c r="D315" s="162" t="s">
        <v>1122</v>
      </c>
      <c r="F315" s="171">
        <v>47050</v>
      </c>
      <c r="G315" s="141" t="s">
        <v>188</v>
      </c>
      <c r="H315" s="174">
        <v>2</v>
      </c>
      <c r="I315" s="186" t="s">
        <v>185</v>
      </c>
      <c r="J315" s="174">
        <v>792</v>
      </c>
      <c r="K315" s="174">
        <v>792</v>
      </c>
      <c r="L315" s="149"/>
      <c r="M315" s="185"/>
      <c r="N315" s="184"/>
      <c r="R315" s="146"/>
      <c r="S315" s="147"/>
      <c r="T315" s="148"/>
    </row>
    <row r="316" spans="1:24" hidden="1">
      <c r="A316" s="140" t="str">
        <f t="shared" si="4"/>
        <v>05642-00373-03-F14F</v>
      </c>
      <c r="B316" s="162" t="s">
        <v>1119</v>
      </c>
      <c r="C316" s="162" t="s">
        <v>1787</v>
      </c>
      <c r="D316" s="162" t="s">
        <v>1122</v>
      </c>
      <c r="F316" s="171">
        <v>47086</v>
      </c>
      <c r="G316" s="141" t="s">
        <v>188</v>
      </c>
      <c r="H316" s="174">
        <v>3</v>
      </c>
      <c r="I316" s="186" t="s">
        <v>185</v>
      </c>
      <c r="J316" s="174">
        <v>837</v>
      </c>
      <c r="K316" s="174">
        <v>837</v>
      </c>
      <c r="L316" s="149"/>
      <c r="M316" s="185"/>
      <c r="N316" s="184"/>
      <c r="T316" s="148"/>
      <c r="V316" s="150"/>
    </row>
    <row r="317" spans="1:24" hidden="1">
      <c r="A317" s="140" t="str">
        <f t="shared" si="4"/>
        <v>05642-00373-04-F14F</v>
      </c>
      <c r="B317" s="162" t="s">
        <v>1119</v>
      </c>
      <c r="C317" s="162" t="s">
        <v>1787</v>
      </c>
      <c r="D317" s="162" t="s">
        <v>1122</v>
      </c>
      <c r="F317" s="171">
        <v>47311</v>
      </c>
      <c r="G317" s="141" t="s">
        <v>188</v>
      </c>
      <c r="H317" s="174">
        <v>4</v>
      </c>
      <c r="I317" s="198" t="s">
        <v>509</v>
      </c>
      <c r="R317" s="151"/>
      <c r="S317" s="147"/>
      <c r="T317" s="148"/>
    </row>
    <row r="318" spans="1:24" ht="14.25" hidden="1" thickBot="1">
      <c r="A318" s="140" t="str">
        <f t="shared" si="4"/>
        <v>05642-00374-00-A9D</v>
      </c>
      <c r="B318" s="162" t="s">
        <v>1119</v>
      </c>
      <c r="C318" s="162" t="s">
        <v>1787</v>
      </c>
      <c r="D318" s="162" t="s">
        <v>1122</v>
      </c>
      <c r="F318" s="171">
        <v>49405</v>
      </c>
      <c r="G318" s="141" t="s">
        <v>158</v>
      </c>
      <c r="H318" s="174">
        <v>0</v>
      </c>
      <c r="I318" s="207" t="s">
        <v>868</v>
      </c>
    </row>
    <row r="319" spans="1:24" ht="14.25" hidden="1" thickBot="1">
      <c r="A319" s="140" t="str">
        <f t="shared" ref="A319:A380" si="5">G319&amp;"-"&amp;TEXT(H319,"00")&amp;"-"&amp;I319</f>
        <v>05642-00374-00-A25D</v>
      </c>
      <c r="B319" s="162" t="s">
        <v>1119</v>
      </c>
      <c r="C319" s="162" t="s">
        <v>1787</v>
      </c>
      <c r="D319" s="162" t="s">
        <v>1122</v>
      </c>
      <c r="F319" s="171">
        <v>49405</v>
      </c>
      <c r="G319" s="141" t="s">
        <v>158</v>
      </c>
      <c r="H319" s="174">
        <v>0</v>
      </c>
      <c r="I319" s="206" t="s">
        <v>869</v>
      </c>
    </row>
    <row r="320" spans="1:24" ht="14.25" hidden="1" thickBot="1">
      <c r="A320" s="140" t="str">
        <f t="shared" si="5"/>
        <v>05642-00374-00-A11D-2</v>
      </c>
      <c r="B320" s="162" t="s">
        <v>1119</v>
      </c>
      <c r="C320" s="162" t="s">
        <v>1787</v>
      </c>
      <c r="D320" s="162" t="s">
        <v>1122</v>
      </c>
      <c r="F320" s="171">
        <v>49405</v>
      </c>
      <c r="G320" s="141" t="s">
        <v>158</v>
      </c>
      <c r="H320" s="174">
        <v>0</v>
      </c>
      <c r="I320" s="206" t="s">
        <v>870</v>
      </c>
    </row>
    <row r="321" spans="1:24" hidden="1">
      <c r="A321" s="140" t="str">
        <f t="shared" si="5"/>
        <v>05642-00374-00-A11D</v>
      </c>
      <c r="B321" s="162" t="s">
        <v>1119</v>
      </c>
      <c r="C321" s="162" t="s">
        <v>1787</v>
      </c>
      <c r="D321" s="162" t="s">
        <v>1122</v>
      </c>
      <c r="F321" s="171">
        <v>49405</v>
      </c>
      <c r="G321" s="141" t="s">
        <v>158</v>
      </c>
      <c r="H321" s="174">
        <v>0</v>
      </c>
      <c r="I321" s="190" t="s">
        <v>482</v>
      </c>
    </row>
    <row r="322" spans="1:24" ht="14.25" hidden="1" thickBot="1">
      <c r="A322" s="140" t="str">
        <f t="shared" si="5"/>
        <v>05642-00374-00-A14D-1</v>
      </c>
      <c r="B322" s="162" t="s">
        <v>1119</v>
      </c>
      <c r="C322" s="162" t="s">
        <v>1787</v>
      </c>
      <c r="D322" s="162" t="s">
        <v>1122</v>
      </c>
      <c r="F322" s="171">
        <v>49405</v>
      </c>
      <c r="G322" s="141" t="s">
        <v>158</v>
      </c>
      <c r="H322" s="174">
        <v>0</v>
      </c>
      <c r="I322" s="206" t="s">
        <v>871</v>
      </c>
    </row>
    <row r="323" spans="1:24" ht="14.25" hidden="1" thickBot="1">
      <c r="A323" s="140" t="str">
        <f t="shared" si="5"/>
        <v>05642-00417-00-A14H</v>
      </c>
      <c r="B323" s="162" t="s">
        <v>1119</v>
      </c>
      <c r="C323" s="162" t="s">
        <v>1787</v>
      </c>
      <c r="D323" s="162" t="s">
        <v>1122</v>
      </c>
      <c r="F323" s="171">
        <v>46104</v>
      </c>
      <c r="G323" s="141" t="s">
        <v>84</v>
      </c>
      <c r="H323" s="174">
        <v>0</v>
      </c>
      <c r="I323" s="202" t="s">
        <v>817</v>
      </c>
      <c r="J323" s="174">
        <v>672</v>
      </c>
      <c r="K323" s="174">
        <v>672</v>
      </c>
      <c r="L323" s="193"/>
      <c r="M323" s="218"/>
      <c r="N323" s="183" t="s">
        <v>321</v>
      </c>
      <c r="P323" s="155"/>
      <c r="R323" s="151"/>
      <c r="S323" s="147"/>
      <c r="T323" s="148"/>
    </row>
    <row r="324" spans="1:24" hidden="1">
      <c r="A324" s="140" t="str">
        <f t="shared" si="5"/>
        <v>05642-00417-00-A14I</v>
      </c>
      <c r="B324" s="162" t="s">
        <v>1119</v>
      </c>
      <c r="C324" s="162" t="s">
        <v>1787</v>
      </c>
      <c r="D324" s="162" t="s">
        <v>1122</v>
      </c>
      <c r="F324" s="171">
        <v>46104</v>
      </c>
      <c r="G324" s="141" t="s">
        <v>84</v>
      </c>
      <c r="H324" s="174">
        <v>0</v>
      </c>
      <c r="I324" s="190" t="s">
        <v>814</v>
      </c>
      <c r="J324" s="174">
        <v>3970</v>
      </c>
      <c r="K324" s="174">
        <v>3970</v>
      </c>
      <c r="L324" s="193"/>
      <c r="M324" s="218"/>
      <c r="N324" s="183" t="s">
        <v>321</v>
      </c>
      <c r="P324" s="155"/>
      <c r="R324" s="151"/>
      <c r="S324" s="147"/>
      <c r="T324" s="148"/>
    </row>
    <row r="325" spans="1:24" ht="40.5" hidden="1">
      <c r="A325" s="140" t="str">
        <f t="shared" si="5"/>
        <v>05642-00417-01-A14I</v>
      </c>
      <c r="B325" s="162" t="s">
        <v>1119</v>
      </c>
      <c r="C325" s="162" t="s">
        <v>1787</v>
      </c>
      <c r="D325" s="162" t="s">
        <v>1122</v>
      </c>
      <c r="F325" s="171">
        <v>46756</v>
      </c>
      <c r="G325" s="141" t="s">
        <v>84</v>
      </c>
      <c r="H325" s="174">
        <v>1</v>
      </c>
      <c r="I325" s="211" t="s">
        <v>505</v>
      </c>
      <c r="J325" s="174">
        <v>4996</v>
      </c>
      <c r="K325" s="174">
        <v>4996</v>
      </c>
      <c r="L325" s="149"/>
      <c r="M325" s="185"/>
      <c r="O325" s="156" t="s">
        <v>830</v>
      </c>
      <c r="R325" s="151"/>
      <c r="S325" s="146"/>
      <c r="T325" s="146"/>
      <c r="U325" s="146"/>
    </row>
    <row r="326" spans="1:24" ht="14.25" hidden="1" thickBot="1">
      <c r="A326" s="140" t="str">
        <f t="shared" si="5"/>
        <v>05642-00417-01-A14H</v>
      </c>
      <c r="B326" s="162" t="s">
        <v>1119</v>
      </c>
      <c r="C326" s="162" t="s">
        <v>1787</v>
      </c>
      <c r="D326" s="162" t="s">
        <v>1122</v>
      </c>
      <c r="F326" s="171">
        <v>46756</v>
      </c>
      <c r="G326" s="141" t="s">
        <v>84</v>
      </c>
      <c r="H326" s="174">
        <v>1</v>
      </c>
      <c r="I326" s="200" t="s">
        <v>511</v>
      </c>
      <c r="J326" s="174">
        <v>924</v>
      </c>
      <c r="K326" s="174">
        <v>924</v>
      </c>
      <c r="L326" s="149"/>
      <c r="M326" s="185"/>
      <c r="R326" s="151"/>
      <c r="S326" s="146"/>
      <c r="T326" s="146"/>
    </row>
    <row r="327" spans="1:24" ht="14.25" hidden="1" thickBot="1">
      <c r="A327" s="140" t="str">
        <f t="shared" si="5"/>
        <v>05642-00417-03-A14H</v>
      </c>
      <c r="B327" s="162" t="s">
        <v>1119</v>
      </c>
      <c r="C327" s="162" t="s">
        <v>1787</v>
      </c>
      <c r="D327" s="162" t="s">
        <v>1122</v>
      </c>
      <c r="F327" s="171">
        <v>47634</v>
      </c>
      <c r="G327" s="141" t="s">
        <v>84</v>
      </c>
      <c r="H327" s="174">
        <v>3</v>
      </c>
      <c r="I327" s="203" t="s">
        <v>851</v>
      </c>
      <c r="J327" s="174">
        <v>1026</v>
      </c>
      <c r="L327" s="149"/>
      <c r="M327" s="185"/>
      <c r="R327" s="159"/>
      <c r="S327" s="147"/>
      <c r="T327" s="148"/>
    </row>
    <row r="328" spans="1:24" ht="14.25" hidden="1" thickBot="1">
      <c r="A328" s="140" t="str">
        <f t="shared" si="5"/>
        <v>05642-00417-03-A14I</v>
      </c>
      <c r="B328" s="162" t="s">
        <v>1119</v>
      </c>
      <c r="C328" s="162" t="s">
        <v>1787</v>
      </c>
      <c r="D328" s="162" t="s">
        <v>1122</v>
      </c>
      <c r="F328" s="171">
        <v>47634</v>
      </c>
      <c r="G328" s="141" t="s">
        <v>84</v>
      </c>
      <c r="H328" s="174">
        <v>3</v>
      </c>
      <c r="I328" s="203" t="s">
        <v>852</v>
      </c>
      <c r="P328" s="155"/>
      <c r="S328" s="147"/>
      <c r="T328" s="148"/>
    </row>
    <row r="329" spans="1:24" ht="14.25" hidden="1" thickBot="1">
      <c r="A329" s="140" t="str">
        <f t="shared" si="5"/>
        <v>05642-00417-04-A14H</v>
      </c>
      <c r="B329" s="162" t="s">
        <v>1119</v>
      </c>
      <c r="C329" s="162" t="s">
        <v>1787</v>
      </c>
      <c r="D329" s="162" t="s">
        <v>1122</v>
      </c>
      <c r="F329" s="171">
        <v>49695</v>
      </c>
      <c r="G329" s="141" t="s">
        <v>84</v>
      </c>
      <c r="H329" s="174">
        <v>4</v>
      </c>
      <c r="I329" s="200" t="s">
        <v>511</v>
      </c>
    </row>
    <row r="330" spans="1:24" ht="54.75" hidden="1" thickBot="1">
      <c r="A330" s="140" t="str">
        <f t="shared" si="5"/>
        <v>05642-00417-04-A14I</v>
      </c>
      <c r="B330" s="162" t="s">
        <v>1119</v>
      </c>
      <c r="C330" s="162" t="s">
        <v>1787</v>
      </c>
      <c r="D330" s="162" t="s">
        <v>1122</v>
      </c>
      <c r="F330" s="171">
        <v>49695</v>
      </c>
      <c r="G330" s="141" t="s">
        <v>84</v>
      </c>
      <c r="H330" s="174">
        <v>4</v>
      </c>
      <c r="I330" s="213" t="s">
        <v>505</v>
      </c>
      <c r="J330" s="174">
        <v>7120</v>
      </c>
      <c r="K330" s="174">
        <v>7120</v>
      </c>
      <c r="L330" s="149"/>
      <c r="M330" s="185"/>
      <c r="O330" s="156" t="s">
        <v>881</v>
      </c>
    </row>
    <row r="331" spans="1:24" ht="14.25" hidden="1" thickBot="1">
      <c r="A331" s="140" t="str">
        <f t="shared" si="5"/>
        <v>05642-00417-05-A14H</v>
      </c>
      <c r="B331" s="162" t="s">
        <v>1119</v>
      </c>
      <c r="C331" s="162" t="s">
        <v>1787</v>
      </c>
      <c r="D331" s="162" t="s">
        <v>1122</v>
      </c>
      <c r="F331" s="171">
        <v>49853</v>
      </c>
      <c r="G331" s="141" t="s">
        <v>84</v>
      </c>
      <c r="H331" s="174">
        <v>5</v>
      </c>
      <c r="I331" s="195" t="s">
        <v>511</v>
      </c>
    </row>
    <row r="332" spans="1:24" ht="40.5" hidden="1">
      <c r="A332" s="140" t="str">
        <f t="shared" si="5"/>
        <v>05642-00417-05-A14I</v>
      </c>
      <c r="B332" s="162" t="s">
        <v>1119</v>
      </c>
      <c r="C332" s="162" t="s">
        <v>1787</v>
      </c>
      <c r="D332" s="162" t="s">
        <v>1122</v>
      </c>
      <c r="F332" s="171">
        <v>49853</v>
      </c>
      <c r="G332" s="141" t="s">
        <v>84</v>
      </c>
      <c r="H332" s="174">
        <v>5</v>
      </c>
      <c r="I332" s="211" t="s">
        <v>505</v>
      </c>
      <c r="J332" s="174">
        <v>7312</v>
      </c>
      <c r="K332" s="174">
        <v>7312</v>
      </c>
      <c r="L332" s="149"/>
      <c r="M332" s="185"/>
      <c r="O332" s="156" t="s">
        <v>883</v>
      </c>
    </row>
    <row r="333" spans="1:24" ht="14.25" hidden="1" thickBot="1">
      <c r="A333" s="140" t="str">
        <f t="shared" si="5"/>
        <v>05642-00417-07-A14H</v>
      </c>
      <c r="B333" s="162" t="s">
        <v>1119</v>
      </c>
      <c r="C333" s="162" t="s">
        <v>1787</v>
      </c>
      <c r="D333" s="162" t="s">
        <v>1122</v>
      </c>
      <c r="F333" s="171">
        <v>52576</v>
      </c>
      <c r="G333" s="141" t="s">
        <v>84</v>
      </c>
      <c r="H333" s="174">
        <v>7</v>
      </c>
      <c r="I333" s="203" t="s">
        <v>492</v>
      </c>
      <c r="M333" s="217" t="s">
        <v>324</v>
      </c>
    </row>
    <row r="334" spans="1:24" ht="27.75" hidden="1" thickBot="1">
      <c r="A334" s="140" t="str">
        <f t="shared" si="5"/>
        <v>05642-00426-00-A14HW</v>
      </c>
      <c r="B334" s="162" t="s">
        <v>1119</v>
      </c>
      <c r="C334" s="162" t="s">
        <v>1787</v>
      </c>
      <c r="D334" s="162" t="s">
        <v>1122</v>
      </c>
      <c r="F334" s="171">
        <v>46309</v>
      </c>
      <c r="G334" s="141" t="s">
        <v>71</v>
      </c>
      <c r="H334" s="174">
        <v>0</v>
      </c>
      <c r="I334" s="202" t="s">
        <v>841</v>
      </c>
      <c r="J334" s="174">
        <v>2</v>
      </c>
      <c r="K334" s="174">
        <v>2</v>
      </c>
      <c r="L334" s="149"/>
      <c r="M334" s="185"/>
      <c r="N334" s="183" t="s">
        <v>1917</v>
      </c>
      <c r="P334" s="155"/>
      <c r="R334" s="158"/>
      <c r="S334" s="147"/>
      <c r="T334" s="148"/>
      <c r="U334" s="150"/>
      <c r="V334" s="150"/>
      <c r="X334" s="150"/>
    </row>
    <row r="335" spans="1:24" ht="27" hidden="1">
      <c r="A335" s="140" t="str">
        <f t="shared" si="5"/>
        <v>05642-00426-00-A14GW</v>
      </c>
      <c r="B335" s="162" t="s">
        <v>1119</v>
      </c>
      <c r="C335" s="162" t="s">
        <v>1787</v>
      </c>
      <c r="D335" s="162" t="s">
        <v>1122</v>
      </c>
      <c r="F335" s="171">
        <v>46309</v>
      </c>
      <c r="G335" s="141" t="s">
        <v>71</v>
      </c>
      <c r="H335" s="174">
        <v>0</v>
      </c>
      <c r="I335" s="194" t="s">
        <v>812</v>
      </c>
      <c r="J335" s="174">
        <v>282</v>
      </c>
      <c r="K335" s="174">
        <v>282</v>
      </c>
      <c r="L335" s="149"/>
      <c r="M335" s="185"/>
      <c r="N335" s="183" t="s">
        <v>1917</v>
      </c>
      <c r="P335" s="155"/>
      <c r="R335" s="158"/>
      <c r="S335" s="147"/>
      <c r="T335" s="148"/>
      <c r="U335" s="150"/>
      <c r="V335" s="150"/>
      <c r="X335" s="150"/>
    </row>
    <row r="336" spans="1:24" hidden="1">
      <c r="A336" s="140" t="str">
        <f t="shared" si="5"/>
        <v>05642-00426-01-A14HW</v>
      </c>
      <c r="B336" s="162" t="s">
        <v>1119</v>
      </c>
      <c r="C336" s="162" t="s">
        <v>1787</v>
      </c>
      <c r="D336" s="162" t="s">
        <v>1122</v>
      </c>
      <c r="F336" s="171">
        <v>46860</v>
      </c>
      <c r="G336" s="141" t="s">
        <v>71</v>
      </c>
      <c r="H336" s="174">
        <v>1</v>
      </c>
      <c r="I336" s="186" t="s">
        <v>841</v>
      </c>
      <c r="R336" s="151"/>
      <c r="S336" s="147"/>
      <c r="T336" s="148"/>
    </row>
    <row r="337" spans="1:20" ht="14.25" hidden="1" thickBot="1">
      <c r="A337" s="140" t="str">
        <f t="shared" si="5"/>
        <v>05642-00426-01-A14GW</v>
      </c>
      <c r="B337" s="162" t="s">
        <v>1119</v>
      </c>
      <c r="C337" s="162" t="s">
        <v>1787</v>
      </c>
      <c r="D337" s="162" t="s">
        <v>1122</v>
      </c>
      <c r="F337" s="171">
        <v>46860</v>
      </c>
      <c r="G337" s="141" t="s">
        <v>71</v>
      </c>
      <c r="H337" s="174">
        <v>1</v>
      </c>
      <c r="I337" s="202" t="s">
        <v>68</v>
      </c>
      <c r="J337" s="174">
        <v>533</v>
      </c>
      <c r="L337" s="149"/>
      <c r="M337" s="185"/>
      <c r="R337" s="151"/>
      <c r="S337" s="147"/>
      <c r="T337" s="148"/>
    </row>
    <row r="338" spans="1:20" ht="14.25" hidden="1" thickBot="1">
      <c r="A338" s="140" t="str">
        <f t="shared" si="5"/>
        <v>05642-00426-02-A14HW</v>
      </c>
      <c r="B338" s="162" t="s">
        <v>1119</v>
      </c>
      <c r="C338" s="162" t="s">
        <v>1787</v>
      </c>
      <c r="D338" s="162" t="s">
        <v>1122</v>
      </c>
      <c r="F338" s="171">
        <v>47449</v>
      </c>
      <c r="G338" s="141" t="s">
        <v>71</v>
      </c>
      <c r="H338" s="174">
        <v>2</v>
      </c>
      <c r="I338" s="203" t="s">
        <v>841</v>
      </c>
      <c r="R338" s="151"/>
      <c r="S338" s="147"/>
      <c r="T338" s="148"/>
    </row>
    <row r="339" spans="1:20" ht="14.25" hidden="1" thickBot="1">
      <c r="A339" s="140" t="str">
        <f t="shared" si="5"/>
        <v>05642-00426-02-A14GW</v>
      </c>
      <c r="B339" s="162" t="s">
        <v>1119</v>
      </c>
      <c r="C339" s="162" t="s">
        <v>1787</v>
      </c>
      <c r="D339" s="162" t="s">
        <v>1122</v>
      </c>
      <c r="F339" s="171">
        <v>47449</v>
      </c>
      <c r="G339" s="141" t="s">
        <v>71</v>
      </c>
      <c r="H339" s="174">
        <v>2</v>
      </c>
      <c r="I339" s="202" t="s">
        <v>68</v>
      </c>
      <c r="R339" s="151"/>
      <c r="S339" s="147"/>
      <c r="T339" s="148"/>
    </row>
    <row r="340" spans="1:20" hidden="1">
      <c r="A340" s="140" t="str">
        <f t="shared" si="5"/>
        <v>05642-00426-03-A14HW</v>
      </c>
      <c r="B340" s="162" t="s">
        <v>1119</v>
      </c>
      <c r="C340" s="162" t="s">
        <v>1787</v>
      </c>
      <c r="D340" s="162" t="s">
        <v>1122</v>
      </c>
      <c r="F340" s="171">
        <v>48284</v>
      </c>
      <c r="G340" s="141" t="s">
        <v>71</v>
      </c>
      <c r="H340" s="174">
        <v>3</v>
      </c>
      <c r="I340" s="186" t="s">
        <v>857</v>
      </c>
      <c r="J340" s="174">
        <v>110</v>
      </c>
      <c r="K340" s="174">
        <v>111</v>
      </c>
      <c r="L340" s="149"/>
      <c r="M340" s="185"/>
      <c r="P340" s="155"/>
      <c r="R340" s="146"/>
      <c r="S340" s="147"/>
      <c r="T340" s="148"/>
    </row>
    <row r="341" spans="1:20" hidden="1">
      <c r="A341" s="140" t="str">
        <f t="shared" si="5"/>
        <v>05642-00426-03-A14GW</v>
      </c>
      <c r="B341" s="162" t="s">
        <v>1119</v>
      </c>
      <c r="C341" s="162" t="s">
        <v>1787</v>
      </c>
      <c r="D341" s="162" t="s">
        <v>1122</v>
      </c>
      <c r="F341" s="171">
        <v>48284</v>
      </c>
      <c r="G341" s="141" t="s">
        <v>71</v>
      </c>
      <c r="H341" s="174">
        <v>3</v>
      </c>
      <c r="I341" s="196" t="s">
        <v>812</v>
      </c>
      <c r="J341" s="174">
        <v>673</v>
      </c>
      <c r="K341" s="174">
        <v>674</v>
      </c>
      <c r="L341" s="149"/>
      <c r="M341" s="185"/>
      <c r="N341" s="185"/>
      <c r="P341" s="155"/>
    </row>
    <row r="342" spans="1:20" ht="54.75" hidden="1" thickBot="1">
      <c r="A342" s="140" t="str">
        <f t="shared" si="5"/>
        <v>05642-00455-04-A14I</v>
      </c>
      <c r="B342" s="162" t="s">
        <v>1119</v>
      </c>
      <c r="C342" s="162" t="s">
        <v>1787</v>
      </c>
      <c r="D342" s="162" t="s">
        <v>1122</v>
      </c>
      <c r="F342" s="171">
        <v>49695</v>
      </c>
      <c r="G342" s="141" t="s">
        <v>91</v>
      </c>
      <c r="H342" s="174">
        <v>4</v>
      </c>
      <c r="I342" s="213" t="s">
        <v>505</v>
      </c>
      <c r="J342" s="174">
        <v>7120</v>
      </c>
      <c r="K342" s="174">
        <v>7120</v>
      </c>
      <c r="L342" s="149"/>
      <c r="M342" s="185"/>
      <c r="O342" s="156" t="s">
        <v>881</v>
      </c>
    </row>
    <row r="343" spans="1:20" ht="14.25" hidden="1" thickBot="1">
      <c r="A343" s="140" t="str">
        <f t="shared" si="5"/>
        <v>05642-00483-00-A14I</v>
      </c>
      <c r="B343" s="162" t="s">
        <v>1119</v>
      </c>
      <c r="C343" s="162" t="s">
        <v>1787</v>
      </c>
      <c r="D343" s="162" t="s">
        <v>1122</v>
      </c>
      <c r="F343" s="171">
        <v>49650</v>
      </c>
      <c r="G343" s="141" t="s">
        <v>86</v>
      </c>
      <c r="H343" s="174">
        <v>0</v>
      </c>
      <c r="I343" s="200" t="s">
        <v>505</v>
      </c>
      <c r="J343" s="174">
        <v>7312</v>
      </c>
      <c r="K343" s="174">
        <v>7312</v>
      </c>
      <c r="L343" s="149"/>
      <c r="M343" s="185"/>
      <c r="N343" s="183" t="s">
        <v>87</v>
      </c>
    </row>
    <row r="344" spans="1:20" ht="54" hidden="1">
      <c r="A344" s="140" t="str">
        <f t="shared" si="5"/>
        <v>05642-00483-01-A14I</v>
      </c>
      <c r="B344" s="162" t="s">
        <v>1119</v>
      </c>
      <c r="C344" s="162" t="s">
        <v>1787</v>
      </c>
      <c r="D344" s="162" t="s">
        <v>1122</v>
      </c>
      <c r="F344" s="171">
        <v>49695</v>
      </c>
      <c r="G344" s="141" t="s">
        <v>86</v>
      </c>
      <c r="H344" s="174">
        <v>1</v>
      </c>
      <c r="I344" s="211" t="s">
        <v>505</v>
      </c>
      <c r="J344" s="174">
        <v>7120</v>
      </c>
      <c r="K344" s="174">
        <v>7120</v>
      </c>
      <c r="L344" s="149"/>
      <c r="M344" s="185"/>
      <c r="O344" s="156" t="s">
        <v>881</v>
      </c>
    </row>
    <row r="345" spans="1:20" ht="14.25" hidden="1" thickBot="1">
      <c r="A345" s="140" t="str">
        <f t="shared" si="5"/>
        <v>05642-00483-02-A14I</v>
      </c>
      <c r="B345" s="162" t="s">
        <v>1119</v>
      </c>
      <c r="C345" s="162" t="s">
        <v>1787</v>
      </c>
      <c r="D345" s="162" t="s">
        <v>1122</v>
      </c>
      <c r="F345" s="171">
        <v>50466</v>
      </c>
      <c r="G345" s="141" t="s">
        <v>86</v>
      </c>
      <c r="H345" s="174">
        <v>2</v>
      </c>
      <c r="I345" s="203" t="s">
        <v>493</v>
      </c>
    </row>
    <row r="346" spans="1:20" hidden="1">
      <c r="A346" s="140" t="str">
        <f t="shared" si="5"/>
        <v>05642-00483-03-A14I</v>
      </c>
      <c r="B346" s="162" t="s">
        <v>1119</v>
      </c>
      <c r="C346" s="162" t="s">
        <v>1787</v>
      </c>
      <c r="D346" s="162" t="s">
        <v>1122</v>
      </c>
      <c r="F346" s="171">
        <v>51873</v>
      </c>
      <c r="G346" s="141" t="s">
        <v>86</v>
      </c>
      <c r="H346" s="174">
        <v>3</v>
      </c>
      <c r="I346" s="186" t="s">
        <v>917</v>
      </c>
      <c r="J346" s="174">
        <v>8277</v>
      </c>
      <c r="K346" s="174">
        <v>8277</v>
      </c>
      <c r="L346" s="149"/>
      <c r="M346" s="185"/>
    </row>
    <row r="347" spans="1:20" ht="14.25" hidden="1" thickBot="1">
      <c r="A347" s="140" t="str">
        <f t="shared" si="5"/>
        <v>05642-00483-04-A14I</v>
      </c>
      <c r="B347" s="162" t="s">
        <v>1119</v>
      </c>
      <c r="C347" s="162" t="s">
        <v>1787</v>
      </c>
      <c r="D347" s="162" t="s">
        <v>1122</v>
      </c>
      <c r="F347" s="171">
        <v>52576</v>
      </c>
      <c r="G347" s="141" t="s">
        <v>86</v>
      </c>
      <c r="H347" s="174">
        <v>4</v>
      </c>
      <c r="I347" s="203" t="s">
        <v>493</v>
      </c>
    </row>
    <row r="348" spans="1:20" ht="27" hidden="1">
      <c r="A348" s="140" t="str">
        <f t="shared" si="5"/>
        <v>05642-00483-05-A14I</v>
      </c>
      <c r="B348" s="162" t="s">
        <v>1119</v>
      </c>
      <c r="C348" s="162" t="s">
        <v>1787</v>
      </c>
      <c r="D348" s="162" t="s">
        <v>1122</v>
      </c>
      <c r="F348" s="171">
        <v>53292</v>
      </c>
      <c r="G348" s="141" t="s">
        <v>86</v>
      </c>
      <c r="H348" s="174">
        <v>5</v>
      </c>
      <c r="I348" s="210" t="s">
        <v>925</v>
      </c>
      <c r="K348" s="174">
        <v>8615</v>
      </c>
      <c r="L348" s="149"/>
      <c r="M348" s="185" t="s">
        <v>327</v>
      </c>
      <c r="O348" s="156" t="s">
        <v>933</v>
      </c>
    </row>
    <row r="349" spans="1:20" hidden="1">
      <c r="A349" s="140" t="str">
        <f t="shared" si="5"/>
        <v>05642-00484-00-F14F</v>
      </c>
      <c r="B349" s="162" t="s">
        <v>1119</v>
      </c>
      <c r="C349" s="162" t="s">
        <v>1787</v>
      </c>
      <c r="D349" s="162" t="s">
        <v>1122</v>
      </c>
      <c r="F349" s="171">
        <v>49197</v>
      </c>
      <c r="G349" s="141" t="s">
        <v>192</v>
      </c>
      <c r="H349" s="174">
        <v>0</v>
      </c>
      <c r="I349" s="186" t="s">
        <v>185</v>
      </c>
      <c r="J349" s="174">
        <v>1382</v>
      </c>
      <c r="K349" s="174">
        <v>1382</v>
      </c>
      <c r="L349" s="149"/>
      <c r="M349" s="185"/>
      <c r="N349" s="183" t="s">
        <v>1918</v>
      </c>
    </row>
    <row r="350" spans="1:20" hidden="1">
      <c r="A350" s="140" t="str">
        <f t="shared" si="5"/>
        <v>05642-00484-01-F14F</v>
      </c>
      <c r="B350" s="162" t="s">
        <v>1119</v>
      </c>
      <c r="C350" s="162" t="s">
        <v>1787</v>
      </c>
      <c r="D350" s="162" t="s">
        <v>1122</v>
      </c>
      <c r="F350" s="171">
        <v>50119</v>
      </c>
      <c r="G350" s="141" t="s">
        <v>192</v>
      </c>
      <c r="H350" s="174">
        <v>1</v>
      </c>
      <c r="I350" s="186" t="s">
        <v>185</v>
      </c>
    </row>
    <row r="351" spans="1:20" hidden="1">
      <c r="A351" s="140" t="str">
        <f t="shared" si="5"/>
        <v>05642-00484-03-F14F</v>
      </c>
      <c r="B351" s="162" t="s">
        <v>1119</v>
      </c>
      <c r="C351" s="162" t="s">
        <v>1787</v>
      </c>
      <c r="D351" s="162" t="s">
        <v>1122</v>
      </c>
      <c r="F351" s="171">
        <v>51498</v>
      </c>
      <c r="G351" s="141" t="s">
        <v>192</v>
      </c>
      <c r="H351" s="174">
        <v>3</v>
      </c>
      <c r="I351" s="186" t="s">
        <v>185</v>
      </c>
      <c r="J351" s="174">
        <v>1895</v>
      </c>
      <c r="K351" s="174">
        <v>1895</v>
      </c>
      <c r="L351" s="149"/>
      <c r="M351" s="185"/>
    </row>
    <row r="352" spans="1:20" hidden="1">
      <c r="A352" s="140" t="str">
        <f t="shared" si="5"/>
        <v>05642-00484-04-F14F</v>
      </c>
      <c r="B352" s="162" t="s">
        <v>1119</v>
      </c>
      <c r="C352" s="162" t="s">
        <v>1787</v>
      </c>
      <c r="D352" s="162" t="s">
        <v>1122</v>
      </c>
      <c r="F352" s="171">
        <v>53299</v>
      </c>
      <c r="G352" s="141" t="s">
        <v>192</v>
      </c>
      <c r="H352" s="174">
        <v>4</v>
      </c>
      <c r="I352" s="186" t="s">
        <v>185</v>
      </c>
      <c r="K352" s="174">
        <v>2094</v>
      </c>
      <c r="L352" s="149"/>
      <c r="M352" s="185"/>
    </row>
    <row r="353" spans="1:19" hidden="1">
      <c r="A353" s="140" t="str">
        <f t="shared" si="5"/>
        <v>05642-00484-05-F14F</v>
      </c>
      <c r="B353" s="162" t="s">
        <v>1119</v>
      </c>
      <c r="C353" s="162" t="s">
        <v>1787</v>
      </c>
      <c r="D353" s="162" t="s">
        <v>1122</v>
      </c>
      <c r="F353" s="171">
        <v>53722</v>
      </c>
      <c r="G353" s="141" t="s">
        <v>192</v>
      </c>
      <c r="H353" s="174">
        <v>5</v>
      </c>
      <c r="I353" s="186" t="s">
        <v>936</v>
      </c>
      <c r="K353" s="174">
        <v>2111</v>
      </c>
      <c r="L353" s="149"/>
      <c r="M353" s="185"/>
    </row>
    <row r="354" spans="1:19" hidden="1">
      <c r="A354" s="140" t="str">
        <f t="shared" si="5"/>
        <v>05642-00484-06-F14F</v>
      </c>
      <c r="B354" s="162" t="s">
        <v>1119</v>
      </c>
      <c r="C354" s="162" t="s">
        <v>1787</v>
      </c>
      <c r="D354" s="162" t="s">
        <v>1122</v>
      </c>
      <c r="F354" s="171">
        <v>54790</v>
      </c>
      <c r="G354" s="141" t="s">
        <v>192</v>
      </c>
      <c r="H354" s="174">
        <v>6</v>
      </c>
      <c r="I354" s="186" t="s">
        <v>185</v>
      </c>
      <c r="J354" s="174">
        <v>2423</v>
      </c>
      <c r="K354" s="174">
        <v>2423</v>
      </c>
      <c r="L354" s="149"/>
      <c r="M354" s="185"/>
    </row>
    <row r="355" spans="1:19" ht="14.25" hidden="1" thickBot="1">
      <c r="A355" s="140" t="str">
        <f t="shared" si="5"/>
        <v>05642-00484-07-F14F</v>
      </c>
      <c r="B355" s="162" t="s">
        <v>1119</v>
      </c>
      <c r="C355" s="162" t="s">
        <v>1787</v>
      </c>
      <c r="D355" s="162" t="s">
        <v>1122</v>
      </c>
      <c r="F355" s="171">
        <v>55581</v>
      </c>
      <c r="G355" s="141" t="s">
        <v>192</v>
      </c>
      <c r="H355" s="174">
        <v>7</v>
      </c>
      <c r="I355" s="203" t="s">
        <v>957</v>
      </c>
      <c r="J355" s="174">
        <v>2423</v>
      </c>
      <c r="K355" s="174">
        <v>2423</v>
      </c>
      <c r="M355" s="217" t="s">
        <v>427</v>
      </c>
    </row>
    <row r="356" spans="1:19" hidden="1">
      <c r="A356" s="140" t="str">
        <f t="shared" si="5"/>
        <v>05642-00505-00-A14J</v>
      </c>
      <c r="B356" s="162" t="s">
        <v>1119</v>
      </c>
      <c r="C356" s="162" t="s">
        <v>1787</v>
      </c>
      <c r="D356" s="162" t="s">
        <v>1122</v>
      </c>
      <c r="F356" s="171">
        <v>49039</v>
      </c>
      <c r="G356" s="141" t="s">
        <v>100</v>
      </c>
      <c r="H356" s="174">
        <v>0</v>
      </c>
      <c r="I356" s="186" t="s">
        <v>99</v>
      </c>
      <c r="J356" s="174">
        <v>1</v>
      </c>
      <c r="K356" s="174">
        <v>1</v>
      </c>
      <c r="L356" s="149"/>
      <c r="M356" s="185"/>
      <c r="N356" s="184" t="s">
        <v>29</v>
      </c>
      <c r="O356" s="160"/>
      <c r="P356" s="155"/>
      <c r="Q356" s="143"/>
      <c r="R356" s="141"/>
      <c r="S356" s="145"/>
    </row>
    <row r="357" spans="1:19" hidden="1">
      <c r="A357" s="140" t="str">
        <f t="shared" si="5"/>
        <v>05642-00505-01-A14J</v>
      </c>
      <c r="B357" s="162" t="s">
        <v>1119</v>
      </c>
      <c r="C357" s="162" t="s">
        <v>1787</v>
      </c>
      <c r="D357" s="162" t="s">
        <v>1122</v>
      </c>
      <c r="F357" s="171">
        <v>50119</v>
      </c>
      <c r="G357" s="141" t="s">
        <v>100</v>
      </c>
      <c r="H357" s="174">
        <v>1</v>
      </c>
      <c r="I357" s="186" t="s">
        <v>99</v>
      </c>
    </row>
    <row r="358" spans="1:19" ht="14.25" hidden="1" thickBot="1">
      <c r="A358" s="140" t="str">
        <f t="shared" si="5"/>
        <v>05642-00558-00-A14HW</v>
      </c>
      <c r="B358" s="162" t="s">
        <v>1119</v>
      </c>
      <c r="C358" s="162" t="s">
        <v>1787</v>
      </c>
      <c r="D358" s="162" t="s">
        <v>1122</v>
      </c>
      <c r="F358" s="171">
        <v>49525</v>
      </c>
      <c r="G358" s="141" t="s">
        <v>73</v>
      </c>
      <c r="H358" s="174">
        <v>0</v>
      </c>
      <c r="I358" s="203" t="s">
        <v>841</v>
      </c>
      <c r="J358" s="174">
        <v>356</v>
      </c>
      <c r="K358" s="174">
        <v>356</v>
      </c>
      <c r="L358" s="149"/>
      <c r="M358" s="185"/>
      <c r="N358" s="183" t="s">
        <v>74</v>
      </c>
    </row>
    <row r="359" spans="1:19" ht="14.25" hidden="1" thickBot="1">
      <c r="A359" s="140" t="str">
        <f t="shared" si="5"/>
        <v>05642-00558-00-A14GW</v>
      </c>
      <c r="B359" s="162" t="s">
        <v>1119</v>
      </c>
      <c r="C359" s="162" t="s">
        <v>1787</v>
      </c>
      <c r="D359" s="162" t="s">
        <v>1122</v>
      </c>
      <c r="F359" s="171">
        <v>49525</v>
      </c>
      <c r="G359" s="141" t="s">
        <v>73</v>
      </c>
      <c r="H359" s="174">
        <v>0</v>
      </c>
      <c r="I359" s="202" t="s">
        <v>68</v>
      </c>
      <c r="J359" s="174">
        <v>928</v>
      </c>
      <c r="K359" s="174">
        <v>928</v>
      </c>
      <c r="L359" s="149"/>
      <c r="M359" s="185"/>
      <c r="N359" s="183" t="s">
        <v>74</v>
      </c>
    </row>
    <row r="360" spans="1:19" hidden="1">
      <c r="A360" s="140" t="str">
        <f t="shared" si="5"/>
        <v>05642-00558-01-A14HW</v>
      </c>
      <c r="B360" s="162" t="s">
        <v>1119</v>
      </c>
      <c r="C360" s="162" t="s">
        <v>1787</v>
      </c>
      <c r="D360" s="162" t="s">
        <v>1122</v>
      </c>
      <c r="F360" s="171">
        <v>50366</v>
      </c>
      <c r="G360" s="141" t="s">
        <v>73</v>
      </c>
      <c r="H360" s="174">
        <v>1</v>
      </c>
      <c r="I360" s="186" t="s">
        <v>896</v>
      </c>
      <c r="J360" s="174">
        <v>1085</v>
      </c>
      <c r="K360" s="174">
        <v>1085</v>
      </c>
      <c r="L360" s="149"/>
      <c r="M360" s="185"/>
    </row>
    <row r="361" spans="1:19" hidden="1">
      <c r="A361" s="140" t="str">
        <f t="shared" si="5"/>
        <v xml:space="preserve">05642-00558-01-A14GW	</v>
      </c>
      <c r="B361" s="162" t="s">
        <v>1119</v>
      </c>
      <c r="C361" s="162" t="s">
        <v>1787</v>
      </c>
      <c r="D361" s="162" t="s">
        <v>1122</v>
      </c>
      <c r="F361" s="171">
        <v>50366</v>
      </c>
      <c r="G361" s="141" t="s">
        <v>73</v>
      </c>
      <c r="H361" s="174">
        <v>1</v>
      </c>
      <c r="I361" s="186" t="s">
        <v>897</v>
      </c>
      <c r="J361" s="174">
        <v>518</v>
      </c>
      <c r="K361" s="174">
        <v>518</v>
      </c>
      <c r="L361" s="149"/>
      <c r="M361" s="185"/>
    </row>
    <row r="362" spans="1:19" ht="40.5" hidden="1">
      <c r="A362" s="140" t="str">
        <f t="shared" si="5"/>
        <v>05642-00573-00-A14I</v>
      </c>
      <c r="B362" s="162" t="s">
        <v>1119</v>
      </c>
      <c r="C362" s="162" t="s">
        <v>1787</v>
      </c>
      <c r="D362" s="162" t="s">
        <v>1122</v>
      </c>
      <c r="F362" s="171">
        <v>49853</v>
      </c>
      <c r="G362" s="141" t="s">
        <v>95</v>
      </c>
      <c r="H362" s="174">
        <v>0</v>
      </c>
      <c r="I362" s="211" t="s">
        <v>505</v>
      </c>
      <c r="J362" s="174">
        <v>7312</v>
      </c>
      <c r="K362" s="174">
        <v>7312</v>
      </c>
      <c r="L362" s="149"/>
      <c r="M362" s="185"/>
      <c r="O362" s="156" t="s">
        <v>883</v>
      </c>
    </row>
    <row r="363" spans="1:19" hidden="1">
      <c r="A363" s="140" t="str">
        <f t="shared" si="5"/>
        <v>05642-00573-01-A14I</v>
      </c>
      <c r="B363" s="162" t="s">
        <v>1119</v>
      </c>
      <c r="C363" s="162" t="s">
        <v>1787</v>
      </c>
      <c r="D363" s="162" t="s">
        <v>1122</v>
      </c>
      <c r="F363" s="171">
        <v>50466</v>
      </c>
      <c r="G363" s="141" t="s">
        <v>95</v>
      </c>
      <c r="H363" s="174">
        <v>1</v>
      </c>
      <c r="I363" s="186" t="s">
        <v>898</v>
      </c>
    </row>
    <row r="364" spans="1:19" hidden="1">
      <c r="A364" s="140" t="str">
        <f t="shared" si="5"/>
        <v>05642-00573-02-A14I</v>
      </c>
      <c r="B364" s="162" t="s">
        <v>1119</v>
      </c>
      <c r="C364" s="162" t="s">
        <v>1787</v>
      </c>
      <c r="D364" s="162" t="s">
        <v>1122</v>
      </c>
      <c r="F364" s="171">
        <v>52576</v>
      </c>
      <c r="G364" s="141" t="s">
        <v>95</v>
      </c>
      <c r="H364" s="174">
        <v>2</v>
      </c>
      <c r="I364" s="186" t="s">
        <v>925</v>
      </c>
      <c r="M364" s="217" t="s">
        <v>344</v>
      </c>
    </row>
    <row r="365" spans="1:19" hidden="1">
      <c r="A365" s="140" t="str">
        <f t="shared" si="5"/>
        <v>05642-00585-00-A14FW</v>
      </c>
      <c r="B365" s="162" t="s">
        <v>1119</v>
      </c>
      <c r="C365" s="162" t="s">
        <v>1787</v>
      </c>
      <c r="D365" s="162" t="s">
        <v>1122</v>
      </c>
      <c r="F365" s="171">
        <v>50770</v>
      </c>
      <c r="G365" s="141" t="s">
        <v>66</v>
      </c>
      <c r="H365" s="174">
        <v>0</v>
      </c>
      <c r="I365" s="186" t="s">
        <v>899</v>
      </c>
      <c r="M365" s="217" t="s">
        <v>433</v>
      </c>
    </row>
    <row r="366" spans="1:19" hidden="1">
      <c r="A366" s="140" t="str">
        <f t="shared" si="5"/>
        <v>05642-00586-00-A14HW</v>
      </c>
      <c r="B366" s="162" t="s">
        <v>1119</v>
      </c>
      <c r="C366" s="162" t="s">
        <v>1787</v>
      </c>
      <c r="D366" s="162" t="s">
        <v>1122</v>
      </c>
      <c r="F366" s="171">
        <v>51075</v>
      </c>
      <c r="G366" s="141" t="s">
        <v>75</v>
      </c>
      <c r="H366" s="174">
        <v>0</v>
      </c>
      <c r="I366" s="186" t="s">
        <v>896</v>
      </c>
      <c r="J366" s="174">
        <v>618</v>
      </c>
      <c r="K366" s="174">
        <v>618</v>
      </c>
      <c r="L366" s="149"/>
      <c r="M366" s="185"/>
      <c r="N366" s="183" t="s">
        <v>76</v>
      </c>
    </row>
    <row r="367" spans="1:19" ht="14.25" hidden="1" thickBot="1">
      <c r="A367" s="140" t="str">
        <f t="shared" si="5"/>
        <v>05642-00586-00-A14GW</v>
      </c>
      <c r="B367" s="162" t="s">
        <v>1119</v>
      </c>
      <c r="C367" s="162" t="s">
        <v>1787</v>
      </c>
      <c r="D367" s="162" t="s">
        <v>1122</v>
      </c>
      <c r="F367" s="171">
        <v>51075</v>
      </c>
      <c r="G367" s="141" t="s">
        <v>75</v>
      </c>
      <c r="H367" s="174">
        <v>0</v>
      </c>
      <c r="I367" s="202" t="s">
        <v>68</v>
      </c>
      <c r="J367" s="174">
        <v>1187</v>
      </c>
      <c r="K367" s="174">
        <v>1187</v>
      </c>
      <c r="L367" s="149"/>
      <c r="M367" s="185"/>
      <c r="N367" s="183" t="s">
        <v>76</v>
      </c>
    </row>
    <row r="368" spans="1:19" hidden="1">
      <c r="A368" s="140" t="str">
        <f t="shared" si="5"/>
        <v>05642-00586-01-A14HW</v>
      </c>
      <c r="B368" s="162" t="s">
        <v>1119</v>
      </c>
      <c r="C368" s="162" t="s">
        <v>1787</v>
      </c>
      <c r="D368" s="162" t="s">
        <v>1122</v>
      </c>
      <c r="F368" s="171">
        <v>51458</v>
      </c>
      <c r="G368" s="141" t="s">
        <v>75</v>
      </c>
      <c r="H368" s="174">
        <v>1</v>
      </c>
      <c r="I368" s="186" t="s">
        <v>841</v>
      </c>
    </row>
    <row r="369" spans="1:15" ht="14.25" hidden="1" thickBot="1">
      <c r="A369" s="140" t="str">
        <f t="shared" si="5"/>
        <v>05642-00586-01-A14GW</v>
      </c>
      <c r="B369" s="162" t="s">
        <v>1119</v>
      </c>
      <c r="C369" s="162" t="s">
        <v>1787</v>
      </c>
      <c r="D369" s="162" t="s">
        <v>1122</v>
      </c>
      <c r="F369" s="171">
        <v>51458</v>
      </c>
      <c r="G369" s="141" t="s">
        <v>75</v>
      </c>
      <c r="H369" s="174">
        <v>1</v>
      </c>
      <c r="I369" s="202" t="s">
        <v>68</v>
      </c>
    </row>
    <row r="370" spans="1:15" hidden="1">
      <c r="A370" s="140" t="str">
        <f t="shared" si="5"/>
        <v>05642-00586-02-A14HW</v>
      </c>
      <c r="B370" s="162" t="s">
        <v>1119</v>
      </c>
      <c r="C370" s="162" t="s">
        <v>1787</v>
      </c>
      <c r="D370" s="162" t="s">
        <v>1122</v>
      </c>
      <c r="F370" s="171">
        <v>51668</v>
      </c>
      <c r="G370" s="141" t="s">
        <v>75</v>
      </c>
      <c r="H370" s="174">
        <v>2</v>
      </c>
      <c r="I370" s="186" t="s">
        <v>911</v>
      </c>
      <c r="J370" s="174">
        <v>1043</v>
      </c>
      <c r="K370" s="174">
        <v>1043</v>
      </c>
      <c r="L370" s="149"/>
      <c r="M370" s="185"/>
    </row>
    <row r="371" spans="1:15" ht="14.25" hidden="1" thickBot="1">
      <c r="A371" s="140" t="str">
        <f t="shared" si="5"/>
        <v xml:space="preserve">05642-00586-02-A14GW	</v>
      </c>
      <c r="B371" s="162" t="s">
        <v>1119</v>
      </c>
      <c r="C371" s="162" t="s">
        <v>1787</v>
      </c>
      <c r="D371" s="162" t="s">
        <v>1122</v>
      </c>
      <c r="F371" s="171">
        <v>51668</v>
      </c>
      <c r="G371" s="141" t="s">
        <v>75</v>
      </c>
      <c r="H371" s="174">
        <v>2</v>
      </c>
      <c r="I371" s="203" t="s">
        <v>897</v>
      </c>
    </row>
    <row r="372" spans="1:15" hidden="1">
      <c r="A372" s="140" t="str">
        <f t="shared" si="5"/>
        <v>05642-00586-03-A14HW</v>
      </c>
      <c r="B372" s="162" t="s">
        <v>1119</v>
      </c>
      <c r="C372" s="162" t="s">
        <v>1787</v>
      </c>
      <c r="D372" s="162" t="s">
        <v>1122</v>
      </c>
      <c r="F372" s="171">
        <v>52411</v>
      </c>
      <c r="G372" s="141" t="s">
        <v>75</v>
      </c>
      <c r="H372" s="174">
        <v>3</v>
      </c>
      <c r="I372" s="186" t="s">
        <v>841</v>
      </c>
      <c r="J372" s="174">
        <v>1524</v>
      </c>
      <c r="K372" s="174">
        <v>1524</v>
      </c>
      <c r="L372" s="149"/>
      <c r="M372" s="185"/>
    </row>
    <row r="373" spans="1:15" hidden="1">
      <c r="A373" s="140" t="str">
        <f t="shared" si="5"/>
        <v xml:space="preserve">05642-00586-03-A14GW	</v>
      </c>
      <c r="B373" s="162" t="s">
        <v>1119</v>
      </c>
      <c r="C373" s="162" t="s">
        <v>1787</v>
      </c>
      <c r="D373" s="162" t="s">
        <v>1122</v>
      </c>
      <c r="F373" s="171">
        <v>52411</v>
      </c>
      <c r="G373" s="141" t="s">
        <v>75</v>
      </c>
      <c r="H373" s="174">
        <v>3</v>
      </c>
      <c r="I373" s="186" t="s">
        <v>924</v>
      </c>
    </row>
    <row r="374" spans="1:15" hidden="1">
      <c r="A374" s="140" t="str">
        <f t="shared" si="5"/>
        <v>05642-00586-04-A14HW</v>
      </c>
      <c r="B374" s="162" t="s">
        <v>1119</v>
      </c>
      <c r="C374" s="162" t="s">
        <v>1787</v>
      </c>
      <c r="D374" s="162" t="s">
        <v>1122</v>
      </c>
      <c r="F374" s="171">
        <v>53229</v>
      </c>
      <c r="G374" s="141" t="s">
        <v>75</v>
      </c>
      <c r="H374" s="174">
        <v>4</v>
      </c>
      <c r="I374" s="186" t="s">
        <v>841</v>
      </c>
      <c r="K374" s="174">
        <v>1499</v>
      </c>
      <c r="L374" s="149"/>
      <c r="M374" s="185"/>
    </row>
    <row r="375" spans="1:15" hidden="1">
      <c r="A375" s="140" t="str">
        <f t="shared" si="5"/>
        <v>05642-00586-04-A14GW</v>
      </c>
      <c r="B375" s="162" t="s">
        <v>1119</v>
      </c>
      <c r="C375" s="162" t="s">
        <v>1787</v>
      </c>
      <c r="D375" s="162" t="s">
        <v>1122</v>
      </c>
      <c r="F375" s="171">
        <v>53229</v>
      </c>
      <c r="G375" s="141" t="s">
        <v>75</v>
      </c>
      <c r="H375" s="174">
        <v>4</v>
      </c>
      <c r="I375" s="186" t="s">
        <v>931</v>
      </c>
    </row>
    <row r="376" spans="1:15" ht="14.25" hidden="1" thickBot="1">
      <c r="A376" s="140" t="str">
        <f t="shared" si="5"/>
        <v>05642-00586-05-A14HW</v>
      </c>
      <c r="B376" s="162" t="s">
        <v>1119</v>
      </c>
      <c r="C376" s="162" t="s">
        <v>1787</v>
      </c>
      <c r="D376" s="162" t="s">
        <v>1122</v>
      </c>
      <c r="F376" s="171">
        <v>54017</v>
      </c>
      <c r="G376" s="141" t="s">
        <v>75</v>
      </c>
      <c r="H376" s="174">
        <v>5</v>
      </c>
      <c r="I376" s="203" t="s">
        <v>841</v>
      </c>
      <c r="J376" s="174">
        <v>1754</v>
      </c>
      <c r="K376" s="174">
        <v>1754</v>
      </c>
      <c r="L376" s="149"/>
      <c r="M376" s="185"/>
      <c r="N376" s="183" t="s">
        <v>1919</v>
      </c>
    </row>
    <row r="377" spans="1:15" ht="14.25" hidden="1" thickBot="1">
      <c r="A377" s="140" t="str">
        <f t="shared" si="5"/>
        <v>05642-00586-05-A14GW</v>
      </c>
      <c r="B377" s="162" t="s">
        <v>1119</v>
      </c>
      <c r="C377" s="162" t="s">
        <v>1787</v>
      </c>
      <c r="D377" s="162" t="s">
        <v>1122</v>
      </c>
      <c r="F377" s="171">
        <v>54017</v>
      </c>
      <c r="G377" s="141" t="s">
        <v>75</v>
      </c>
      <c r="H377" s="174">
        <v>5</v>
      </c>
      <c r="I377" s="202" t="s">
        <v>68</v>
      </c>
      <c r="N377" s="183" t="s">
        <v>1919</v>
      </c>
    </row>
    <row r="378" spans="1:15" hidden="1">
      <c r="A378" s="140" t="str">
        <f t="shared" si="5"/>
        <v>05642-00586-06-A14HW</v>
      </c>
      <c r="B378" s="162" t="s">
        <v>1119</v>
      </c>
      <c r="C378" s="162" t="s">
        <v>1787</v>
      </c>
      <c r="D378" s="162" t="s">
        <v>1122</v>
      </c>
      <c r="F378" s="171">
        <v>55201</v>
      </c>
      <c r="G378" s="141" t="s">
        <v>75</v>
      </c>
      <c r="H378" s="174">
        <v>6</v>
      </c>
      <c r="I378" s="186" t="s">
        <v>841</v>
      </c>
      <c r="J378" s="174">
        <v>2040</v>
      </c>
      <c r="K378" s="174">
        <v>2040</v>
      </c>
      <c r="L378" s="149"/>
      <c r="M378" s="185"/>
    </row>
    <row r="379" spans="1:15" ht="14.25" hidden="1" thickBot="1">
      <c r="A379" s="140" t="str">
        <f t="shared" si="5"/>
        <v>05642-00586-06-A14GW</v>
      </c>
      <c r="B379" s="162" t="s">
        <v>1119</v>
      </c>
      <c r="C379" s="162" t="s">
        <v>1787</v>
      </c>
      <c r="D379" s="162" t="s">
        <v>1122</v>
      </c>
      <c r="F379" s="171">
        <v>55201</v>
      </c>
      <c r="G379" s="141" t="s">
        <v>75</v>
      </c>
      <c r="H379" s="174">
        <v>6</v>
      </c>
      <c r="I379" s="202" t="s">
        <v>68</v>
      </c>
    </row>
    <row r="380" spans="1:15" hidden="1">
      <c r="A380" s="140" t="str">
        <f t="shared" si="5"/>
        <v>05642-00586-07-A14HW</v>
      </c>
      <c r="B380" s="162" t="s">
        <v>1119</v>
      </c>
      <c r="C380" s="162" t="s">
        <v>1787</v>
      </c>
      <c r="D380" s="162" t="s">
        <v>1122</v>
      </c>
      <c r="F380" s="171">
        <v>60031</v>
      </c>
      <c r="G380" s="141" t="s">
        <v>75</v>
      </c>
      <c r="H380" s="174">
        <v>7</v>
      </c>
      <c r="I380" s="186" t="s">
        <v>841</v>
      </c>
      <c r="M380" s="217" t="s">
        <v>307</v>
      </c>
    </row>
    <row r="381" spans="1:15" ht="14.25" hidden="1" thickBot="1">
      <c r="A381" s="140" t="str">
        <f t="shared" ref="A381:A442" si="6">G381&amp;"-"&amp;TEXT(H381,"00")&amp;"-"&amp;I381</f>
        <v>05642-00586-07-A14GW</v>
      </c>
      <c r="B381" s="162" t="s">
        <v>1119</v>
      </c>
      <c r="C381" s="162" t="s">
        <v>1787</v>
      </c>
      <c r="D381" s="162" t="s">
        <v>1122</v>
      </c>
      <c r="F381" s="171">
        <v>60031</v>
      </c>
      <c r="G381" s="141" t="s">
        <v>75</v>
      </c>
      <c r="H381" s="174">
        <v>7</v>
      </c>
      <c r="I381" s="202" t="s">
        <v>68</v>
      </c>
      <c r="M381" s="217" t="s">
        <v>307</v>
      </c>
    </row>
    <row r="382" spans="1:15" ht="14.25" hidden="1" thickBot="1">
      <c r="A382" s="140" t="str">
        <f t="shared" si="6"/>
        <v>05642-00602-01-A14I</v>
      </c>
      <c r="B382" s="162" t="s">
        <v>1119</v>
      </c>
      <c r="C382" s="162" t="s">
        <v>1787</v>
      </c>
      <c r="D382" s="162" t="s">
        <v>1122</v>
      </c>
      <c r="F382" s="171">
        <v>52910</v>
      </c>
      <c r="G382" s="141" t="s">
        <v>88</v>
      </c>
      <c r="H382" s="174">
        <v>1</v>
      </c>
      <c r="I382" s="203" t="s">
        <v>493</v>
      </c>
    </row>
    <row r="383" spans="1:15" ht="27.75" hidden="1" thickBot="1">
      <c r="A383" s="140" t="str">
        <f t="shared" si="6"/>
        <v>05642-00602-02-A14I</v>
      </c>
      <c r="B383" s="162" t="s">
        <v>1119</v>
      </c>
      <c r="C383" s="162" t="s">
        <v>1787</v>
      </c>
      <c r="D383" s="162" t="s">
        <v>1122</v>
      </c>
      <c r="F383" s="171">
        <v>53292</v>
      </c>
      <c r="G383" s="141" t="s">
        <v>88</v>
      </c>
      <c r="H383" s="174">
        <v>2</v>
      </c>
      <c r="I383" s="212" t="s">
        <v>493</v>
      </c>
      <c r="K383" s="174">
        <v>8615</v>
      </c>
      <c r="L383" s="149"/>
      <c r="M383" s="185"/>
      <c r="O383" s="156" t="s">
        <v>933</v>
      </c>
    </row>
    <row r="384" spans="1:15" hidden="1">
      <c r="A384" s="140" t="str">
        <f t="shared" si="6"/>
        <v>05642-00602-03-A14I</v>
      </c>
      <c r="B384" s="162" t="s">
        <v>1119</v>
      </c>
      <c r="C384" s="162" t="s">
        <v>1787</v>
      </c>
      <c r="D384" s="162" t="s">
        <v>1122</v>
      </c>
      <c r="F384" s="171">
        <v>53587</v>
      </c>
      <c r="G384" s="141" t="s">
        <v>88</v>
      </c>
      <c r="H384" s="174">
        <v>3</v>
      </c>
      <c r="I384" s="186" t="s">
        <v>925</v>
      </c>
      <c r="K384" s="174">
        <v>8706</v>
      </c>
      <c r="L384" s="149"/>
      <c r="M384" s="185"/>
    </row>
    <row r="385" spans="1:15" ht="14.25" hidden="1" thickBot="1">
      <c r="A385" s="140" t="str">
        <f t="shared" si="6"/>
        <v>05642-00602-04-A14I</v>
      </c>
      <c r="B385" s="162" t="s">
        <v>1119</v>
      </c>
      <c r="C385" s="162" t="s">
        <v>1787</v>
      </c>
      <c r="D385" s="162" t="s">
        <v>1122</v>
      </c>
      <c r="F385" s="171">
        <v>53652</v>
      </c>
      <c r="G385" s="141" t="s">
        <v>88</v>
      </c>
      <c r="H385" s="174">
        <v>4</v>
      </c>
      <c r="I385" s="203" t="s">
        <v>493</v>
      </c>
      <c r="K385" s="174">
        <v>8682</v>
      </c>
      <c r="L385" s="149"/>
      <c r="M385" s="185"/>
    </row>
    <row r="386" spans="1:15" ht="27.75" hidden="1" thickBot="1">
      <c r="A386" s="140" t="str">
        <f t="shared" si="6"/>
        <v>05642-00602-05-A14I</v>
      </c>
      <c r="B386" s="162" t="s">
        <v>1119</v>
      </c>
      <c r="C386" s="162" t="s">
        <v>1787</v>
      </c>
      <c r="D386" s="162" t="s">
        <v>1122</v>
      </c>
      <c r="F386" s="171">
        <v>54464</v>
      </c>
      <c r="G386" s="141" t="s">
        <v>88</v>
      </c>
      <c r="H386" s="174">
        <v>5</v>
      </c>
      <c r="I386" s="203" t="s">
        <v>493</v>
      </c>
      <c r="J386" s="174">
        <v>9388</v>
      </c>
      <c r="K386" s="174">
        <v>9388</v>
      </c>
      <c r="L386" s="149"/>
      <c r="M386" s="185" t="s">
        <v>331</v>
      </c>
      <c r="N386" s="183" t="s">
        <v>1883</v>
      </c>
    </row>
    <row r="387" spans="1:15" hidden="1">
      <c r="A387" s="140" t="str">
        <f t="shared" si="6"/>
        <v>05642-00606-00-A14J</v>
      </c>
      <c r="B387" s="162" t="s">
        <v>1119</v>
      </c>
      <c r="C387" s="162" t="s">
        <v>1787</v>
      </c>
      <c r="D387" s="162" t="s">
        <v>1122</v>
      </c>
      <c r="F387" s="171">
        <v>51282</v>
      </c>
      <c r="G387" s="141" t="s">
        <v>102</v>
      </c>
      <c r="H387" s="174">
        <v>0</v>
      </c>
      <c r="I387" s="186" t="s">
        <v>99</v>
      </c>
      <c r="J387" s="174">
        <v>2295</v>
      </c>
      <c r="K387" s="174">
        <v>2315</v>
      </c>
      <c r="L387" s="149"/>
      <c r="M387" s="185"/>
      <c r="N387" s="183" t="s">
        <v>103</v>
      </c>
    </row>
    <row r="388" spans="1:15" hidden="1">
      <c r="A388" s="140" t="str">
        <f t="shared" si="6"/>
        <v>05642-00606-01-A14J</v>
      </c>
      <c r="B388" s="162" t="s">
        <v>1119</v>
      </c>
      <c r="C388" s="162" t="s">
        <v>1787</v>
      </c>
      <c r="D388" s="162" t="s">
        <v>1122</v>
      </c>
      <c r="F388" s="171">
        <v>53319</v>
      </c>
      <c r="G388" s="141" t="s">
        <v>102</v>
      </c>
      <c r="H388" s="174">
        <v>1</v>
      </c>
      <c r="I388" s="186" t="s">
        <v>99</v>
      </c>
      <c r="K388" s="174">
        <v>3818</v>
      </c>
      <c r="L388" s="149"/>
      <c r="M388" s="185"/>
    </row>
    <row r="389" spans="1:15" hidden="1">
      <c r="A389" s="140" t="str">
        <f t="shared" si="6"/>
        <v>05642-00606-02-A14J</v>
      </c>
      <c r="B389" s="162" t="s">
        <v>1119</v>
      </c>
      <c r="C389" s="162" t="s">
        <v>1787</v>
      </c>
      <c r="D389" s="162" t="s">
        <v>1122</v>
      </c>
      <c r="F389" s="171">
        <v>53652</v>
      </c>
      <c r="G389" s="141" t="s">
        <v>102</v>
      </c>
      <c r="H389" s="174">
        <v>2</v>
      </c>
      <c r="I389" s="186" t="s">
        <v>99</v>
      </c>
      <c r="K389" s="174">
        <v>4079</v>
      </c>
      <c r="L389" s="149"/>
      <c r="M389" s="185"/>
    </row>
    <row r="390" spans="1:15" hidden="1">
      <c r="A390" s="140" t="str">
        <f t="shared" si="6"/>
        <v>05642-00606-03-A14J</v>
      </c>
      <c r="B390" s="162" t="s">
        <v>1119</v>
      </c>
      <c r="C390" s="162" t="s">
        <v>1787</v>
      </c>
      <c r="D390" s="162" t="s">
        <v>1122</v>
      </c>
      <c r="F390" s="171">
        <v>54017</v>
      </c>
      <c r="G390" s="141" t="s">
        <v>102</v>
      </c>
      <c r="H390" s="174">
        <v>3</v>
      </c>
      <c r="I390" s="186" t="s">
        <v>939</v>
      </c>
      <c r="J390" s="174">
        <v>4622</v>
      </c>
      <c r="K390" s="174">
        <v>4620</v>
      </c>
      <c r="L390" s="149"/>
      <c r="M390" s="185"/>
      <c r="N390" s="183" t="s">
        <v>1919</v>
      </c>
    </row>
    <row r="391" spans="1:15" ht="27" hidden="1">
      <c r="A391" s="140" t="str">
        <f t="shared" si="6"/>
        <v>05642-00606-04-A14J</v>
      </c>
      <c r="B391" s="162" t="s">
        <v>1119</v>
      </c>
      <c r="C391" s="162" t="s">
        <v>1787</v>
      </c>
      <c r="D391" s="162" t="s">
        <v>1122</v>
      </c>
      <c r="F391" s="171">
        <v>54464</v>
      </c>
      <c r="G391" s="141" t="s">
        <v>102</v>
      </c>
      <c r="H391" s="174">
        <v>4</v>
      </c>
      <c r="I391" s="186" t="s">
        <v>99</v>
      </c>
      <c r="J391" s="174">
        <v>5254</v>
      </c>
      <c r="K391" s="174">
        <v>5254</v>
      </c>
      <c r="L391" s="149"/>
      <c r="M391" s="185" t="s">
        <v>1162</v>
      </c>
      <c r="N391" s="183" t="s">
        <v>1883</v>
      </c>
    </row>
    <row r="392" spans="1:15" hidden="1">
      <c r="A392" s="140" t="str">
        <f t="shared" si="6"/>
        <v>05642-00606-05-A14J</v>
      </c>
      <c r="B392" s="162" t="s">
        <v>1119</v>
      </c>
      <c r="C392" s="162" t="s">
        <v>1787</v>
      </c>
      <c r="D392" s="162" t="s">
        <v>1122</v>
      </c>
      <c r="F392" s="171">
        <v>55616</v>
      </c>
      <c r="G392" s="141" t="s">
        <v>102</v>
      </c>
      <c r="H392" s="174">
        <v>5</v>
      </c>
      <c r="I392" s="186" t="s">
        <v>99</v>
      </c>
      <c r="J392" s="174">
        <v>6348</v>
      </c>
      <c r="K392" s="174">
        <v>6347</v>
      </c>
      <c r="M392" s="217" t="s">
        <v>378</v>
      </c>
    </row>
    <row r="393" spans="1:15" hidden="1">
      <c r="A393" s="140" t="str">
        <f t="shared" si="6"/>
        <v>05642-00683-00-A13AW</v>
      </c>
      <c r="B393" s="162" t="s">
        <v>1119</v>
      </c>
      <c r="C393" s="162" t="s">
        <v>1787</v>
      </c>
      <c r="D393" s="162" t="s">
        <v>1122</v>
      </c>
      <c r="E393" s="162" t="s">
        <v>1707</v>
      </c>
      <c r="F393" s="171">
        <v>52943</v>
      </c>
      <c r="G393" s="141" t="s">
        <v>235</v>
      </c>
      <c r="H393" s="174">
        <v>0</v>
      </c>
      <c r="I393" s="186" t="s">
        <v>245</v>
      </c>
      <c r="M393" s="217" t="s">
        <v>1194</v>
      </c>
      <c r="N393" s="183" t="s">
        <v>2023</v>
      </c>
    </row>
    <row r="394" spans="1:15" hidden="1">
      <c r="A394" s="140" t="str">
        <f t="shared" si="6"/>
        <v>05642-00683-00-A14IW</v>
      </c>
      <c r="B394" s="162" t="s">
        <v>1119</v>
      </c>
      <c r="C394" s="162" t="s">
        <v>1787</v>
      </c>
      <c r="D394" s="162" t="s">
        <v>1122</v>
      </c>
      <c r="E394" s="162" t="s">
        <v>1707</v>
      </c>
      <c r="F394" s="171">
        <v>52943</v>
      </c>
      <c r="G394" s="141" t="s">
        <v>235</v>
      </c>
      <c r="H394" s="174">
        <v>0</v>
      </c>
      <c r="I394" s="186" t="s">
        <v>234</v>
      </c>
      <c r="M394" s="217" t="s">
        <v>1194</v>
      </c>
      <c r="N394" s="183" t="s">
        <v>2023</v>
      </c>
    </row>
    <row r="395" spans="1:15" hidden="1">
      <c r="A395" s="140" t="str">
        <f t="shared" si="6"/>
        <v>05642-00683-01-A13AW</v>
      </c>
      <c r="B395" s="162" t="s">
        <v>1119</v>
      </c>
      <c r="C395" s="162" t="s">
        <v>1787</v>
      </c>
      <c r="D395" s="162" t="s">
        <v>1122</v>
      </c>
      <c r="E395" s="162" t="s">
        <v>1707</v>
      </c>
      <c r="F395" s="171">
        <v>55338</v>
      </c>
      <c r="G395" s="141" t="s">
        <v>235</v>
      </c>
      <c r="H395" s="174">
        <v>1</v>
      </c>
      <c r="I395" s="210" t="s">
        <v>245</v>
      </c>
      <c r="J395" s="174">
        <v>6</v>
      </c>
      <c r="L395" s="149" t="s">
        <v>950</v>
      </c>
      <c r="M395" s="185" t="s">
        <v>1134</v>
      </c>
      <c r="N395" s="183" t="s">
        <v>2024</v>
      </c>
      <c r="O395" s="156"/>
    </row>
    <row r="396" spans="1:15" hidden="1">
      <c r="A396" s="140" t="str">
        <f t="shared" si="6"/>
        <v>05642-00683-01-A14IW</v>
      </c>
      <c r="B396" s="162" t="s">
        <v>1119</v>
      </c>
      <c r="C396" s="162" t="s">
        <v>1787</v>
      </c>
      <c r="D396" s="162" t="s">
        <v>1122</v>
      </c>
      <c r="E396" s="162" t="s">
        <v>1707</v>
      </c>
      <c r="F396" s="171">
        <v>55338</v>
      </c>
      <c r="G396" s="141" t="s">
        <v>235</v>
      </c>
      <c r="H396" s="174">
        <v>1</v>
      </c>
      <c r="I396" s="186" t="s">
        <v>234</v>
      </c>
      <c r="J396" s="174">
        <v>5</v>
      </c>
      <c r="L396" s="149"/>
      <c r="M396" s="185" t="s">
        <v>1134</v>
      </c>
      <c r="N396" s="183" t="s">
        <v>2024</v>
      </c>
      <c r="O396" s="156"/>
    </row>
    <row r="397" spans="1:15" ht="27" hidden="1">
      <c r="A397" s="140" t="str">
        <f t="shared" si="6"/>
        <v>05642-00683-02-A14IW</v>
      </c>
      <c r="B397" s="162" t="s">
        <v>1119</v>
      </c>
      <c r="C397" s="162" t="s">
        <v>1787</v>
      </c>
      <c r="D397" s="162" t="s">
        <v>1122</v>
      </c>
      <c r="E397" s="162" t="s">
        <v>1707</v>
      </c>
      <c r="F397" s="171">
        <v>55576</v>
      </c>
      <c r="G397" s="141" t="s">
        <v>235</v>
      </c>
      <c r="H397" s="174">
        <v>2</v>
      </c>
      <c r="I397" s="186" t="s">
        <v>955</v>
      </c>
      <c r="J397" s="174">
        <v>7</v>
      </c>
      <c r="M397" s="217" t="s">
        <v>360</v>
      </c>
      <c r="N397" s="183" t="s">
        <v>2025</v>
      </c>
      <c r="O397" s="156"/>
    </row>
    <row r="398" spans="1:15" hidden="1">
      <c r="A398" s="140" t="str">
        <f t="shared" si="6"/>
        <v>05642-00683-03-A14IW</v>
      </c>
      <c r="B398" s="162" t="s">
        <v>1119</v>
      </c>
      <c r="C398" s="162" t="s">
        <v>1787</v>
      </c>
      <c r="D398" s="162" t="s">
        <v>1122</v>
      </c>
      <c r="E398" s="162" t="s">
        <v>1707</v>
      </c>
      <c r="F398" s="171">
        <v>55898</v>
      </c>
      <c r="G398" s="141" t="s">
        <v>235</v>
      </c>
      <c r="H398" s="174">
        <v>3</v>
      </c>
      <c r="I398" s="186" t="s">
        <v>955</v>
      </c>
      <c r="M398" s="217" t="s">
        <v>1299</v>
      </c>
      <c r="N398" s="183" t="s">
        <v>2026</v>
      </c>
    </row>
    <row r="399" spans="1:15" hidden="1">
      <c r="A399" s="140" t="str">
        <f t="shared" si="6"/>
        <v>05642-00683-04-A14IW</v>
      </c>
      <c r="B399" s="162" t="s">
        <v>1119</v>
      </c>
      <c r="C399" s="162" t="s">
        <v>1787</v>
      </c>
      <c r="D399" s="162" t="s">
        <v>1122</v>
      </c>
      <c r="E399" s="162" t="s">
        <v>1707</v>
      </c>
      <c r="F399" s="171">
        <v>55979</v>
      </c>
      <c r="G399" s="141" t="s">
        <v>235</v>
      </c>
      <c r="H399" s="174">
        <v>4</v>
      </c>
      <c r="I399" s="186" t="s">
        <v>955</v>
      </c>
      <c r="J399" s="174">
        <v>5</v>
      </c>
      <c r="K399" s="174">
        <v>5</v>
      </c>
      <c r="M399" s="217" t="s">
        <v>298</v>
      </c>
      <c r="N399" s="183" t="s">
        <v>2026</v>
      </c>
    </row>
    <row r="400" spans="1:15" ht="27" hidden="1">
      <c r="A400" s="140" t="str">
        <f t="shared" si="6"/>
        <v>05642-00683-05-A14IW</v>
      </c>
      <c r="B400" s="162" t="s">
        <v>1119</v>
      </c>
      <c r="C400" s="162" t="s">
        <v>1787</v>
      </c>
      <c r="D400" s="162" t="s">
        <v>1122</v>
      </c>
      <c r="E400" s="162" t="s">
        <v>1707</v>
      </c>
      <c r="F400" s="171">
        <v>56013</v>
      </c>
      <c r="G400" s="141" t="s">
        <v>235</v>
      </c>
      <c r="H400" s="174">
        <v>5</v>
      </c>
      <c r="I400" s="186" t="s">
        <v>234</v>
      </c>
      <c r="J400" s="174">
        <v>116</v>
      </c>
      <c r="K400" s="174">
        <v>116</v>
      </c>
      <c r="M400" s="217" t="s">
        <v>1065</v>
      </c>
      <c r="N400" s="183" t="s">
        <v>2027</v>
      </c>
      <c r="O400" s="156"/>
    </row>
    <row r="401" spans="1:15" ht="27" hidden="1">
      <c r="A401" s="140" t="str">
        <f t="shared" si="6"/>
        <v>05642-00683-06-A14IW</v>
      </c>
      <c r="B401" s="162" t="s">
        <v>1119</v>
      </c>
      <c r="C401" s="162" t="s">
        <v>1787</v>
      </c>
      <c r="D401" s="162" t="s">
        <v>1122</v>
      </c>
      <c r="E401" s="162" t="s">
        <v>1707</v>
      </c>
      <c r="F401" s="171">
        <v>56440</v>
      </c>
      <c r="G401" s="141" t="s">
        <v>235</v>
      </c>
      <c r="H401" s="174">
        <v>6</v>
      </c>
      <c r="I401" s="186" t="s">
        <v>955</v>
      </c>
      <c r="J401" s="174">
        <v>274</v>
      </c>
      <c r="K401" s="174">
        <v>274</v>
      </c>
      <c r="M401" s="217" t="s">
        <v>312</v>
      </c>
      <c r="N401" s="183" t="s">
        <v>2028</v>
      </c>
      <c r="O401" s="156"/>
    </row>
    <row r="402" spans="1:15" ht="40.5" hidden="1">
      <c r="A402" s="140" t="str">
        <f t="shared" si="6"/>
        <v>05642-00683-07-A14IW</v>
      </c>
      <c r="B402" s="162" t="s">
        <v>1119</v>
      </c>
      <c r="C402" s="162" t="s">
        <v>1787</v>
      </c>
      <c r="D402" s="162" t="s">
        <v>1122</v>
      </c>
      <c r="E402" s="162" t="s">
        <v>1707</v>
      </c>
      <c r="F402" s="171">
        <v>60245</v>
      </c>
      <c r="G402" s="141" t="s">
        <v>235</v>
      </c>
      <c r="H402" s="174">
        <v>7</v>
      </c>
      <c r="I402" s="186" t="s">
        <v>234</v>
      </c>
      <c r="J402" s="174">
        <v>505</v>
      </c>
      <c r="K402" s="174">
        <v>505</v>
      </c>
      <c r="M402" s="217" t="s">
        <v>270</v>
      </c>
      <c r="N402" s="183" t="s">
        <v>2029</v>
      </c>
      <c r="O402" s="156"/>
    </row>
    <row r="403" spans="1:15" hidden="1">
      <c r="A403" s="140" t="str">
        <f t="shared" si="6"/>
        <v>05642-00683-08-A14IW</v>
      </c>
      <c r="B403" s="162" t="s">
        <v>1119</v>
      </c>
      <c r="C403" s="162" t="s">
        <v>1787</v>
      </c>
      <c r="D403" s="162" t="s">
        <v>1122</v>
      </c>
      <c r="E403" s="162" t="s">
        <v>1707</v>
      </c>
      <c r="F403" s="171">
        <v>60495</v>
      </c>
      <c r="G403" s="141" t="s">
        <v>235</v>
      </c>
      <c r="H403" s="174">
        <v>8</v>
      </c>
      <c r="I403" s="210" t="s">
        <v>955</v>
      </c>
      <c r="M403" s="217" t="s">
        <v>302</v>
      </c>
      <c r="N403" s="183" t="s">
        <v>2030</v>
      </c>
      <c r="O403" s="143" t="s">
        <v>964</v>
      </c>
    </row>
    <row r="404" spans="1:15" ht="94.5" hidden="1">
      <c r="A404" s="140" t="str">
        <f t="shared" si="6"/>
        <v>05642-00683-09-A14IW</v>
      </c>
      <c r="B404" s="162" t="s">
        <v>1119</v>
      </c>
      <c r="C404" s="162" t="s">
        <v>1787</v>
      </c>
      <c r="D404" s="162" t="s">
        <v>1122</v>
      </c>
      <c r="E404" s="162" t="s">
        <v>1707</v>
      </c>
      <c r="F404" s="171">
        <v>61020</v>
      </c>
      <c r="G404" s="141" t="s">
        <v>235</v>
      </c>
      <c r="H404" s="174">
        <v>9</v>
      </c>
      <c r="I404" s="186" t="s">
        <v>955</v>
      </c>
      <c r="M404" s="217" t="s">
        <v>303</v>
      </c>
      <c r="N404" s="183" t="s">
        <v>2031</v>
      </c>
    </row>
    <row r="405" spans="1:15" hidden="1">
      <c r="A405" s="140" t="str">
        <f t="shared" si="6"/>
        <v>05642-00684-00-A13AW</v>
      </c>
      <c r="B405" s="162" t="s">
        <v>1119</v>
      </c>
      <c r="C405" s="162" t="s">
        <v>1788</v>
      </c>
      <c r="D405" s="162" t="s">
        <v>1122</v>
      </c>
      <c r="E405" s="162" t="s">
        <v>654</v>
      </c>
      <c r="F405" s="171">
        <v>52943</v>
      </c>
      <c r="G405" s="141" t="s">
        <v>242</v>
      </c>
      <c r="H405" s="174">
        <v>0</v>
      </c>
      <c r="I405" s="186" t="s">
        <v>245</v>
      </c>
      <c r="N405" s="183" t="s">
        <v>224</v>
      </c>
    </row>
    <row r="406" spans="1:15" hidden="1">
      <c r="A406" s="140" t="str">
        <f t="shared" si="6"/>
        <v>05642-00684-00-A14IW</v>
      </c>
      <c r="B406" s="162" t="s">
        <v>1119</v>
      </c>
      <c r="C406" s="162" t="s">
        <v>1788</v>
      </c>
      <c r="D406" s="162" t="s">
        <v>1122</v>
      </c>
      <c r="E406" s="162" t="s">
        <v>654</v>
      </c>
      <c r="F406" s="171">
        <v>52943</v>
      </c>
      <c r="G406" s="141" t="s">
        <v>242</v>
      </c>
      <c r="H406" s="174">
        <v>0</v>
      </c>
      <c r="I406" s="186" t="s">
        <v>234</v>
      </c>
      <c r="N406" s="183" t="s">
        <v>224</v>
      </c>
    </row>
    <row r="407" spans="1:15" hidden="1">
      <c r="A407" s="140" t="str">
        <f t="shared" si="6"/>
        <v>05642-00684-01-A13AW</v>
      </c>
      <c r="B407" s="162" t="s">
        <v>1119</v>
      </c>
      <c r="C407" s="162" t="s">
        <v>1788</v>
      </c>
      <c r="D407" s="162" t="s">
        <v>1122</v>
      </c>
      <c r="E407" s="162" t="s">
        <v>654</v>
      </c>
      <c r="F407" s="171">
        <v>55338</v>
      </c>
      <c r="G407" s="141" t="s">
        <v>242</v>
      </c>
      <c r="H407" s="174">
        <v>1</v>
      </c>
      <c r="I407" s="210" t="s">
        <v>245</v>
      </c>
      <c r="J407" s="174">
        <v>6</v>
      </c>
      <c r="L407" s="149" t="s">
        <v>950</v>
      </c>
      <c r="M407" s="185"/>
      <c r="O407" s="156"/>
    </row>
    <row r="408" spans="1:15" hidden="1">
      <c r="A408" s="140" t="str">
        <f t="shared" si="6"/>
        <v>05642-00684-01-A14IW</v>
      </c>
      <c r="B408" s="162" t="s">
        <v>1119</v>
      </c>
      <c r="C408" s="162" t="s">
        <v>1788</v>
      </c>
      <c r="D408" s="162" t="s">
        <v>1122</v>
      </c>
      <c r="E408" s="162" t="s">
        <v>654</v>
      </c>
      <c r="F408" s="171">
        <v>55338</v>
      </c>
      <c r="G408" s="141" t="s">
        <v>242</v>
      </c>
      <c r="H408" s="174">
        <v>1</v>
      </c>
      <c r="I408" s="186" t="s">
        <v>234</v>
      </c>
      <c r="J408" s="174">
        <v>5</v>
      </c>
      <c r="L408" s="149"/>
      <c r="M408" s="185"/>
      <c r="O408" s="156"/>
    </row>
    <row r="409" spans="1:15" hidden="1">
      <c r="A409" s="140" t="str">
        <f t="shared" si="6"/>
        <v>05642-00684-02-A14IW</v>
      </c>
      <c r="B409" s="162" t="s">
        <v>1119</v>
      </c>
      <c r="C409" s="162" t="s">
        <v>1788</v>
      </c>
      <c r="D409" s="162" t="s">
        <v>1122</v>
      </c>
      <c r="E409" s="162" t="s">
        <v>654</v>
      </c>
      <c r="F409" s="171">
        <v>60495</v>
      </c>
      <c r="G409" s="141" t="s">
        <v>242</v>
      </c>
      <c r="H409" s="174">
        <v>2</v>
      </c>
      <c r="I409" s="210" t="s">
        <v>234</v>
      </c>
      <c r="M409" s="217" t="s">
        <v>360</v>
      </c>
      <c r="O409" s="143" t="s">
        <v>964</v>
      </c>
    </row>
    <row r="410" spans="1:15" hidden="1">
      <c r="A410" s="140" t="str">
        <f t="shared" si="6"/>
        <v>05642-00684-02-A13AW</v>
      </c>
      <c r="B410" s="162" t="s">
        <v>1119</v>
      </c>
      <c r="C410" s="162" t="s">
        <v>1788</v>
      </c>
      <c r="D410" s="162" t="s">
        <v>1122</v>
      </c>
      <c r="E410" s="162" t="s">
        <v>654</v>
      </c>
      <c r="F410" s="171">
        <v>60495</v>
      </c>
      <c r="G410" s="141" t="s">
        <v>242</v>
      </c>
      <c r="H410" s="174">
        <v>2</v>
      </c>
      <c r="I410" s="210" t="s">
        <v>245</v>
      </c>
      <c r="M410" s="217" t="s">
        <v>360</v>
      </c>
      <c r="O410" s="143" t="s">
        <v>964</v>
      </c>
    </row>
    <row r="411" spans="1:15" hidden="1">
      <c r="A411" s="140" t="str">
        <f t="shared" si="6"/>
        <v>05642-00685-00-A13AW</v>
      </c>
      <c r="B411" s="162" t="s">
        <v>1119</v>
      </c>
      <c r="C411" s="162" t="s">
        <v>473</v>
      </c>
      <c r="D411" s="162" t="s">
        <v>1122</v>
      </c>
      <c r="E411" s="162" t="s">
        <v>654</v>
      </c>
      <c r="F411" s="171">
        <v>52943</v>
      </c>
      <c r="G411" s="141" t="s">
        <v>243</v>
      </c>
      <c r="H411" s="174">
        <v>0</v>
      </c>
      <c r="I411" s="186" t="s">
        <v>245</v>
      </c>
      <c r="N411" s="183" t="s">
        <v>473</v>
      </c>
    </row>
    <row r="412" spans="1:15" hidden="1">
      <c r="A412" s="140" t="str">
        <f t="shared" si="6"/>
        <v>05642-00685-00-A14IW</v>
      </c>
      <c r="B412" s="162" t="s">
        <v>1119</v>
      </c>
      <c r="C412" s="162" t="s">
        <v>473</v>
      </c>
      <c r="D412" s="162" t="s">
        <v>1122</v>
      </c>
      <c r="E412" s="162" t="s">
        <v>654</v>
      </c>
      <c r="F412" s="171">
        <v>52943</v>
      </c>
      <c r="G412" s="141" t="s">
        <v>243</v>
      </c>
      <c r="H412" s="174">
        <v>0</v>
      </c>
      <c r="I412" s="186" t="s">
        <v>234</v>
      </c>
      <c r="N412" s="183" t="s">
        <v>473</v>
      </c>
    </row>
    <row r="413" spans="1:15" hidden="1">
      <c r="A413" s="140" t="str">
        <f t="shared" si="6"/>
        <v>05642-00685-01-A13AW</v>
      </c>
      <c r="B413" s="162" t="s">
        <v>1119</v>
      </c>
      <c r="C413" s="162" t="s">
        <v>473</v>
      </c>
      <c r="D413" s="162" t="s">
        <v>1122</v>
      </c>
      <c r="E413" s="162" t="s">
        <v>654</v>
      </c>
      <c r="F413" s="171">
        <v>55338</v>
      </c>
      <c r="G413" s="141" t="s">
        <v>243</v>
      </c>
      <c r="H413" s="174">
        <v>1</v>
      </c>
      <c r="I413" s="210" t="s">
        <v>245</v>
      </c>
      <c r="J413" s="174">
        <v>6</v>
      </c>
      <c r="L413" s="149" t="s">
        <v>950</v>
      </c>
      <c r="M413" s="185"/>
      <c r="O413" s="156"/>
    </row>
    <row r="414" spans="1:15" hidden="1">
      <c r="A414" s="140" t="str">
        <f t="shared" si="6"/>
        <v>05642-00685-01-A14IW</v>
      </c>
      <c r="B414" s="162" t="s">
        <v>1119</v>
      </c>
      <c r="C414" s="162" t="s">
        <v>473</v>
      </c>
      <c r="D414" s="162" t="s">
        <v>1122</v>
      </c>
      <c r="E414" s="162" t="s">
        <v>654</v>
      </c>
      <c r="F414" s="171">
        <v>55338</v>
      </c>
      <c r="G414" s="141" t="s">
        <v>243</v>
      </c>
      <c r="H414" s="174">
        <v>1</v>
      </c>
      <c r="I414" s="186" t="s">
        <v>234</v>
      </c>
      <c r="J414" s="174">
        <v>5</v>
      </c>
      <c r="L414" s="149"/>
      <c r="M414" s="185"/>
      <c r="O414" s="156"/>
    </row>
    <row r="415" spans="1:15" hidden="1">
      <c r="A415" s="140" t="str">
        <f t="shared" si="6"/>
        <v>05642-00685-02-A13AW</v>
      </c>
      <c r="B415" s="162" t="s">
        <v>1119</v>
      </c>
      <c r="C415" s="162" t="s">
        <v>473</v>
      </c>
      <c r="D415" s="162" t="s">
        <v>1122</v>
      </c>
      <c r="E415" s="162" t="s">
        <v>654</v>
      </c>
      <c r="F415" s="171">
        <v>55576</v>
      </c>
      <c r="G415" s="141" t="s">
        <v>243</v>
      </c>
      <c r="H415" s="174">
        <v>2</v>
      </c>
      <c r="I415" s="186" t="s">
        <v>956</v>
      </c>
      <c r="J415" s="174">
        <v>6</v>
      </c>
      <c r="L415" s="187" t="s">
        <v>950</v>
      </c>
    </row>
    <row r="416" spans="1:15" hidden="1">
      <c r="A416" s="140" t="str">
        <f t="shared" si="6"/>
        <v>05642-00685-02-A14IW</v>
      </c>
      <c r="B416" s="162" t="s">
        <v>1119</v>
      </c>
      <c r="C416" s="162" t="s">
        <v>473</v>
      </c>
      <c r="D416" s="162" t="s">
        <v>1122</v>
      </c>
      <c r="E416" s="162" t="s">
        <v>654</v>
      </c>
      <c r="F416" s="171">
        <v>55576</v>
      </c>
      <c r="G416" s="141" t="s">
        <v>243</v>
      </c>
      <c r="H416" s="174">
        <v>2</v>
      </c>
      <c r="I416" s="186" t="s">
        <v>955</v>
      </c>
      <c r="J416" s="174">
        <v>7</v>
      </c>
      <c r="O416" s="156"/>
    </row>
    <row r="417" spans="1:15" ht="14.25" hidden="1" thickBot="1">
      <c r="A417" s="140" t="str">
        <f t="shared" si="6"/>
        <v>05642-00685-03-A13AW</v>
      </c>
      <c r="B417" s="162" t="s">
        <v>1119</v>
      </c>
      <c r="C417" s="162" t="s">
        <v>473</v>
      </c>
      <c r="D417" s="162" t="s">
        <v>1122</v>
      </c>
      <c r="E417" s="162" t="s">
        <v>654</v>
      </c>
      <c r="F417" s="171">
        <v>56128</v>
      </c>
      <c r="G417" s="141" t="s">
        <v>243</v>
      </c>
      <c r="H417" s="174">
        <v>3</v>
      </c>
      <c r="I417" s="203" t="s">
        <v>245</v>
      </c>
      <c r="J417" s="174">
        <v>6</v>
      </c>
      <c r="K417" s="174">
        <v>6</v>
      </c>
    </row>
    <row r="418" spans="1:15" hidden="1">
      <c r="A418" s="140" t="str">
        <f t="shared" si="6"/>
        <v>05642-00685-03-A14IW</v>
      </c>
      <c r="B418" s="162" t="s">
        <v>1119</v>
      </c>
      <c r="C418" s="162" t="s">
        <v>473</v>
      </c>
      <c r="D418" s="162" t="s">
        <v>1122</v>
      </c>
      <c r="E418" s="162" t="s">
        <v>654</v>
      </c>
      <c r="F418" s="171">
        <v>56128</v>
      </c>
      <c r="G418" s="141" t="s">
        <v>243</v>
      </c>
      <c r="H418" s="174">
        <v>3</v>
      </c>
      <c r="I418" s="186" t="s">
        <v>234</v>
      </c>
      <c r="J418" s="174">
        <v>146</v>
      </c>
      <c r="K418" s="174">
        <v>146</v>
      </c>
    </row>
    <row r="419" spans="1:15" hidden="1">
      <c r="A419" s="140" t="str">
        <f t="shared" si="6"/>
        <v>05642-00685-04-A13AW</v>
      </c>
      <c r="B419" s="162" t="s">
        <v>1119</v>
      </c>
      <c r="C419" s="162" t="s">
        <v>473</v>
      </c>
      <c r="D419" s="162" t="s">
        <v>1122</v>
      </c>
      <c r="E419" s="162" t="s">
        <v>654</v>
      </c>
      <c r="F419" s="171">
        <v>60495</v>
      </c>
      <c r="G419" s="141" t="s">
        <v>243</v>
      </c>
      <c r="H419" s="174">
        <v>4</v>
      </c>
      <c r="I419" s="210" t="s">
        <v>245</v>
      </c>
      <c r="M419" s="217" t="s">
        <v>298</v>
      </c>
      <c r="O419" s="143" t="s">
        <v>964</v>
      </c>
    </row>
    <row r="420" spans="1:15" hidden="1">
      <c r="A420" s="140" t="str">
        <f t="shared" si="6"/>
        <v>05642-00685-04-A14IW</v>
      </c>
      <c r="B420" s="162" t="s">
        <v>1119</v>
      </c>
      <c r="C420" s="162" t="s">
        <v>473</v>
      </c>
      <c r="D420" s="162" t="s">
        <v>1122</v>
      </c>
      <c r="E420" s="162" t="s">
        <v>654</v>
      </c>
      <c r="F420" s="171">
        <v>60495</v>
      </c>
      <c r="G420" s="141" t="s">
        <v>243</v>
      </c>
      <c r="H420" s="174">
        <v>4</v>
      </c>
      <c r="I420" s="210" t="s">
        <v>234</v>
      </c>
      <c r="M420" s="217" t="s">
        <v>298</v>
      </c>
      <c r="O420" s="143" t="s">
        <v>964</v>
      </c>
    </row>
    <row r="421" spans="1:15" hidden="1">
      <c r="A421" s="140" t="str">
        <f t="shared" si="6"/>
        <v>05642-00924-00-A14IW</v>
      </c>
      <c r="B421" s="162" t="s">
        <v>1119</v>
      </c>
      <c r="C421" s="162" t="s">
        <v>1787</v>
      </c>
      <c r="D421" s="162" t="s">
        <v>1122</v>
      </c>
      <c r="E421" s="162" t="s">
        <v>1707</v>
      </c>
      <c r="F421" s="171">
        <v>56013</v>
      </c>
      <c r="G421" s="141" t="s">
        <v>236</v>
      </c>
      <c r="H421" s="174">
        <v>0</v>
      </c>
      <c r="I421" s="186" t="s">
        <v>234</v>
      </c>
      <c r="J421" s="174">
        <v>116</v>
      </c>
      <c r="K421" s="174">
        <v>116</v>
      </c>
      <c r="N421" s="183" t="s">
        <v>470</v>
      </c>
      <c r="O421" s="156"/>
    </row>
    <row r="422" spans="1:15" hidden="1">
      <c r="A422" s="140" t="str">
        <f t="shared" si="6"/>
        <v>05642-00924-01-A14IW</v>
      </c>
      <c r="B422" s="162" t="s">
        <v>1119</v>
      </c>
      <c r="C422" s="162" t="s">
        <v>1787</v>
      </c>
      <c r="D422" s="162" t="s">
        <v>1122</v>
      </c>
      <c r="E422" s="162" t="s">
        <v>1707</v>
      </c>
      <c r="F422" s="171">
        <v>56440</v>
      </c>
      <c r="G422" s="141" t="s">
        <v>236</v>
      </c>
      <c r="H422" s="174">
        <v>1</v>
      </c>
      <c r="I422" s="186" t="s">
        <v>234</v>
      </c>
      <c r="J422" s="174">
        <v>274</v>
      </c>
      <c r="K422" s="174">
        <v>274</v>
      </c>
      <c r="O422" s="156"/>
    </row>
    <row r="423" spans="1:15" hidden="1">
      <c r="A423" s="140" t="str">
        <f t="shared" si="6"/>
        <v>05642-00924-02-A14IW</v>
      </c>
      <c r="B423" s="162" t="s">
        <v>1119</v>
      </c>
      <c r="C423" s="162" t="s">
        <v>1787</v>
      </c>
      <c r="D423" s="162" t="s">
        <v>1122</v>
      </c>
      <c r="E423" s="162" t="s">
        <v>1707</v>
      </c>
      <c r="F423" s="171">
        <v>60245</v>
      </c>
      <c r="G423" s="141" t="s">
        <v>236</v>
      </c>
      <c r="H423" s="174">
        <v>2</v>
      </c>
      <c r="I423" s="186" t="s">
        <v>955</v>
      </c>
      <c r="J423" s="174">
        <v>505</v>
      </c>
      <c r="K423" s="174">
        <v>505</v>
      </c>
      <c r="O423" s="156"/>
    </row>
    <row r="424" spans="1:15" hidden="1">
      <c r="A424" s="140" t="str">
        <f t="shared" si="6"/>
        <v>05642-00924-03-A14IW</v>
      </c>
      <c r="B424" s="162" t="s">
        <v>1119</v>
      </c>
      <c r="C424" s="162" t="s">
        <v>1787</v>
      </c>
      <c r="D424" s="162" t="s">
        <v>1122</v>
      </c>
      <c r="E424" s="162" t="s">
        <v>1707</v>
      </c>
      <c r="F424" s="171">
        <v>60495</v>
      </c>
      <c r="G424" s="141" t="s">
        <v>236</v>
      </c>
      <c r="H424" s="174">
        <v>3</v>
      </c>
      <c r="I424" s="210" t="s">
        <v>955</v>
      </c>
      <c r="O424" s="143" t="s">
        <v>964</v>
      </c>
    </row>
    <row r="425" spans="1:15" hidden="1">
      <c r="A425" s="140" t="str">
        <f t="shared" si="6"/>
        <v>05642-00924-04-A14IW</v>
      </c>
      <c r="B425" s="162" t="s">
        <v>1119</v>
      </c>
      <c r="C425" s="162" t="s">
        <v>1787</v>
      </c>
      <c r="D425" s="162" t="s">
        <v>1122</v>
      </c>
      <c r="E425" s="162" t="s">
        <v>1707</v>
      </c>
      <c r="F425" s="171">
        <v>61020</v>
      </c>
      <c r="G425" s="141" t="s">
        <v>236</v>
      </c>
      <c r="H425" s="174">
        <v>4</v>
      </c>
      <c r="I425" s="186" t="s">
        <v>955</v>
      </c>
      <c r="M425" s="217" t="s">
        <v>303</v>
      </c>
    </row>
    <row r="426" spans="1:15" hidden="1">
      <c r="A426" s="140" t="str">
        <f t="shared" si="6"/>
        <v>05642-00998-00-A14IW</v>
      </c>
      <c r="B426" s="162" t="s">
        <v>1119</v>
      </c>
      <c r="C426" s="162" t="s">
        <v>1787</v>
      </c>
      <c r="D426" s="162" t="s">
        <v>1122</v>
      </c>
      <c r="E426" s="162" t="s">
        <v>1707</v>
      </c>
      <c r="F426" s="171">
        <v>61312</v>
      </c>
      <c r="G426" s="141" t="s">
        <v>238</v>
      </c>
      <c r="H426" s="174">
        <v>0</v>
      </c>
      <c r="I426" s="186" t="s">
        <v>234</v>
      </c>
      <c r="J426" s="174">
        <v>1139</v>
      </c>
      <c r="K426" s="174">
        <v>1139</v>
      </c>
      <c r="O426" s="156"/>
    </row>
    <row r="427" spans="1:15" hidden="1">
      <c r="A427" s="140" t="str">
        <f t="shared" si="6"/>
        <v>05642-00998-01-A14IW</v>
      </c>
      <c r="B427" s="162" t="s">
        <v>1119</v>
      </c>
      <c r="C427" s="162" t="s">
        <v>1787</v>
      </c>
      <c r="D427" s="162" t="s">
        <v>1122</v>
      </c>
      <c r="E427" s="162" t="s">
        <v>1707</v>
      </c>
      <c r="F427" s="171">
        <v>61591</v>
      </c>
      <c r="G427" s="141" t="s">
        <v>238</v>
      </c>
      <c r="H427" s="174">
        <v>1</v>
      </c>
      <c r="I427" s="186" t="s">
        <v>234</v>
      </c>
      <c r="J427" s="174">
        <v>1139</v>
      </c>
      <c r="K427" s="174">
        <v>1139</v>
      </c>
      <c r="M427" s="217" t="s">
        <v>433</v>
      </c>
      <c r="O427" s="156"/>
    </row>
    <row r="428" spans="1:15" hidden="1">
      <c r="A428" s="140" t="str">
        <f t="shared" si="6"/>
        <v>05642-00998-02-A14IW</v>
      </c>
      <c r="B428" s="162" t="s">
        <v>1119</v>
      </c>
      <c r="C428" s="162" t="s">
        <v>1787</v>
      </c>
      <c r="D428" s="162" t="s">
        <v>1122</v>
      </c>
      <c r="E428" s="162" t="s">
        <v>1707</v>
      </c>
      <c r="F428" s="171">
        <v>62444</v>
      </c>
      <c r="G428" s="141" t="s">
        <v>238</v>
      </c>
      <c r="H428" s="174">
        <v>2</v>
      </c>
      <c r="I428" s="186" t="s">
        <v>234</v>
      </c>
      <c r="K428" s="174">
        <v>1355</v>
      </c>
      <c r="O428" s="156"/>
    </row>
    <row r="429" spans="1:15" hidden="1">
      <c r="A429" s="140" t="str">
        <f t="shared" si="6"/>
        <v>05642-00999-00-A14IW</v>
      </c>
      <c r="B429" s="162" t="s">
        <v>1119</v>
      </c>
      <c r="C429" s="162" t="s">
        <v>1787</v>
      </c>
      <c r="D429" s="162" t="s">
        <v>1122</v>
      </c>
      <c r="E429" s="162" t="s">
        <v>1707</v>
      </c>
      <c r="F429" s="171">
        <v>61312</v>
      </c>
      <c r="G429" s="141" t="s">
        <v>240</v>
      </c>
      <c r="H429" s="174">
        <v>0</v>
      </c>
      <c r="I429" s="186" t="s">
        <v>967</v>
      </c>
      <c r="J429" s="174">
        <v>1139</v>
      </c>
      <c r="K429" s="174">
        <v>1139</v>
      </c>
      <c r="O429" s="156"/>
    </row>
    <row r="430" spans="1:15" hidden="1">
      <c r="A430" s="140" t="str">
        <f t="shared" si="6"/>
        <v>05642-00999-01-A14IW</v>
      </c>
      <c r="B430" s="162" t="s">
        <v>1119</v>
      </c>
      <c r="C430" s="162" t="s">
        <v>1787</v>
      </c>
      <c r="D430" s="162" t="s">
        <v>1122</v>
      </c>
      <c r="E430" s="162" t="s">
        <v>1707</v>
      </c>
      <c r="F430" s="171">
        <v>61591</v>
      </c>
      <c r="G430" s="141" t="s">
        <v>240</v>
      </c>
      <c r="H430" s="174">
        <v>1</v>
      </c>
      <c r="I430" s="186" t="s">
        <v>234</v>
      </c>
      <c r="J430" s="174">
        <v>1139</v>
      </c>
      <c r="K430" s="174">
        <v>1139</v>
      </c>
      <c r="M430" s="217" t="s">
        <v>433</v>
      </c>
      <c r="O430" s="156"/>
    </row>
    <row r="431" spans="1:15" hidden="1">
      <c r="A431" s="140" t="str">
        <f t="shared" si="6"/>
        <v>05642-00999-02-A14IW</v>
      </c>
      <c r="B431" s="162" t="s">
        <v>1119</v>
      </c>
      <c r="C431" s="162" t="s">
        <v>1787</v>
      </c>
      <c r="D431" s="162" t="s">
        <v>1122</v>
      </c>
      <c r="E431" s="162" t="s">
        <v>1707</v>
      </c>
      <c r="F431" s="171">
        <v>62444</v>
      </c>
      <c r="G431" s="141" t="s">
        <v>240</v>
      </c>
      <c r="H431" s="174">
        <v>2</v>
      </c>
      <c r="I431" s="186" t="s">
        <v>234</v>
      </c>
      <c r="K431" s="174">
        <v>1355</v>
      </c>
      <c r="O431" s="156"/>
    </row>
    <row r="432" spans="1:15" ht="27" hidden="1">
      <c r="A432" s="140" t="str">
        <f t="shared" si="6"/>
        <v>05642-01054-00-A14IW</v>
      </c>
      <c r="B432" s="162" t="s">
        <v>1119</v>
      </c>
      <c r="C432" s="162" t="s">
        <v>1787</v>
      </c>
      <c r="D432" s="162" t="s">
        <v>1122</v>
      </c>
      <c r="E432" s="162" t="s">
        <v>1707</v>
      </c>
      <c r="F432" s="171">
        <v>63173</v>
      </c>
      <c r="G432" s="141" t="s">
        <v>1708</v>
      </c>
      <c r="H432" s="174">
        <v>0</v>
      </c>
      <c r="I432" s="188" t="s">
        <v>1671</v>
      </c>
      <c r="J432" s="174">
        <v>1868</v>
      </c>
      <c r="M432" s="217" t="s">
        <v>47</v>
      </c>
      <c r="N432" s="183" t="s">
        <v>1904</v>
      </c>
    </row>
    <row r="433" spans="1:20" ht="40.5" hidden="1">
      <c r="A433" s="140" t="str">
        <f t="shared" si="6"/>
        <v>05642-01054-01-A14IW</v>
      </c>
      <c r="B433" s="162" t="s">
        <v>1119</v>
      </c>
      <c r="C433" s="162" t="s">
        <v>1787</v>
      </c>
      <c r="D433" s="162" t="s">
        <v>1122</v>
      </c>
      <c r="E433" s="162" t="s">
        <v>1707</v>
      </c>
      <c r="F433" s="171">
        <v>63514</v>
      </c>
      <c r="G433" s="141" t="s">
        <v>1708</v>
      </c>
      <c r="H433" s="174">
        <v>1</v>
      </c>
      <c r="I433" s="188" t="s">
        <v>1671</v>
      </c>
      <c r="J433" s="174">
        <v>1868</v>
      </c>
      <c r="M433" s="217" t="s">
        <v>673</v>
      </c>
      <c r="N433" s="183" t="s">
        <v>1905</v>
      </c>
    </row>
    <row r="434" spans="1:20" ht="27" hidden="1">
      <c r="A434" s="140" t="str">
        <f t="shared" si="6"/>
        <v>05642-01061-00-A14IW</v>
      </c>
      <c r="B434" s="162" t="s">
        <v>1119</v>
      </c>
      <c r="C434" s="162" t="s">
        <v>1787</v>
      </c>
      <c r="D434" s="162" t="s">
        <v>1122</v>
      </c>
      <c r="E434" s="162" t="s">
        <v>1707</v>
      </c>
      <c r="F434" s="171">
        <v>63173</v>
      </c>
      <c r="G434" s="141" t="s">
        <v>1713</v>
      </c>
      <c r="H434" s="174">
        <v>0</v>
      </c>
      <c r="I434" s="186" t="s">
        <v>1712</v>
      </c>
      <c r="J434" s="174">
        <v>1868</v>
      </c>
      <c r="M434" s="217" t="s">
        <v>47</v>
      </c>
      <c r="N434" s="183" t="s">
        <v>1904</v>
      </c>
    </row>
    <row r="435" spans="1:20" ht="40.5" hidden="1">
      <c r="A435" s="140" t="str">
        <f t="shared" si="6"/>
        <v>05642-01061-01-A14IW</v>
      </c>
      <c r="B435" s="162" t="s">
        <v>1119</v>
      </c>
      <c r="C435" s="162" t="s">
        <v>1787</v>
      </c>
      <c r="D435" s="162" t="s">
        <v>1122</v>
      </c>
      <c r="E435" s="162" t="s">
        <v>1707</v>
      </c>
      <c r="F435" s="171">
        <v>63514</v>
      </c>
      <c r="G435" s="141" t="s">
        <v>1713</v>
      </c>
      <c r="H435" s="174">
        <v>1</v>
      </c>
      <c r="I435" s="186" t="s">
        <v>1712</v>
      </c>
      <c r="J435" s="174">
        <v>1868</v>
      </c>
      <c r="M435" s="217" t="s">
        <v>673</v>
      </c>
      <c r="N435" s="183" t="s">
        <v>1905</v>
      </c>
    </row>
    <row r="436" spans="1:20" ht="27" hidden="1">
      <c r="A436" s="140" t="str">
        <f t="shared" si="6"/>
        <v>05642-57920-00-A14D-1</v>
      </c>
      <c r="B436" s="162" t="s">
        <v>1119</v>
      </c>
      <c r="C436" s="162" t="s">
        <v>1787</v>
      </c>
      <c r="D436" s="162" t="s">
        <v>1122</v>
      </c>
      <c r="F436" s="171">
        <v>33269</v>
      </c>
      <c r="G436" s="141" t="s">
        <v>479</v>
      </c>
      <c r="H436" s="174">
        <v>0</v>
      </c>
      <c r="I436" s="186" t="s">
        <v>480</v>
      </c>
      <c r="J436" s="174">
        <v>1213</v>
      </c>
      <c r="K436" s="174">
        <v>0</v>
      </c>
      <c r="N436" s="183" t="s">
        <v>1873</v>
      </c>
    </row>
    <row r="437" spans="1:20" hidden="1">
      <c r="A437" s="140" t="str">
        <f t="shared" si="6"/>
        <v>05642-57920-01-A11D</v>
      </c>
      <c r="B437" s="162" t="s">
        <v>1119</v>
      </c>
      <c r="C437" s="162" t="s">
        <v>1787</v>
      </c>
      <c r="D437" s="162" t="s">
        <v>1122</v>
      </c>
      <c r="F437" s="171">
        <v>33453</v>
      </c>
      <c r="G437" s="141" t="s">
        <v>479</v>
      </c>
      <c r="H437" s="174">
        <v>1</v>
      </c>
      <c r="I437" s="186" t="s">
        <v>482</v>
      </c>
      <c r="J437" s="174">
        <v>-1</v>
      </c>
      <c r="K437" s="174">
        <v>0</v>
      </c>
      <c r="R437" s="146"/>
      <c r="S437" s="147"/>
      <c r="T437" s="148"/>
    </row>
    <row r="438" spans="1:20" hidden="1">
      <c r="A438" s="140" t="str">
        <f t="shared" si="6"/>
        <v>05642-57920-01-A14D-1</v>
      </c>
      <c r="B438" s="162" t="s">
        <v>1119</v>
      </c>
      <c r="C438" s="162" t="s">
        <v>1787</v>
      </c>
      <c r="D438" s="162" t="s">
        <v>1122</v>
      </c>
      <c r="F438" s="171">
        <v>33453</v>
      </c>
      <c r="G438" s="141" t="s">
        <v>479</v>
      </c>
      <c r="H438" s="174">
        <v>1</v>
      </c>
      <c r="I438" s="186" t="s">
        <v>480</v>
      </c>
      <c r="J438" s="174">
        <v>-1</v>
      </c>
      <c r="K438" s="174">
        <v>0</v>
      </c>
      <c r="R438" s="146"/>
      <c r="S438" s="147"/>
      <c r="T438" s="148"/>
    </row>
    <row r="439" spans="1:20" hidden="1">
      <c r="A439" s="140" t="str">
        <f t="shared" si="6"/>
        <v>05642-57920-01-A25D</v>
      </c>
      <c r="B439" s="162" t="s">
        <v>1119</v>
      </c>
      <c r="C439" s="162" t="s">
        <v>1787</v>
      </c>
      <c r="D439" s="162" t="s">
        <v>1122</v>
      </c>
      <c r="F439" s="171">
        <v>33453</v>
      </c>
      <c r="G439" s="141" t="s">
        <v>479</v>
      </c>
      <c r="H439" s="174">
        <v>1</v>
      </c>
      <c r="I439" s="186" t="s">
        <v>483</v>
      </c>
      <c r="J439" s="174">
        <v>-1</v>
      </c>
      <c r="K439" s="174">
        <v>0</v>
      </c>
      <c r="R439" s="146"/>
      <c r="S439" s="147"/>
      <c r="T439" s="148"/>
    </row>
    <row r="440" spans="1:20" ht="40.5" hidden="1" customHeight="1">
      <c r="A440" s="140" t="str">
        <f t="shared" si="6"/>
        <v>05642-57920-01-A9D</v>
      </c>
      <c r="B440" s="162" t="s">
        <v>1119</v>
      </c>
      <c r="C440" s="162" t="s">
        <v>1787</v>
      </c>
      <c r="D440" s="162" t="s">
        <v>1122</v>
      </c>
      <c r="F440" s="171">
        <v>33453</v>
      </c>
      <c r="G440" s="141" t="s">
        <v>479</v>
      </c>
      <c r="H440" s="174">
        <v>1</v>
      </c>
      <c r="I440" s="186" t="s">
        <v>484</v>
      </c>
      <c r="J440" s="174">
        <v>-1</v>
      </c>
      <c r="K440" s="174">
        <v>0</v>
      </c>
      <c r="R440" s="146"/>
      <c r="S440" s="147"/>
      <c r="T440" s="148"/>
    </row>
    <row r="441" spans="1:20" hidden="1">
      <c r="A441" s="140" t="str">
        <f t="shared" si="6"/>
        <v>05642-57920-02-A11D</v>
      </c>
      <c r="B441" s="162" t="s">
        <v>1119</v>
      </c>
      <c r="C441" s="162" t="s">
        <v>1787</v>
      </c>
      <c r="D441" s="162" t="s">
        <v>1122</v>
      </c>
      <c r="F441" s="171">
        <v>40059</v>
      </c>
      <c r="G441" s="141" t="s">
        <v>479</v>
      </c>
      <c r="H441" s="174">
        <v>2</v>
      </c>
      <c r="I441" s="186" t="s">
        <v>482</v>
      </c>
      <c r="J441" s="174" t="s">
        <v>47</v>
      </c>
      <c r="R441" s="146"/>
      <c r="S441" s="147"/>
      <c r="T441" s="148"/>
    </row>
    <row r="442" spans="1:20" hidden="1">
      <c r="A442" s="140" t="str">
        <f t="shared" si="6"/>
        <v>05642-57920-02-A14D-1</v>
      </c>
      <c r="B442" s="162" t="s">
        <v>1119</v>
      </c>
      <c r="C442" s="162" t="s">
        <v>1787</v>
      </c>
      <c r="D442" s="162" t="s">
        <v>1122</v>
      </c>
      <c r="F442" s="171">
        <v>40059</v>
      </c>
      <c r="G442" s="141" t="s">
        <v>479</v>
      </c>
      <c r="H442" s="174">
        <v>2</v>
      </c>
      <c r="I442" s="186" t="s">
        <v>480</v>
      </c>
      <c r="J442" s="174" t="s">
        <v>47</v>
      </c>
      <c r="R442" s="146"/>
      <c r="S442" s="147"/>
      <c r="T442" s="148"/>
    </row>
    <row r="443" spans="1:20" hidden="1">
      <c r="A443" s="140" t="str">
        <f t="shared" ref="A443:A505" si="7">G443&amp;"-"&amp;TEXT(H443,"00")&amp;"-"&amp;I443</f>
        <v>05642-57920-02-A25D</v>
      </c>
      <c r="B443" s="162" t="s">
        <v>1119</v>
      </c>
      <c r="C443" s="162" t="s">
        <v>1787</v>
      </c>
      <c r="D443" s="162" t="s">
        <v>1122</v>
      </c>
      <c r="F443" s="171">
        <v>40059</v>
      </c>
      <c r="G443" s="141" t="s">
        <v>479</v>
      </c>
      <c r="H443" s="174">
        <v>2</v>
      </c>
      <c r="I443" s="186" t="s">
        <v>483</v>
      </c>
      <c r="J443" s="174" t="s">
        <v>47</v>
      </c>
      <c r="R443" s="146"/>
      <c r="S443" s="147"/>
      <c r="T443" s="148"/>
    </row>
    <row r="444" spans="1:20" hidden="1">
      <c r="A444" s="140" t="str">
        <f t="shared" si="7"/>
        <v>05642-57920-02-A9D</v>
      </c>
      <c r="B444" s="162" t="s">
        <v>1119</v>
      </c>
      <c r="C444" s="162" t="s">
        <v>1787</v>
      </c>
      <c r="D444" s="162" t="s">
        <v>1122</v>
      </c>
      <c r="F444" s="171">
        <v>40059</v>
      </c>
      <c r="G444" s="141" t="s">
        <v>479</v>
      </c>
      <c r="H444" s="174">
        <v>2</v>
      </c>
      <c r="I444" s="186" t="s">
        <v>484</v>
      </c>
      <c r="J444" s="174" t="s">
        <v>47</v>
      </c>
      <c r="R444" s="146"/>
      <c r="S444" s="147"/>
      <c r="T444" s="148"/>
    </row>
    <row r="445" spans="1:20" hidden="1">
      <c r="A445" s="140" t="str">
        <f t="shared" si="7"/>
        <v>05642-65120-00-A14FW</v>
      </c>
      <c r="B445" s="162" t="s">
        <v>1119</v>
      </c>
      <c r="C445" s="162" t="s">
        <v>1787</v>
      </c>
      <c r="D445" s="162" t="s">
        <v>1122</v>
      </c>
      <c r="F445" s="171">
        <v>41019</v>
      </c>
      <c r="G445" s="141" t="s">
        <v>490</v>
      </c>
      <c r="H445" s="174">
        <v>0</v>
      </c>
      <c r="I445" s="186" t="s">
        <v>52</v>
      </c>
      <c r="J445" s="174">
        <v>3</v>
      </c>
      <c r="R445" s="146"/>
      <c r="S445" s="147"/>
      <c r="T445" s="148"/>
    </row>
    <row r="446" spans="1:20" hidden="1">
      <c r="A446" s="140" t="str">
        <f t="shared" si="7"/>
        <v>05642-65120-01-A14FW</v>
      </c>
      <c r="B446" s="162" t="s">
        <v>1119</v>
      </c>
      <c r="C446" s="162" t="s">
        <v>1787</v>
      </c>
      <c r="D446" s="162" t="s">
        <v>1122</v>
      </c>
      <c r="F446" s="171">
        <v>41714</v>
      </c>
      <c r="G446" s="141" t="s">
        <v>490</v>
      </c>
      <c r="H446" s="174">
        <v>1</v>
      </c>
      <c r="I446" s="186" t="s">
        <v>52</v>
      </c>
      <c r="J446" s="174">
        <v>32</v>
      </c>
      <c r="R446" s="146"/>
      <c r="S446" s="147"/>
      <c r="T446" s="148"/>
    </row>
    <row r="447" spans="1:20" ht="27" hidden="1">
      <c r="A447" s="140" t="str">
        <f t="shared" si="7"/>
        <v>05742-00038-00-A25E</v>
      </c>
      <c r="B447" s="162" t="s">
        <v>1119</v>
      </c>
      <c r="C447" s="162" t="s">
        <v>1787</v>
      </c>
      <c r="D447" s="162" t="s">
        <v>1122</v>
      </c>
      <c r="F447" s="171">
        <v>42074</v>
      </c>
      <c r="G447" s="141" t="s">
        <v>498</v>
      </c>
      <c r="H447" s="174">
        <v>0</v>
      </c>
      <c r="I447" s="186" t="s">
        <v>359</v>
      </c>
      <c r="J447" s="174">
        <v>54</v>
      </c>
      <c r="M447" s="217" t="s">
        <v>1134</v>
      </c>
      <c r="N447" s="183" t="s">
        <v>1920</v>
      </c>
      <c r="R447" s="146"/>
      <c r="S447" s="147"/>
      <c r="T447" s="148"/>
    </row>
    <row r="448" spans="1:20" hidden="1">
      <c r="A448" s="140" t="str">
        <f t="shared" si="7"/>
        <v>05742-00042-00-A25E</v>
      </c>
      <c r="B448" s="162" t="s">
        <v>1119</v>
      </c>
      <c r="C448" s="162" t="s">
        <v>1787</v>
      </c>
      <c r="D448" s="162" t="s">
        <v>1122</v>
      </c>
      <c r="F448" s="171">
        <v>42834</v>
      </c>
      <c r="G448" s="141" t="s">
        <v>516</v>
      </c>
      <c r="H448" s="174">
        <v>0</v>
      </c>
      <c r="I448" s="188" t="s">
        <v>515</v>
      </c>
      <c r="J448" s="174">
        <v>213</v>
      </c>
      <c r="N448" s="183" t="s">
        <v>31</v>
      </c>
      <c r="R448" s="146"/>
      <c r="S448" s="147"/>
      <c r="T448" s="148"/>
    </row>
    <row r="449" spans="1:20" hidden="1">
      <c r="A449" s="140" t="str">
        <f t="shared" si="7"/>
        <v>05742-00042-01-A25E</v>
      </c>
      <c r="B449" s="162" t="s">
        <v>1119</v>
      </c>
      <c r="C449" s="162" t="s">
        <v>1787</v>
      </c>
      <c r="D449" s="162" t="s">
        <v>1122</v>
      </c>
      <c r="F449" s="171">
        <v>55511</v>
      </c>
      <c r="G449" s="142" t="s">
        <v>107</v>
      </c>
      <c r="H449" s="174">
        <v>1</v>
      </c>
      <c r="I449" s="186" t="s">
        <v>359</v>
      </c>
      <c r="M449" s="217" t="s">
        <v>360</v>
      </c>
    </row>
    <row r="450" spans="1:20" hidden="1">
      <c r="A450" s="140" t="str">
        <f t="shared" si="7"/>
        <v>05742-00045-00-A25E</v>
      </c>
      <c r="B450" s="162" t="s">
        <v>1119</v>
      </c>
      <c r="C450" s="162" t="s">
        <v>1787</v>
      </c>
      <c r="D450" s="162" t="s">
        <v>1122</v>
      </c>
      <c r="F450" s="171">
        <v>42834</v>
      </c>
      <c r="G450" s="141" t="s">
        <v>517</v>
      </c>
      <c r="H450" s="174">
        <v>0</v>
      </c>
      <c r="I450" s="188" t="s">
        <v>515</v>
      </c>
      <c r="J450" s="174">
        <v>213</v>
      </c>
      <c r="N450" s="183" t="s">
        <v>31</v>
      </c>
      <c r="R450" s="146"/>
      <c r="S450" s="147"/>
      <c r="T450" s="148"/>
    </row>
    <row r="451" spans="1:20" hidden="1">
      <c r="A451" s="140" t="str">
        <f t="shared" si="7"/>
        <v>05742-00045-01-A25E</v>
      </c>
      <c r="B451" s="162" t="s">
        <v>1119</v>
      </c>
      <c r="C451" s="162" t="s">
        <v>1787</v>
      </c>
      <c r="D451" s="162" t="s">
        <v>1122</v>
      </c>
      <c r="F451" s="171">
        <v>55511</v>
      </c>
      <c r="G451" s="141" t="s">
        <v>112</v>
      </c>
      <c r="H451" s="174">
        <v>1</v>
      </c>
      <c r="I451" s="186" t="s">
        <v>359</v>
      </c>
      <c r="M451" s="217" t="s">
        <v>360</v>
      </c>
    </row>
    <row r="452" spans="1:20" hidden="1">
      <c r="A452" s="140" t="str">
        <f t="shared" si="7"/>
        <v>05742-00048-00-A25EW</v>
      </c>
      <c r="B452" s="162" t="s">
        <v>1119</v>
      </c>
      <c r="C452" s="162" t="s">
        <v>1787</v>
      </c>
      <c r="D452" s="162" t="s">
        <v>1122</v>
      </c>
      <c r="F452" s="171">
        <v>42834</v>
      </c>
      <c r="G452" s="141" t="s">
        <v>518</v>
      </c>
      <c r="H452" s="174">
        <v>0</v>
      </c>
      <c r="I452" s="188" t="s">
        <v>519</v>
      </c>
      <c r="J452" s="174">
        <v>42</v>
      </c>
      <c r="N452" s="183" t="s">
        <v>31</v>
      </c>
      <c r="R452" s="146"/>
      <c r="S452" s="147"/>
      <c r="T452" s="148"/>
    </row>
    <row r="453" spans="1:20" hidden="1">
      <c r="A453" s="140" t="str">
        <f t="shared" si="7"/>
        <v>05742-00048-01-A25EW</v>
      </c>
      <c r="B453" s="162" t="s">
        <v>1119</v>
      </c>
      <c r="C453" s="162" t="s">
        <v>1787</v>
      </c>
      <c r="D453" s="162" t="s">
        <v>1122</v>
      </c>
      <c r="F453" s="171">
        <v>43461</v>
      </c>
      <c r="G453" s="141" t="s">
        <v>115</v>
      </c>
      <c r="H453" s="174">
        <v>1</v>
      </c>
      <c r="I453" s="188" t="s">
        <v>519</v>
      </c>
      <c r="J453" s="174" t="s">
        <v>512</v>
      </c>
      <c r="T453" s="148"/>
    </row>
    <row r="454" spans="1:20" hidden="1">
      <c r="A454" s="140" t="str">
        <f t="shared" si="7"/>
        <v>05742-00048-02-A25EW</v>
      </c>
      <c r="B454" s="162" t="s">
        <v>1119</v>
      </c>
      <c r="C454" s="162" t="s">
        <v>1787</v>
      </c>
      <c r="D454" s="162" t="s">
        <v>1122</v>
      </c>
      <c r="F454" s="171">
        <v>55511</v>
      </c>
      <c r="G454" s="141" t="s">
        <v>115</v>
      </c>
      <c r="H454" s="174">
        <v>2</v>
      </c>
      <c r="I454" s="186" t="s">
        <v>113</v>
      </c>
      <c r="M454" s="217" t="s">
        <v>373</v>
      </c>
    </row>
    <row r="455" spans="1:20" hidden="1">
      <c r="A455" s="140" t="str">
        <f t="shared" si="7"/>
        <v>05742-00052-00-A25E</v>
      </c>
      <c r="B455" s="162" t="s">
        <v>1119</v>
      </c>
      <c r="C455" s="162" t="s">
        <v>1787</v>
      </c>
      <c r="D455" s="162" t="s">
        <v>1122</v>
      </c>
      <c r="F455" s="171">
        <v>42980</v>
      </c>
      <c r="G455" s="141" t="s">
        <v>521</v>
      </c>
      <c r="H455" s="174">
        <v>0</v>
      </c>
      <c r="I455" s="188" t="s">
        <v>515</v>
      </c>
      <c r="J455" s="174">
        <v>229</v>
      </c>
      <c r="N455" s="183" t="s">
        <v>1921</v>
      </c>
      <c r="R455" s="146"/>
      <c r="S455" s="147"/>
      <c r="T455" s="148"/>
    </row>
    <row r="456" spans="1:20" hidden="1">
      <c r="A456" s="140" t="str">
        <f t="shared" si="7"/>
        <v>05742-00052-00-A25EW</v>
      </c>
      <c r="B456" s="162" t="s">
        <v>1119</v>
      </c>
      <c r="C456" s="162" t="s">
        <v>1787</v>
      </c>
      <c r="D456" s="162" t="s">
        <v>1122</v>
      </c>
      <c r="F456" s="171">
        <v>42980</v>
      </c>
      <c r="G456" s="141" t="s">
        <v>521</v>
      </c>
      <c r="H456" s="174">
        <v>0</v>
      </c>
      <c r="I456" s="188" t="s">
        <v>519</v>
      </c>
      <c r="J456" s="174">
        <v>41</v>
      </c>
      <c r="N456" s="183" t="s">
        <v>1921</v>
      </c>
      <c r="R456" s="146"/>
      <c r="S456" s="147"/>
      <c r="T456" s="148"/>
    </row>
    <row r="457" spans="1:20" hidden="1">
      <c r="A457" s="140" t="str">
        <f t="shared" si="7"/>
        <v>05742-00052-01-A25E</v>
      </c>
      <c r="B457" s="162" t="s">
        <v>1119</v>
      </c>
      <c r="C457" s="162" t="s">
        <v>1787</v>
      </c>
      <c r="D457" s="162" t="s">
        <v>1122</v>
      </c>
      <c r="F457" s="171">
        <v>43517</v>
      </c>
      <c r="G457" s="141" t="s">
        <v>521</v>
      </c>
      <c r="H457" s="174">
        <v>1</v>
      </c>
      <c r="I457" s="188" t="s">
        <v>515</v>
      </c>
      <c r="J457" s="174">
        <v>229</v>
      </c>
      <c r="T457" s="148"/>
    </row>
    <row r="458" spans="1:20" hidden="1">
      <c r="A458" s="140" t="str">
        <f t="shared" si="7"/>
        <v>05742-00052-02-A25E</v>
      </c>
      <c r="B458" s="162" t="s">
        <v>1119</v>
      </c>
      <c r="C458" s="162" t="s">
        <v>1787</v>
      </c>
      <c r="D458" s="162" t="s">
        <v>1122</v>
      </c>
      <c r="F458" s="171">
        <v>43589</v>
      </c>
      <c r="G458" s="141" t="s">
        <v>108</v>
      </c>
      <c r="H458" s="174">
        <v>2</v>
      </c>
      <c r="I458" s="188" t="s">
        <v>515</v>
      </c>
      <c r="T458" s="148"/>
    </row>
    <row r="459" spans="1:20" hidden="1">
      <c r="A459" s="140" t="str">
        <f t="shared" si="7"/>
        <v>05742-00052-03-A25E</v>
      </c>
      <c r="B459" s="162" t="s">
        <v>1119</v>
      </c>
      <c r="C459" s="162" t="s">
        <v>1787</v>
      </c>
      <c r="D459" s="162" t="s">
        <v>1122</v>
      </c>
      <c r="F459" s="171">
        <v>55511</v>
      </c>
      <c r="G459" s="142" t="s">
        <v>108</v>
      </c>
      <c r="H459" s="174">
        <v>3</v>
      </c>
      <c r="I459" s="186" t="s">
        <v>359</v>
      </c>
      <c r="M459" s="217" t="s">
        <v>312</v>
      </c>
    </row>
    <row r="460" spans="1:20" hidden="1">
      <c r="A460" s="140" t="str">
        <f t="shared" si="7"/>
        <v>05742-00102-00-A25F</v>
      </c>
      <c r="B460" s="162" t="s">
        <v>1119</v>
      </c>
      <c r="C460" s="162" t="s">
        <v>1787</v>
      </c>
      <c r="D460" s="162" t="s">
        <v>1122</v>
      </c>
      <c r="F460" s="171">
        <v>43962</v>
      </c>
      <c r="G460" s="141" t="s">
        <v>527</v>
      </c>
      <c r="H460" s="174">
        <v>0</v>
      </c>
      <c r="I460" s="188" t="s">
        <v>528</v>
      </c>
      <c r="J460" s="174">
        <v>1</v>
      </c>
      <c r="N460" s="183" t="s">
        <v>1922</v>
      </c>
      <c r="R460" s="151"/>
      <c r="S460" s="147"/>
    </row>
    <row r="461" spans="1:20" hidden="1">
      <c r="A461" s="140" t="str">
        <f t="shared" si="7"/>
        <v>05742-00102-01-A25F</v>
      </c>
      <c r="B461" s="162" t="s">
        <v>1119</v>
      </c>
      <c r="C461" s="162" t="s">
        <v>1787</v>
      </c>
      <c r="D461" s="162" t="s">
        <v>1122</v>
      </c>
      <c r="F461" s="171">
        <v>45671</v>
      </c>
      <c r="G461" s="141" t="s">
        <v>527</v>
      </c>
      <c r="H461" s="174">
        <v>1</v>
      </c>
      <c r="I461" s="186" t="s">
        <v>117</v>
      </c>
      <c r="J461" s="174">
        <v>3</v>
      </c>
      <c r="O461" s="156"/>
      <c r="P461" s="155"/>
      <c r="Q461" s="150"/>
      <c r="R461" s="157"/>
      <c r="S461" s="147"/>
      <c r="T461" s="148"/>
    </row>
    <row r="462" spans="1:20">
      <c r="A462" s="140" t="str">
        <f t="shared" si="7"/>
        <v>05742-00102-01-A27B</v>
      </c>
      <c r="B462" s="162" t="s">
        <v>1119</v>
      </c>
      <c r="C462" s="162" t="s">
        <v>1787</v>
      </c>
      <c r="D462" s="162" t="s">
        <v>1122</v>
      </c>
      <c r="F462" s="171">
        <v>45671</v>
      </c>
      <c r="G462" s="141" t="s">
        <v>527</v>
      </c>
      <c r="H462" s="174">
        <v>1</v>
      </c>
      <c r="I462" s="186" t="s">
        <v>542</v>
      </c>
      <c r="J462" s="174">
        <v>1</v>
      </c>
      <c r="O462" s="156"/>
      <c r="P462" s="155"/>
      <c r="Q462" s="150"/>
      <c r="R462" s="157"/>
      <c r="S462" s="147"/>
      <c r="T462" s="148"/>
    </row>
    <row r="463" spans="1:20" hidden="1">
      <c r="A463" s="140" t="str">
        <f t="shared" si="7"/>
        <v>05742-00102-01-A25G</v>
      </c>
      <c r="B463" s="162" t="s">
        <v>1119</v>
      </c>
      <c r="C463" s="162" t="s">
        <v>1787</v>
      </c>
      <c r="D463" s="162" t="s">
        <v>1122</v>
      </c>
      <c r="F463" s="171">
        <v>45671</v>
      </c>
      <c r="G463" s="141" t="s">
        <v>527</v>
      </c>
      <c r="H463" s="174">
        <v>1</v>
      </c>
      <c r="I463" s="190" t="s">
        <v>543</v>
      </c>
      <c r="J463" s="174">
        <v>2</v>
      </c>
      <c r="O463" s="156"/>
      <c r="P463" s="155"/>
    </row>
    <row r="464" spans="1:20" hidden="1">
      <c r="A464" s="140" t="str">
        <f t="shared" si="7"/>
        <v>05742-00102-02-A25F</v>
      </c>
      <c r="B464" s="162" t="s">
        <v>1119</v>
      </c>
      <c r="C464" s="162" t="s">
        <v>1787</v>
      </c>
      <c r="D464" s="162" t="s">
        <v>1122</v>
      </c>
      <c r="F464" s="171">
        <v>45755</v>
      </c>
      <c r="G464" s="141" t="s">
        <v>118</v>
      </c>
      <c r="H464" s="174">
        <v>2</v>
      </c>
      <c r="I464" s="190" t="s">
        <v>805</v>
      </c>
      <c r="J464" s="174">
        <v>3</v>
      </c>
      <c r="O464" s="156"/>
      <c r="P464" s="155"/>
      <c r="R464" s="157"/>
      <c r="S464" s="147"/>
      <c r="T464" s="148"/>
    </row>
    <row r="465" spans="1:24" hidden="1">
      <c r="A465" s="140" t="str">
        <f t="shared" si="7"/>
        <v>05742-00102-02-A25G</v>
      </c>
      <c r="B465" s="162" t="s">
        <v>1119</v>
      </c>
      <c r="C465" s="162" t="s">
        <v>1787</v>
      </c>
      <c r="D465" s="162" t="s">
        <v>1122</v>
      </c>
      <c r="F465" s="171">
        <v>45755</v>
      </c>
      <c r="G465" s="141" t="s">
        <v>118</v>
      </c>
      <c r="H465" s="174">
        <v>2</v>
      </c>
      <c r="I465" s="190" t="s">
        <v>807</v>
      </c>
      <c r="J465" s="174">
        <v>1</v>
      </c>
      <c r="O465" s="156"/>
      <c r="P465" s="155"/>
      <c r="R465" s="157"/>
      <c r="S465" s="147"/>
      <c r="T465" s="148"/>
    </row>
    <row r="466" spans="1:24">
      <c r="A466" s="140" t="str">
        <f t="shared" si="7"/>
        <v>05742-00102-02-A27B</v>
      </c>
      <c r="B466" s="162" t="s">
        <v>1119</v>
      </c>
      <c r="C466" s="162" t="s">
        <v>1787</v>
      </c>
      <c r="D466" s="162" t="s">
        <v>1122</v>
      </c>
      <c r="F466" s="171">
        <v>45755</v>
      </c>
      <c r="G466" s="141" t="s">
        <v>118</v>
      </c>
      <c r="H466" s="174">
        <v>2</v>
      </c>
      <c r="I466" s="190" t="s">
        <v>809</v>
      </c>
      <c r="J466" s="174">
        <v>1</v>
      </c>
      <c r="O466" s="156"/>
      <c r="P466" s="155"/>
      <c r="R466" s="157"/>
      <c r="S466" s="147"/>
      <c r="T466" s="148"/>
    </row>
    <row r="467" spans="1:24" hidden="1">
      <c r="A467" s="140" t="str">
        <f t="shared" si="7"/>
        <v>05742-00102-03-A25F</v>
      </c>
      <c r="B467" s="162" t="s">
        <v>1119</v>
      </c>
      <c r="C467" s="162" t="s">
        <v>1787</v>
      </c>
      <c r="D467" s="162" t="s">
        <v>1122</v>
      </c>
      <c r="F467" s="171">
        <v>45802</v>
      </c>
      <c r="G467" s="141" t="s">
        <v>118</v>
      </c>
      <c r="H467" s="174">
        <v>3</v>
      </c>
      <c r="I467" s="190" t="s">
        <v>805</v>
      </c>
      <c r="O467" s="156"/>
      <c r="P467" s="155"/>
      <c r="R467" s="157"/>
      <c r="S467" s="147"/>
      <c r="T467" s="148"/>
    </row>
    <row r="468" spans="1:24">
      <c r="A468" s="140" t="str">
        <f t="shared" si="7"/>
        <v>05742-00102-03-A27B</v>
      </c>
      <c r="B468" s="162" t="s">
        <v>1119</v>
      </c>
      <c r="C468" s="162" t="s">
        <v>1787</v>
      </c>
      <c r="D468" s="162" t="s">
        <v>1122</v>
      </c>
      <c r="F468" s="171">
        <v>45802</v>
      </c>
      <c r="G468" s="141" t="s">
        <v>118</v>
      </c>
      <c r="H468" s="174">
        <v>3</v>
      </c>
      <c r="I468" s="190" t="s">
        <v>809</v>
      </c>
      <c r="O468" s="156"/>
      <c r="P468" s="155"/>
      <c r="R468" s="157"/>
      <c r="S468" s="147"/>
      <c r="T468" s="148"/>
    </row>
    <row r="469" spans="1:24" hidden="1">
      <c r="A469" s="140" t="str">
        <f t="shared" si="7"/>
        <v>05742-00102-03-A25G</v>
      </c>
      <c r="B469" s="162" t="s">
        <v>1119</v>
      </c>
      <c r="C469" s="162" t="s">
        <v>1787</v>
      </c>
      <c r="D469" s="162" t="s">
        <v>1122</v>
      </c>
      <c r="F469" s="171">
        <v>45802</v>
      </c>
      <c r="G469" s="141" t="s">
        <v>118</v>
      </c>
      <c r="H469" s="174">
        <v>3</v>
      </c>
      <c r="I469" s="190" t="s">
        <v>807</v>
      </c>
      <c r="O469" s="156"/>
      <c r="P469" s="155"/>
      <c r="R469" s="157"/>
      <c r="S469" s="147"/>
      <c r="T469" s="148"/>
    </row>
    <row r="470" spans="1:24" ht="40.5" hidden="1">
      <c r="A470" s="140" t="str">
        <f t="shared" si="7"/>
        <v>05742-00277-00-A25F</v>
      </c>
      <c r="B470" s="162" t="s">
        <v>1119</v>
      </c>
      <c r="C470" s="162" t="s">
        <v>1787</v>
      </c>
      <c r="D470" s="162" t="s">
        <v>1122</v>
      </c>
      <c r="F470" s="171">
        <v>46309</v>
      </c>
      <c r="G470" s="141" t="s">
        <v>120</v>
      </c>
      <c r="H470" s="174">
        <v>0</v>
      </c>
      <c r="I470" s="205" t="s">
        <v>528</v>
      </c>
      <c r="J470" s="174">
        <v>253</v>
      </c>
      <c r="K470" s="174">
        <v>253</v>
      </c>
      <c r="L470" s="149"/>
      <c r="M470" s="185"/>
      <c r="N470" s="183" t="s">
        <v>1923</v>
      </c>
      <c r="P470" s="155"/>
      <c r="U470" s="150"/>
      <c r="X470" s="150"/>
    </row>
    <row r="471" spans="1:24" ht="55.5" customHeight="1">
      <c r="A471" s="140" t="str">
        <f t="shared" si="7"/>
        <v>05742-00277-00-A27B</v>
      </c>
      <c r="B471" s="162" t="s">
        <v>1119</v>
      </c>
      <c r="C471" s="162" t="s">
        <v>1787</v>
      </c>
      <c r="D471" s="162" t="s">
        <v>1122</v>
      </c>
      <c r="F471" s="171">
        <v>46309</v>
      </c>
      <c r="G471" s="141" t="s">
        <v>120</v>
      </c>
      <c r="H471" s="174">
        <v>0</v>
      </c>
      <c r="I471" s="189" t="s">
        <v>808</v>
      </c>
      <c r="J471" s="174">
        <v>4</v>
      </c>
      <c r="K471" s="174">
        <v>4</v>
      </c>
      <c r="L471" s="149"/>
      <c r="M471" s="185"/>
      <c r="N471" s="183" t="s">
        <v>1923</v>
      </c>
      <c r="P471" s="155"/>
      <c r="R471" s="151"/>
      <c r="S471" s="147"/>
      <c r="T471" s="148"/>
      <c r="U471" s="150"/>
      <c r="X471" s="150"/>
    </row>
    <row r="472" spans="1:24" ht="40.5" hidden="1">
      <c r="A472" s="140" t="str">
        <f t="shared" si="7"/>
        <v>05742-00277-00-A25G</v>
      </c>
      <c r="B472" s="162" t="s">
        <v>1119</v>
      </c>
      <c r="C472" s="162" t="s">
        <v>1787</v>
      </c>
      <c r="D472" s="162" t="s">
        <v>1122</v>
      </c>
      <c r="F472" s="171">
        <v>46309</v>
      </c>
      <c r="G472" s="141" t="s">
        <v>120</v>
      </c>
      <c r="H472" s="174">
        <v>0</v>
      </c>
      <c r="I472" s="189" t="s">
        <v>806</v>
      </c>
      <c r="J472" s="174">
        <v>2</v>
      </c>
      <c r="K472" s="174">
        <v>2</v>
      </c>
      <c r="L472" s="149"/>
      <c r="M472" s="185"/>
      <c r="N472" s="183" t="s">
        <v>1923</v>
      </c>
      <c r="P472" s="155"/>
      <c r="R472" s="151"/>
      <c r="S472" s="147"/>
      <c r="T472" s="148"/>
      <c r="U472" s="150"/>
      <c r="X472" s="150"/>
    </row>
    <row r="473" spans="1:24" ht="40.5">
      <c r="A473" s="140" t="str">
        <f t="shared" si="7"/>
        <v>05742-00277-00-A27A</v>
      </c>
      <c r="B473" s="162" t="s">
        <v>1119</v>
      </c>
      <c r="C473" s="162" t="s">
        <v>1787</v>
      </c>
      <c r="D473" s="162" t="s">
        <v>1122</v>
      </c>
      <c r="F473" s="171">
        <v>46309</v>
      </c>
      <c r="G473" s="141" t="s">
        <v>120</v>
      </c>
      <c r="H473" s="174">
        <v>0</v>
      </c>
      <c r="I473" s="189" t="s">
        <v>823</v>
      </c>
      <c r="N473" s="183" t="s">
        <v>1923</v>
      </c>
      <c r="P473" s="155"/>
      <c r="X473" s="150"/>
    </row>
    <row r="474" spans="1:24" hidden="1">
      <c r="A474" s="140" t="str">
        <f t="shared" si="7"/>
        <v>05742-00277-01-A25F</v>
      </c>
      <c r="B474" s="162" t="s">
        <v>1119</v>
      </c>
      <c r="C474" s="162" t="s">
        <v>1787</v>
      </c>
      <c r="D474" s="162" t="s">
        <v>1122</v>
      </c>
      <c r="F474" s="171">
        <v>46304</v>
      </c>
      <c r="G474" s="141" t="s">
        <v>120</v>
      </c>
      <c r="H474" s="174">
        <v>1</v>
      </c>
      <c r="I474" s="190" t="s">
        <v>117</v>
      </c>
      <c r="J474" s="174">
        <v>269</v>
      </c>
      <c r="K474" s="174">
        <v>269</v>
      </c>
      <c r="L474" s="149"/>
      <c r="M474" s="185"/>
      <c r="P474" s="155"/>
      <c r="R474" s="158"/>
      <c r="S474" s="147"/>
      <c r="T474" s="148"/>
      <c r="U474" s="150"/>
      <c r="V474" s="150"/>
      <c r="X474" s="150"/>
    </row>
    <row r="475" spans="1:24">
      <c r="A475" s="140" t="str">
        <f t="shared" si="7"/>
        <v>05742-00277-01-A27B</v>
      </c>
      <c r="B475" s="162" t="s">
        <v>1119</v>
      </c>
      <c r="C475" s="162" t="s">
        <v>1787</v>
      </c>
      <c r="D475" s="162" t="s">
        <v>1122</v>
      </c>
      <c r="F475" s="171">
        <v>46304</v>
      </c>
      <c r="G475" s="141" t="s">
        <v>120</v>
      </c>
      <c r="H475" s="174">
        <v>1</v>
      </c>
      <c r="I475" s="190" t="s">
        <v>542</v>
      </c>
      <c r="J475" s="174">
        <v>4</v>
      </c>
      <c r="K475" s="174">
        <v>4</v>
      </c>
      <c r="L475" s="149"/>
      <c r="M475" s="185"/>
      <c r="P475" s="155"/>
      <c r="R475" s="158"/>
      <c r="S475" s="147"/>
      <c r="T475" s="148"/>
      <c r="U475" s="150"/>
      <c r="V475" s="150"/>
      <c r="X475" s="150"/>
    </row>
    <row r="476" spans="1:24" hidden="1">
      <c r="A476" s="140" t="str">
        <f t="shared" si="7"/>
        <v>05742-00277-01-A25G</v>
      </c>
      <c r="B476" s="162" t="s">
        <v>1119</v>
      </c>
      <c r="C476" s="162" t="s">
        <v>1787</v>
      </c>
      <c r="D476" s="162" t="s">
        <v>1122</v>
      </c>
      <c r="F476" s="171">
        <v>46304</v>
      </c>
      <c r="G476" s="141" t="s">
        <v>120</v>
      </c>
      <c r="H476" s="174">
        <v>1</v>
      </c>
      <c r="I476" s="190" t="s">
        <v>543</v>
      </c>
      <c r="J476" s="174">
        <v>2</v>
      </c>
      <c r="K476" s="174">
        <v>2</v>
      </c>
      <c r="L476" s="149"/>
      <c r="M476" s="185"/>
      <c r="P476" s="155"/>
      <c r="R476" s="158"/>
      <c r="S476" s="147"/>
      <c r="T476" s="148"/>
      <c r="U476" s="150"/>
      <c r="V476" s="150"/>
      <c r="X476" s="150"/>
    </row>
    <row r="477" spans="1:24">
      <c r="A477" s="140" t="str">
        <f t="shared" si="7"/>
        <v>05742-00277-01-A27A</v>
      </c>
      <c r="B477" s="162" t="s">
        <v>1119</v>
      </c>
      <c r="C477" s="162" t="s">
        <v>1787</v>
      </c>
      <c r="D477" s="162" t="s">
        <v>1122</v>
      </c>
      <c r="F477" s="171">
        <v>46304</v>
      </c>
      <c r="G477" s="141" t="s">
        <v>120</v>
      </c>
      <c r="H477" s="174">
        <v>1</v>
      </c>
      <c r="I477" s="190" t="s">
        <v>832</v>
      </c>
      <c r="J477" s="174">
        <v>2</v>
      </c>
      <c r="K477" s="174">
        <v>2</v>
      </c>
      <c r="L477" s="149"/>
      <c r="M477" s="185"/>
      <c r="P477" s="155"/>
      <c r="R477" s="158"/>
      <c r="S477" s="147"/>
      <c r="T477" s="148"/>
      <c r="U477" s="150"/>
      <c r="V477" s="150"/>
      <c r="X477" s="150"/>
    </row>
    <row r="478" spans="1:24" hidden="1">
      <c r="A478" s="140" t="str">
        <f t="shared" si="7"/>
        <v>05742-00277-02-A25F</v>
      </c>
      <c r="B478" s="162" t="s">
        <v>1119</v>
      </c>
      <c r="C478" s="162" t="s">
        <v>1787</v>
      </c>
      <c r="D478" s="162" t="s">
        <v>1122</v>
      </c>
      <c r="F478" s="171">
        <v>46989</v>
      </c>
      <c r="G478" s="141" t="s">
        <v>120</v>
      </c>
      <c r="H478" s="174">
        <v>2</v>
      </c>
      <c r="I478" s="196" t="s">
        <v>528</v>
      </c>
      <c r="J478" s="174">
        <v>306</v>
      </c>
      <c r="K478" s="174">
        <v>306</v>
      </c>
      <c r="L478" s="149"/>
      <c r="M478" s="185"/>
      <c r="R478" s="151"/>
      <c r="S478" s="147"/>
      <c r="T478" s="148"/>
    </row>
    <row r="479" spans="1:24" hidden="1">
      <c r="A479" s="140" t="str">
        <f t="shared" si="7"/>
        <v>05742-00277-02-A25G</v>
      </c>
      <c r="B479" s="162" t="s">
        <v>1119</v>
      </c>
      <c r="C479" s="162" t="s">
        <v>1787</v>
      </c>
      <c r="D479" s="162" t="s">
        <v>1122</v>
      </c>
      <c r="F479" s="171">
        <v>46989</v>
      </c>
      <c r="G479" s="141" t="s">
        <v>120</v>
      </c>
      <c r="H479" s="174">
        <v>2</v>
      </c>
      <c r="I479" s="198" t="s">
        <v>806</v>
      </c>
      <c r="J479" s="174">
        <v>2</v>
      </c>
      <c r="K479" s="174">
        <v>2</v>
      </c>
      <c r="L479" s="149"/>
      <c r="M479" s="185"/>
      <c r="R479" s="151"/>
      <c r="S479" s="147"/>
      <c r="T479" s="148"/>
    </row>
    <row r="480" spans="1:24">
      <c r="A480" s="140" t="str">
        <f t="shared" si="7"/>
        <v>05742-00277-02-A27A</v>
      </c>
      <c r="B480" s="162" t="s">
        <v>1119</v>
      </c>
      <c r="C480" s="162" t="s">
        <v>1787</v>
      </c>
      <c r="D480" s="162" t="s">
        <v>1122</v>
      </c>
      <c r="F480" s="171">
        <v>46989</v>
      </c>
      <c r="G480" s="141" t="s">
        <v>120</v>
      </c>
      <c r="H480" s="174">
        <v>2</v>
      </c>
      <c r="I480" s="198" t="s">
        <v>832</v>
      </c>
      <c r="J480" s="174">
        <v>16</v>
      </c>
      <c r="K480" s="174">
        <v>16</v>
      </c>
      <c r="L480" s="149"/>
      <c r="M480" s="185"/>
      <c r="R480" s="151"/>
      <c r="S480" s="147"/>
      <c r="T480" s="148"/>
    </row>
    <row r="481" spans="1:24">
      <c r="A481" s="140" t="str">
        <f t="shared" si="7"/>
        <v>05742-00277-02-A27B</v>
      </c>
      <c r="B481" s="162" t="s">
        <v>1119</v>
      </c>
      <c r="C481" s="162" t="s">
        <v>1787</v>
      </c>
      <c r="D481" s="162" t="s">
        <v>1122</v>
      </c>
      <c r="F481" s="171">
        <v>46989</v>
      </c>
      <c r="G481" s="141" t="s">
        <v>120</v>
      </c>
      <c r="H481" s="174">
        <v>2</v>
      </c>
      <c r="I481" s="196" t="s">
        <v>808</v>
      </c>
      <c r="J481" s="174">
        <v>4</v>
      </c>
      <c r="K481" s="174">
        <v>4</v>
      </c>
      <c r="L481" s="149"/>
      <c r="M481" s="185"/>
      <c r="R481" s="151"/>
      <c r="S481" s="147"/>
      <c r="T481" s="148"/>
    </row>
    <row r="482" spans="1:24" hidden="1">
      <c r="A482" s="140" t="str">
        <f t="shared" si="7"/>
        <v>05742-00277-03-A25F</v>
      </c>
      <c r="B482" s="162" t="s">
        <v>1119</v>
      </c>
      <c r="C482" s="162" t="s">
        <v>1787</v>
      </c>
      <c r="D482" s="162" t="s">
        <v>1122</v>
      </c>
      <c r="F482" s="171">
        <v>47027</v>
      </c>
      <c r="G482" s="141" t="s">
        <v>120</v>
      </c>
      <c r="H482" s="174">
        <v>3</v>
      </c>
      <c r="I482" s="196" t="s">
        <v>528</v>
      </c>
      <c r="J482" s="174">
        <v>348</v>
      </c>
      <c r="K482" s="174">
        <v>348</v>
      </c>
      <c r="L482" s="149"/>
      <c r="M482" s="185"/>
      <c r="R482" s="151"/>
      <c r="S482" s="147"/>
      <c r="T482" s="148"/>
    </row>
    <row r="483" spans="1:24" hidden="1">
      <c r="A483" s="140" t="str">
        <f t="shared" si="7"/>
        <v>05742-00277-03-A25G</v>
      </c>
      <c r="B483" s="162" t="s">
        <v>1119</v>
      </c>
      <c r="C483" s="162" t="s">
        <v>1787</v>
      </c>
      <c r="D483" s="162" t="s">
        <v>1122</v>
      </c>
      <c r="F483" s="171">
        <v>47027</v>
      </c>
      <c r="G483" s="141" t="s">
        <v>120</v>
      </c>
      <c r="H483" s="174">
        <v>3</v>
      </c>
      <c r="I483" s="198" t="s">
        <v>806</v>
      </c>
      <c r="J483" s="174">
        <v>27</v>
      </c>
      <c r="K483" s="174">
        <v>27</v>
      </c>
      <c r="L483" s="149"/>
      <c r="M483" s="185"/>
      <c r="N483" s="184"/>
      <c r="T483" s="148"/>
    </row>
    <row r="484" spans="1:24">
      <c r="A484" s="140" t="str">
        <f t="shared" si="7"/>
        <v>05742-00277-03-A27A</v>
      </c>
      <c r="B484" s="162" t="s">
        <v>1119</v>
      </c>
      <c r="C484" s="162" t="s">
        <v>1787</v>
      </c>
      <c r="D484" s="162" t="s">
        <v>1122</v>
      </c>
      <c r="F484" s="171">
        <v>47027</v>
      </c>
      <c r="G484" s="141" t="s">
        <v>120</v>
      </c>
      <c r="H484" s="174">
        <v>3</v>
      </c>
      <c r="I484" s="198" t="s">
        <v>832</v>
      </c>
      <c r="J484" s="174">
        <v>99</v>
      </c>
      <c r="K484" s="174">
        <v>99</v>
      </c>
      <c r="L484" s="149"/>
      <c r="M484" s="185"/>
      <c r="N484" s="184"/>
      <c r="R484" s="151"/>
      <c r="S484" s="147"/>
      <c r="T484" s="148"/>
    </row>
    <row r="485" spans="1:24">
      <c r="A485" s="140" t="str">
        <f t="shared" si="7"/>
        <v>05742-00277-03-A27B</v>
      </c>
      <c r="B485" s="162" t="s">
        <v>1119</v>
      </c>
      <c r="C485" s="162" t="s">
        <v>1787</v>
      </c>
      <c r="D485" s="162" t="s">
        <v>1122</v>
      </c>
      <c r="F485" s="171">
        <v>47027</v>
      </c>
      <c r="G485" s="141" t="s">
        <v>120</v>
      </c>
      <c r="H485" s="174">
        <v>3</v>
      </c>
      <c r="I485" s="196" t="s">
        <v>808</v>
      </c>
      <c r="J485" s="174">
        <v>4</v>
      </c>
      <c r="K485" s="174">
        <v>4</v>
      </c>
      <c r="L485" s="149"/>
      <c r="M485" s="185"/>
      <c r="N485" s="184"/>
      <c r="R485" s="151"/>
      <c r="S485" s="147"/>
      <c r="T485" s="148"/>
    </row>
    <row r="486" spans="1:24" hidden="1">
      <c r="A486" s="140" t="str">
        <f t="shared" si="7"/>
        <v>05742-00277-04-A25F</v>
      </c>
      <c r="B486" s="162" t="s">
        <v>1119</v>
      </c>
      <c r="C486" s="162" t="s">
        <v>1787</v>
      </c>
      <c r="D486" s="162" t="s">
        <v>1122</v>
      </c>
      <c r="F486" s="171">
        <v>47136</v>
      </c>
      <c r="G486" s="141" t="s">
        <v>120</v>
      </c>
      <c r="H486" s="174">
        <v>4</v>
      </c>
      <c r="I486" s="196" t="s">
        <v>528</v>
      </c>
      <c r="J486" s="174">
        <v>319</v>
      </c>
      <c r="K486" s="174">
        <v>319</v>
      </c>
      <c r="L486" s="149"/>
      <c r="M486" s="185"/>
      <c r="R486" s="146"/>
      <c r="S486" s="147"/>
      <c r="T486" s="148"/>
      <c r="U486" s="150"/>
      <c r="V486" s="148"/>
      <c r="X486" s="150"/>
    </row>
    <row r="487" spans="1:24" hidden="1">
      <c r="A487" s="140" t="str">
        <f t="shared" si="7"/>
        <v>05742-00277-04-A25G</v>
      </c>
      <c r="B487" s="162" t="s">
        <v>1119</v>
      </c>
      <c r="C487" s="162" t="s">
        <v>1787</v>
      </c>
      <c r="D487" s="162" t="s">
        <v>1122</v>
      </c>
      <c r="F487" s="171">
        <v>47136</v>
      </c>
      <c r="G487" s="141" t="s">
        <v>120</v>
      </c>
      <c r="H487" s="174">
        <v>4</v>
      </c>
      <c r="I487" s="198" t="s">
        <v>806</v>
      </c>
      <c r="J487" s="174">
        <v>2</v>
      </c>
      <c r="K487" s="174">
        <v>2</v>
      </c>
      <c r="L487" s="149"/>
      <c r="M487" s="185"/>
      <c r="R487" s="146"/>
      <c r="S487" s="147"/>
      <c r="T487" s="148"/>
      <c r="U487" s="150"/>
      <c r="V487" s="148"/>
      <c r="X487" s="150"/>
    </row>
    <row r="488" spans="1:24">
      <c r="A488" s="140" t="str">
        <f t="shared" si="7"/>
        <v>05742-00277-04-A27A</v>
      </c>
      <c r="B488" s="162" t="s">
        <v>1119</v>
      </c>
      <c r="C488" s="162" t="s">
        <v>1787</v>
      </c>
      <c r="D488" s="162" t="s">
        <v>1122</v>
      </c>
      <c r="F488" s="171">
        <v>47136</v>
      </c>
      <c r="G488" s="141" t="s">
        <v>120</v>
      </c>
      <c r="H488" s="174">
        <v>4</v>
      </c>
      <c r="I488" s="198" t="s">
        <v>832</v>
      </c>
      <c r="J488" s="174">
        <v>46</v>
      </c>
      <c r="K488" s="174">
        <v>46</v>
      </c>
      <c r="L488" s="149"/>
      <c r="M488" s="185"/>
      <c r="R488" s="146"/>
      <c r="S488" s="147"/>
      <c r="T488" s="148"/>
      <c r="U488" s="150"/>
      <c r="V488" s="148"/>
      <c r="X488" s="150"/>
    </row>
    <row r="489" spans="1:24">
      <c r="A489" s="140" t="str">
        <f t="shared" si="7"/>
        <v>05742-00277-04-A27B</v>
      </c>
      <c r="B489" s="162" t="s">
        <v>1119</v>
      </c>
      <c r="C489" s="162" t="s">
        <v>1787</v>
      </c>
      <c r="D489" s="162" t="s">
        <v>1122</v>
      </c>
      <c r="F489" s="171">
        <v>47136</v>
      </c>
      <c r="G489" s="141" t="s">
        <v>120</v>
      </c>
      <c r="H489" s="174">
        <v>4</v>
      </c>
      <c r="I489" s="196" t="s">
        <v>808</v>
      </c>
      <c r="J489" s="174">
        <v>4</v>
      </c>
      <c r="K489" s="174">
        <v>4</v>
      </c>
      <c r="L489" s="149"/>
      <c r="M489" s="185"/>
      <c r="R489" s="146"/>
      <c r="S489" s="147"/>
      <c r="T489" s="148"/>
      <c r="U489" s="150"/>
      <c r="V489" s="148"/>
      <c r="X489" s="150"/>
    </row>
    <row r="490" spans="1:24" hidden="1">
      <c r="A490" s="140" t="str">
        <f t="shared" si="7"/>
        <v>05742-00277-05-A25F</v>
      </c>
      <c r="B490" s="162" t="s">
        <v>1119</v>
      </c>
      <c r="C490" s="162" t="s">
        <v>1787</v>
      </c>
      <c r="D490" s="162" t="s">
        <v>1122</v>
      </c>
      <c r="F490" s="171">
        <v>47597</v>
      </c>
      <c r="G490" s="141" t="s">
        <v>120</v>
      </c>
      <c r="H490" s="174">
        <v>5</v>
      </c>
      <c r="I490" s="186" t="s">
        <v>847</v>
      </c>
      <c r="J490" s="174">
        <v>358</v>
      </c>
      <c r="K490" s="174">
        <v>358</v>
      </c>
      <c r="L490" s="149"/>
      <c r="M490" s="185"/>
      <c r="S490" s="147"/>
      <c r="T490" s="148"/>
    </row>
    <row r="491" spans="1:24" hidden="1">
      <c r="A491" s="140" t="str">
        <f t="shared" si="7"/>
        <v>05742-00277-05-A25G</v>
      </c>
      <c r="B491" s="162" t="s">
        <v>1119</v>
      </c>
      <c r="C491" s="162" t="s">
        <v>1787</v>
      </c>
      <c r="D491" s="162" t="s">
        <v>1122</v>
      </c>
      <c r="F491" s="171">
        <v>47597</v>
      </c>
      <c r="G491" s="141" t="s">
        <v>120</v>
      </c>
      <c r="H491" s="174">
        <v>5</v>
      </c>
      <c r="I491" s="190" t="s">
        <v>543</v>
      </c>
      <c r="J491" s="174">
        <v>34</v>
      </c>
      <c r="K491" s="174">
        <v>34</v>
      </c>
      <c r="L491" s="149"/>
      <c r="M491" s="185"/>
      <c r="S491" s="147"/>
      <c r="T491" s="148"/>
    </row>
    <row r="492" spans="1:24">
      <c r="A492" s="140" t="str">
        <f t="shared" si="7"/>
        <v>05742-00277-05-A27A</v>
      </c>
      <c r="B492" s="162" t="s">
        <v>1119</v>
      </c>
      <c r="C492" s="162" t="s">
        <v>1787</v>
      </c>
      <c r="D492" s="162" t="s">
        <v>1122</v>
      </c>
      <c r="F492" s="171">
        <v>47597</v>
      </c>
      <c r="G492" s="141" t="s">
        <v>120</v>
      </c>
      <c r="H492" s="174">
        <v>5</v>
      </c>
      <c r="I492" s="186" t="s">
        <v>848</v>
      </c>
      <c r="J492" s="174">
        <v>119</v>
      </c>
      <c r="K492" s="174">
        <v>120</v>
      </c>
      <c r="L492" s="149"/>
      <c r="M492" s="185"/>
      <c r="S492" s="147"/>
      <c r="T492" s="148"/>
    </row>
    <row r="493" spans="1:24">
      <c r="A493" s="140" t="str">
        <f t="shared" si="7"/>
        <v>05742-00277-05-A27B</v>
      </c>
      <c r="B493" s="162" t="s">
        <v>1119</v>
      </c>
      <c r="C493" s="162" t="s">
        <v>1787</v>
      </c>
      <c r="D493" s="162" t="s">
        <v>1122</v>
      </c>
      <c r="F493" s="171">
        <v>47597</v>
      </c>
      <c r="G493" s="141" t="s">
        <v>120</v>
      </c>
      <c r="H493" s="174">
        <v>5</v>
      </c>
      <c r="I493" s="186" t="s">
        <v>849</v>
      </c>
      <c r="J493" s="174">
        <v>5</v>
      </c>
      <c r="K493" s="174">
        <v>5</v>
      </c>
      <c r="L493" s="149"/>
      <c r="M493" s="185"/>
      <c r="S493" s="147"/>
      <c r="T493" s="148"/>
    </row>
    <row r="494" spans="1:24" hidden="1">
      <c r="A494" s="140" t="str">
        <f t="shared" si="7"/>
        <v>05742-00306-00-A25F</v>
      </c>
      <c r="B494" s="162" t="s">
        <v>1119</v>
      </c>
      <c r="C494" s="162" t="s">
        <v>1787</v>
      </c>
      <c r="D494" s="162" t="s">
        <v>1122</v>
      </c>
      <c r="F494" s="171">
        <v>47644</v>
      </c>
      <c r="G494" s="141" t="s">
        <v>121</v>
      </c>
      <c r="H494" s="174">
        <v>0</v>
      </c>
      <c r="I494" s="186" t="s">
        <v>117</v>
      </c>
      <c r="N494" s="183" t="s">
        <v>1924</v>
      </c>
      <c r="P494" s="155"/>
      <c r="R494" s="159"/>
      <c r="S494" s="147"/>
      <c r="T494" s="148"/>
    </row>
    <row r="495" spans="1:24" hidden="1">
      <c r="A495" s="140" t="str">
        <f t="shared" si="7"/>
        <v>05742-00306-00-A25G</v>
      </c>
      <c r="B495" s="162" t="s">
        <v>1119</v>
      </c>
      <c r="C495" s="162" t="s">
        <v>1787</v>
      </c>
      <c r="D495" s="162" t="s">
        <v>1122</v>
      </c>
      <c r="F495" s="171">
        <v>47644</v>
      </c>
      <c r="G495" s="141" t="s">
        <v>121</v>
      </c>
      <c r="H495" s="174">
        <v>0</v>
      </c>
      <c r="I495" s="190" t="s">
        <v>543</v>
      </c>
      <c r="N495" s="183" t="s">
        <v>1924</v>
      </c>
      <c r="P495" s="155"/>
      <c r="R495" s="159"/>
      <c r="S495" s="147"/>
      <c r="T495" s="148"/>
    </row>
    <row r="496" spans="1:24">
      <c r="A496" s="140" t="str">
        <f t="shared" si="7"/>
        <v>05742-00306-00-A27A</v>
      </c>
      <c r="B496" s="162" t="s">
        <v>1119</v>
      </c>
      <c r="C496" s="162" t="s">
        <v>1787</v>
      </c>
      <c r="D496" s="162" t="s">
        <v>1122</v>
      </c>
      <c r="F496" s="171">
        <v>47644</v>
      </c>
      <c r="G496" s="141" t="s">
        <v>121</v>
      </c>
      <c r="H496" s="174">
        <v>0</v>
      </c>
      <c r="I496" s="186" t="s">
        <v>832</v>
      </c>
      <c r="N496" s="183" t="s">
        <v>1924</v>
      </c>
      <c r="P496" s="155"/>
      <c r="R496" s="159"/>
      <c r="S496" s="147"/>
      <c r="T496" s="148"/>
    </row>
    <row r="497" spans="1:20">
      <c r="A497" s="140" t="str">
        <f t="shared" si="7"/>
        <v>05742-00306-00-A27B</v>
      </c>
      <c r="B497" s="162" t="s">
        <v>1119</v>
      </c>
      <c r="C497" s="162" t="s">
        <v>1787</v>
      </c>
      <c r="D497" s="162" t="s">
        <v>1122</v>
      </c>
      <c r="F497" s="171">
        <v>47644</v>
      </c>
      <c r="G497" s="141" t="s">
        <v>121</v>
      </c>
      <c r="H497" s="174">
        <v>0</v>
      </c>
      <c r="I497" s="186" t="s">
        <v>542</v>
      </c>
      <c r="N497" s="183" t="s">
        <v>1924</v>
      </c>
      <c r="P497" s="155"/>
      <c r="S497" s="147"/>
      <c r="T497" s="148"/>
    </row>
    <row r="498" spans="1:20" hidden="1">
      <c r="A498" s="140" t="str">
        <f t="shared" si="7"/>
        <v>05742-00306-01-A25F</v>
      </c>
      <c r="B498" s="162" t="s">
        <v>1119</v>
      </c>
      <c r="C498" s="162" t="s">
        <v>1787</v>
      </c>
      <c r="D498" s="162" t="s">
        <v>1122</v>
      </c>
      <c r="F498" s="171">
        <v>48255</v>
      </c>
      <c r="G498" s="141" t="s">
        <v>121</v>
      </c>
      <c r="H498" s="174">
        <v>1</v>
      </c>
      <c r="I498" s="186" t="s">
        <v>117</v>
      </c>
      <c r="J498" s="174">
        <v>493</v>
      </c>
      <c r="K498" s="174">
        <v>493</v>
      </c>
      <c r="L498" s="149"/>
      <c r="M498" s="185"/>
      <c r="P498" s="155"/>
      <c r="R498" s="146"/>
      <c r="S498" s="147"/>
      <c r="T498" s="148"/>
    </row>
    <row r="499" spans="1:20" hidden="1">
      <c r="A499" s="140" t="str">
        <f t="shared" si="7"/>
        <v>05742-00306-01-A25G</v>
      </c>
      <c r="B499" s="162" t="s">
        <v>1119</v>
      </c>
      <c r="C499" s="162" t="s">
        <v>1787</v>
      </c>
      <c r="D499" s="162" t="s">
        <v>1122</v>
      </c>
      <c r="F499" s="171">
        <v>48255</v>
      </c>
      <c r="G499" s="141" t="s">
        <v>121</v>
      </c>
      <c r="H499" s="174">
        <v>1</v>
      </c>
      <c r="I499" s="190" t="s">
        <v>543</v>
      </c>
      <c r="J499" s="174">
        <v>116</v>
      </c>
      <c r="K499" s="174">
        <v>116</v>
      </c>
      <c r="L499" s="149"/>
      <c r="M499" s="185"/>
      <c r="P499" s="155"/>
      <c r="R499" s="146"/>
      <c r="S499" s="147"/>
      <c r="T499" s="148"/>
    </row>
    <row r="500" spans="1:20">
      <c r="A500" s="140" t="str">
        <f t="shared" si="7"/>
        <v>05742-00306-01-A27A</v>
      </c>
      <c r="B500" s="162" t="s">
        <v>1119</v>
      </c>
      <c r="C500" s="162" t="s">
        <v>1787</v>
      </c>
      <c r="D500" s="162" t="s">
        <v>1122</v>
      </c>
      <c r="F500" s="171">
        <v>48255</v>
      </c>
      <c r="G500" s="141" t="s">
        <v>121</v>
      </c>
      <c r="H500" s="174">
        <v>1</v>
      </c>
      <c r="I500" s="186" t="s">
        <v>832</v>
      </c>
      <c r="J500" s="174">
        <v>341</v>
      </c>
      <c r="K500" s="174">
        <v>339</v>
      </c>
      <c r="L500" s="149"/>
      <c r="M500" s="185"/>
      <c r="P500" s="155"/>
      <c r="R500" s="146"/>
      <c r="S500" s="147"/>
      <c r="T500" s="148"/>
    </row>
    <row r="501" spans="1:20">
      <c r="A501" s="140" t="str">
        <f t="shared" si="7"/>
        <v>05742-00306-01-A27B</v>
      </c>
      <c r="B501" s="162" t="s">
        <v>1119</v>
      </c>
      <c r="C501" s="162" t="s">
        <v>1787</v>
      </c>
      <c r="D501" s="162" t="s">
        <v>1122</v>
      </c>
      <c r="F501" s="171">
        <v>48255</v>
      </c>
      <c r="G501" s="141" t="s">
        <v>121</v>
      </c>
      <c r="H501" s="174">
        <v>1</v>
      </c>
      <c r="I501" s="186" t="s">
        <v>542</v>
      </c>
      <c r="J501" s="174">
        <v>157</v>
      </c>
      <c r="K501" s="174">
        <v>159</v>
      </c>
      <c r="L501" s="149"/>
      <c r="M501" s="185"/>
      <c r="P501" s="155"/>
      <c r="R501" s="146"/>
      <c r="S501" s="147"/>
      <c r="T501" s="148"/>
    </row>
    <row r="502" spans="1:20" hidden="1">
      <c r="A502" s="140" t="str">
        <f t="shared" si="7"/>
        <v>05742-00323-00-A25F</v>
      </c>
      <c r="B502" s="162" t="s">
        <v>1119</v>
      </c>
      <c r="C502" s="162" t="s">
        <v>1787</v>
      </c>
      <c r="D502" s="162" t="s">
        <v>1122</v>
      </c>
      <c r="F502" s="171">
        <v>48495</v>
      </c>
      <c r="G502" s="141" t="s">
        <v>123</v>
      </c>
      <c r="H502" s="174">
        <v>0</v>
      </c>
      <c r="I502" s="186" t="s">
        <v>117</v>
      </c>
      <c r="J502" s="174">
        <v>515</v>
      </c>
      <c r="K502" s="174">
        <v>515</v>
      </c>
      <c r="L502" s="149"/>
      <c r="M502" s="185"/>
      <c r="N502" s="185" t="s">
        <v>1925</v>
      </c>
      <c r="P502" s="155"/>
      <c r="Q502" s="143"/>
      <c r="R502" s="145"/>
      <c r="S502" s="145"/>
    </row>
    <row r="503" spans="1:20" hidden="1">
      <c r="A503" s="140" t="str">
        <f t="shared" si="7"/>
        <v>05742-00323-00-A25G</v>
      </c>
      <c r="B503" s="162" t="s">
        <v>1119</v>
      </c>
      <c r="C503" s="162" t="s">
        <v>1787</v>
      </c>
      <c r="D503" s="162" t="s">
        <v>1122</v>
      </c>
      <c r="F503" s="171">
        <v>48495</v>
      </c>
      <c r="G503" s="141" t="s">
        <v>123</v>
      </c>
      <c r="H503" s="174">
        <v>0</v>
      </c>
      <c r="I503" s="190" t="s">
        <v>543</v>
      </c>
      <c r="J503" s="174">
        <v>139</v>
      </c>
      <c r="K503" s="174">
        <v>139</v>
      </c>
      <c r="L503" s="149"/>
      <c r="M503" s="185"/>
      <c r="N503" s="185" t="s">
        <v>1925</v>
      </c>
      <c r="P503" s="155"/>
    </row>
    <row r="504" spans="1:20">
      <c r="A504" s="140" t="str">
        <f t="shared" si="7"/>
        <v>05742-00323-00-A27A</v>
      </c>
      <c r="B504" s="162" t="s">
        <v>1119</v>
      </c>
      <c r="C504" s="162" t="s">
        <v>1787</v>
      </c>
      <c r="D504" s="162" t="s">
        <v>1122</v>
      </c>
      <c r="F504" s="171">
        <v>48495</v>
      </c>
      <c r="G504" s="141" t="s">
        <v>123</v>
      </c>
      <c r="H504" s="174">
        <v>0</v>
      </c>
      <c r="I504" s="186" t="s">
        <v>832</v>
      </c>
      <c r="J504" s="174">
        <v>372</v>
      </c>
      <c r="K504" s="174">
        <v>372</v>
      </c>
      <c r="L504" s="149"/>
      <c r="M504" s="185"/>
      <c r="N504" s="185" t="s">
        <v>1925</v>
      </c>
      <c r="P504" s="155"/>
    </row>
    <row r="505" spans="1:20">
      <c r="A505" s="140" t="str">
        <f t="shared" si="7"/>
        <v>05742-00323-00-A27B</v>
      </c>
      <c r="B505" s="162" t="s">
        <v>1119</v>
      </c>
      <c r="C505" s="162" t="s">
        <v>1787</v>
      </c>
      <c r="D505" s="162" t="s">
        <v>1122</v>
      </c>
      <c r="F505" s="171">
        <v>48495</v>
      </c>
      <c r="G505" s="141" t="s">
        <v>123</v>
      </c>
      <c r="H505" s="174">
        <v>0</v>
      </c>
      <c r="I505" s="186" t="s">
        <v>542</v>
      </c>
      <c r="J505" s="174">
        <v>193</v>
      </c>
      <c r="K505" s="174">
        <v>193</v>
      </c>
      <c r="L505" s="149"/>
      <c r="M505" s="185"/>
      <c r="N505" s="185" t="s">
        <v>1925</v>
      </c>
      <c r="P505" s="155"/>
    </row>
    <row r="506" spans="1:20" hidden="1">
      <c r="A506" s="140" t="str">
        <f t="shared" ref="A506:A569" si="8">G506&amp;"-"&amp;TEXT(H506,"00")&amp;"-"&amp;I506</f>
        <v>05742-00323-01-A25F</v>
      </c>
      <c r="B506" s="162" t="s">
        <v>1119</v>
      </c>
      <c r="C506" s="162" t="s">
        <v>1787</v>
      </c>
      <c r="D506" s="162" t="s">
        <v>1122</v>
      </c>
      <c r="F506" s="171">
        <v>48542</v>
      </c>
      <c r="G506" s="141" t="s">
        <v>123</v>
      </c>
      <c r="H506" s="174">
        <v>1</v>
      </c>
      <c r="I506" s="186" t="s">
        <v>117</v>
      </c>
      <c r="J506" s="174">
        <v>514</v>
      </c>
      <c r="K506" s="174">
        <v>514</v>
      </c>
      <c r="L506" s="149"/>
      <c r="M506" s="185"/>
      <c r="N506" s="185"/>
      <c r="P506" s="155"/>
    </row>
    <row r="507" spans="1:20" hidden="1">
      <c r="A507" s="140" t="str">
        <f t="shared" si="8"/>
        <v>05742-00323-01-A25G</v>
      </c>
      <c r="B507" s="162" t="s">
        <v>1119</v>
      </c>
      <c r="C507" s="162" t="s">
        <v>1787</v>
      </c>
      <c r="D507" s="162" t="s">
        <v>1122</v>
      </c>
      <c r="F507" s="171">
        <v>48542</v>
      </c>
      <c r="G507" s="141" t="s">
        <v>123</v>
      </c>
      <c r="H507" s="174">
        <v>1</v>
      </c>
      <c r="I507" s="190" t="s">
        <v>543</v>
      </c>
      <c r="J507" s="174">
        <v>139</v>
      </c>
      <c r="K507" s="174">
        <v>139</v>
      </c>
      <c r="L507" s="149"/>
      <c r="M507" s="185"/>
      <c r="N507" s="185"/>
      <c r="P507" s="155"/>
      <c r="Q507" s="143"/>
      <c r="R507" s="145"/>
      <c r="S507" s="145"/>
    </row>
    <row r="508" spans="1:20">
      <c r="A508" s="140" t="str">
        <f t="shared" si="8"/>
        <v>05742-00323-01-A27A</v>
      </c>
      <c r="B508" s="162" t="s">
        <v>1119</v>
      </c>
      <c r="C508" s="162" t="s">
        <v>1787</v>
      </c>
      <c r="D508" s="162" t="s">
        <v>1122</v>
      </c>
      <c r="F508" s="171">
        <v>48542</v>
      </c>
      <c r="G508" s="141" t="s">
        <v>123</v>
      </c>
      <c r="H508" s="174">
        <v>1</v>
      </c>
      <c r="I508" s="186" t="s">
        <v>832</v>
      </c>
      <c r="J508" s="174">
        <v>372</v>
      </c>
      <c r="K508" s="174">
        <v>372</v>
      </c>
      <c r="L508" s="149"/>
      <c r="M508" s="185"/>
      <c r="N508" s="185"/>
      <c r="P508" s="155"/>
    </row>
    <row r="509" spans="1:20">
      <c r="A509" s="140" t="str">
        <f t="shared" si="8"/>
        <v>05742-00323-01-A27B</v>
      </c>
      <c r="B509" s="162" t="s">
        <v>1119</v>
      </c>
      <c r="C509" s="162" t="s">
        <v>1787</v>
      </c>
      <c r="D509" s="162" t="s">
        <v>1122</v>
      </c>
      <c r="F509" s="171">
        <v>48542</v>
      </c>
      <c r="G509" s="141" t="s">
        <v>123</v>
      </c>
      <c r="H509" s="174">
        <v>1</v>
      </c>
      <c r="I509" s="186" t="s">
        <v>542</v>
      </c>
      <c r="J509" s="174">
        <v>193</v>
      </c>
      <c r="K509" s="174">
        <v>193</v>
      </c>
      <c r="L509" s="149"/>
      <c r="M509" s="185"/>
    </row>
    <row r="510" spans="1:20" ht="27" hidden="1">
      <c r="A510" s="140" t="str">
        <f t="shared" si="8"/>
        <v>05742-00323-05-</v>
      </c>
      <c r="B510" s="162" t="s">
        <v>1119</v>
      </c>
      <c r="C510" s="162" t="s">
        <v>1787</v>
      </c>
      <c r="D510" s="162" t="s">
        <v>1122</v>
      </c>
      <c r="F510" s="171">
        <v>62927</v>
      </c>
      <c r="G510" s="141" t="s">
        <v>1105</v>
      </c>
      <c r="H510" s="174">
        <v>5</v>
      </c>
      <c r="I510" s="186"/>
      <c r="M510" s="217" t="s">
        <v>1820</v>
      </c>
      <c r="N510" s="183" t="s">
        <v>1926</v>
      </c>
    </row>
    <row r="511" spans="1:20" hidden="1">
      <c r="A511" s="140" t="str">
        <f t="shared" si="8"/>
        <v>05742-00334-00-A25F</v>
      </c>
      <c r="B511" s="162" t="s">
        <v>1119</v>
      </c>
      <c r="C511" s="162" t="s">
        <v>1787</v>
      </c>
      <c r="D511" s="162" t="s">
        <v>1122</v>
      </c>
      <c r="F511" s="171">
        <v>48593</v>
      </c>
      <c r="G511" s="141" t="s">
        <v>125</v>
      </c>
      <c r="H511" s="174">
        <v>0</v>
      </c>
      <c r="I511" s="186" t="s">
        <v>117</v>
      </c>
      <c r="J511" s="174">
        <v>525</v>
      </c>
      <c r="K511" s="174">
        <v>525</v>
      </c>
      <c r="L511" s="149"/>
      <c r="M511" s="185"/>
      <c r="N511" s="183" t="s">
        <v>1925</v>
      </c>
    </row>
    <row r="512" spans="1:20" hidden="1">
      <c r="A512" s="140" t="str">
        <f t="shared" si="8"/>
        <v>05742-00334-00-A25G</v>
      </c>
      <c r="B512" s="162" t="s">
        <v>1119</v>
      </c>
      <c r="C512" s="162" t="s">
        <v>1787</v>
      </c>
      <c r="D512" s="162" t="s">
        <v>1122</v>
      </c>
      <c r="F512" s="171">
        <v>48593</v>
      </c>
      <c r="G512" s="141" t="s">
        <v>125</v>
      </c>
      <c r="H512" s="174">
        <v>0</v>
      </c>
      <c r="I512" s="190" t="s">
        <v>543</v>
      </c>
      <c r="J512" s="174">
        <v>142</v>
      </c>
      <c r="K512" s="174">
        <v>142</v>
      </c>
      <c r="L512" s="149"/>
      <c r="M512" s="185"/>
      <c r="N512" s="183" t="s">
        <v>1925</v>
      </c>
      <c r="Q512" s="143"/>
      <c r="R512" s="141"/>
      <c r="S512" s="145"/>
    </row>
    <row r="513" spans="1:20">
      <c r="A513" s="140" t="str">
        <f t="shared" si="8"/>
        <v>05742-00334-00-A27A</v>
      </c>
      <c r="B513" s="162" t="s">
        <v>1119</v>
      </c>
      <c r="C513" s="162" t="s">
        <v>1787</v>
      </c>
      <c r="D513" s="162" t="s">
        <v>1122</v>
      </c>
      <c r="F513" s="171">
        <v>48593</v>
      </c>
      <c r="G513" s="141" t="s">
        <v>125</v>
      </c>
      <c r="H513" s="174">
        <v>0</v>
      </c>
      <c r="I513" s="186" t="s">
        <v>832</v>
      </c>
      <c r="J513" s="174">
        <v>389</v>
      </c>
      <c r="K513" s="174">
        <v>389</v>
      </c>
      <c r="L513" s="149"/>
      <c r="M513" s="185"/>
      <c r="N513" s="183" t="s">
        <v>1925</v>
      </c>
    </row>
    <row r="514" spans="1:20">
      <c r="A514" s="140" t="str">
        <f t="shared" si="8"/>
        <v>05742-00334-00-A27B</v>
      </c>
      <c r="B514" s="162" t="s">
        <v>1119</v>
      </c>
      <c r="C514" s="162" t="s">
        <v>1787</v>
      </c>
      <c r="D514" s="162" t="s">
        <v>1122</v>
      </c>
      <c r="F514" s="171">
        <v>48593</v>
      </c>
      <c r="G514" s="141" t="s">
        <v>125</v>
      </c>
      <c r="H514" s="174">
        <v>0</v>
      </c>
      <c r="I514" s="186" t="s">
        <v>542</v>
      </c>
      <c r="J514" s="174">
        <v>201</v>
      </c>
      <c r="K514" s="174">
        <v>201</v>
      </c>
      <c r="L514" s="149"/>
      <c r="M514" s="185"/>
      <c r="N514" s="185" t="s">
        <v>1925</v>
      </c>
      <c r="P514" s="155"/>
      <c r="T514" s="144"/>
    </row>
    <row r="515" spans="1:20" hidden="1">
      <c r="A515" s="140" t="str">
        <f t="shared" si="8"/>
        <v>05742-00334-01-A25F</v>
      </c>
      <c r="B515" s="162" t="s">
        <v>1119</v>
      </c>
      <c r="C515" s="162" t="s">
        <v>1787</v>
      </c>
      <c r="D515" s="162" t="s">
        <v>1122</v>
      </c>
      <c r="F515" s="171">
        <v>49172</v>
      </c>
      <c r="G515" s="141" t="s">
        <v>125</v>
      </c>
      <c r="H515" s="174">
        <v>1</v>
      </c>
      <c r="I515" s="186" t="s">
        <v>117</v>
      </c>
      <c r="J515" s="174">
        <v>525</v>
      </c>
      <c r="L515" s="149"/>
      <c r="M515" s="185"/>
    </row>
    <row r="516" spans="1:20" hidden="1">
      <c r="A516" s="140" t="str">
        <f t="shared" si="8"/>
        <v>05742-00334-01-A25G</v>
      </c>
      <c r="B516" s="162" t="s">
        <v>1119</v>
      </c>
      <c r="C516" s="162" t="s">
        <v>1787</v>
      </c>
      <c r="D516" s="162" t="s">
        <v>1122</v>
      </c>
      <c r="F516" s="171">
        <v>49172</v>
      </c>
      <c r="G516" s="141" t="s">
        <v>125</v>
      </c>
      <c r="H516" s="174">
        <v>1</v>
      </c>
      <c r="I516" s="190" t="s">
        <v>543</v>
      </c>
      <c r="J516" s="174">
        <v>142</v>
      </c>
      <c r="L516" s="149"/>
      <c r="M516" s="185"/>
    </row>
    <row r="517" spans="1:20">
      <c r="A517" s="140" t="str">
        <f t="shared" si="8"/>
        <v>05742-00334-01-A27A</v>
      </c>
      <c r="B517" s="162" t="s">
        <v>1119</v>
      </c>
      <c r="C517" s="162" t="s">
        <v>1787</v>
      </c>
      <c r="D517" s="162" t="s">
        <v>1122</v>
      </c>
      <c r="F517" s="171">
        <v>49172</v>
      </c>
      <c r="G517" s="141" t="s">
        <v>125</v>
      </c>
      <c r="H517" s="174">
        <v>1</v>
      </c>
      <c r="I517" s="186" t="s">
        <v>832</v>
      </c>
      <c r="J517" s="174">
        <v>389</v>
      </c>
      <c r="L517" s="149"/>
      <c r="M517" s="185"/>
    </row>
    <row r="518" spans="1:20">
      <c r="A518" s="140" t="str">
        <f t="shared" si="8"/>
        <v>05742-00334-01-A27B</v>
      </c>
      <c r="B518" s="162" t="s">
        <v>1119</v>
      </c>
      <c r="C518" s="162" t="s">
        <v>1787</v>
      </c>
      <c r="D518" s="162" t="s">
        <v>1122</v>
      </c>
      <c r="F518" s="171">
        <v>49172</v>
      </c>
      <c r="G518" s="141" t="s">
        <v>125</v>
      </c>
      <c r="H518" s="174">
        <v>1</v>
      </c>
      <c r="I518" s="186" t="s">
        <v>542</v>
      </c>
      <c r="J518" s="174">
        <v>201</v>
      </c>
      <c r="L518" s="149"/>
      <c r="M518" s="185"/>
    </row>
    <row r="519" spans="1:20" ht="27" hidden="1">
      <c r="A519" s="140" t="str">
        <f t="shared" si="8"/>
        <v>05742-00334-04-</v>
      </c>
      <c r="B519" s="162" t="s">
        <v>1119</v>
      </c>
      <c r="C519" s="162" t="s">
        <v>1787</v>
      </c>
      <c r="D519" s="162" t="s">
        <v>1122</v>
      </c>
      <c r="F519" s="171">
        <v>62927</v>
      </c>
      <c r="G519" s="141" t="s">
        <v>1106</v>
      </c>
      <c r="H519" s="174">
        <v>4</v>
      </c>
      <c r="I519" s="186"/>
      <c r="M519" s="217" t="s">
        <v>1821</v>
      </c>
      <c r="N519" s="183" t="s">
        <v>1926</v>
      </c>
    </row>
    <row r="520" spans="1:20" hidden="1">
      <c r="A520" s="140" t="str">
        <f t="shared" si="8"/>
        <v>05742-00335-00-A25F</v>
      </c>
      <c r="B520" s="162" t="s">
        <v>1119</v>
      </c>
      <c r="C520" s="162" t="s">
        <v>1787</v>
      </c>
      <c r="D520" s="162" t="s">
        <v>1122</v>
      </c>
      <c r="F520" s="171">
        <v>49487</v>
      </c>
      <c r="G520" s="141" t="s">
        <v>126</v>
      </c>
      <c r="H520" s="174">
        <v>0</v>
      </c>
      <c r="I520" s="186" t="s">
        <v>117</v>
      </c>
      <c r="J520" s="174">
        <v>638</v>
      </c>
      <c r="K520" s="174">
        <v>636</v>
      </c>
      <c r="L520" s="149"/>
      <c r="M520" s="185"/>
      <c r="N520" s="183" t="s">
        <v>127</v>
      </c>
    </row>
    <row r="521" spans="1:20" hidden="1">
      <c r="A521" s="140" t="str">
        <f t="shared" si="8"/>
        <v>05742-00335-00-A25G</v>
      </c>
      <c r="B521" s="162" t="s">
        <v>1119</v>
      </c>
      <c r="C521" s="162" t="s">
        <v>1787</v>
      </c>
      <c r="D521" s="162" t="s">
        <v>1122</v>
      </c>
      <c r="F521" s="171">
        <v>49487</v>
      </c>
      <c r="G521" s="141" t="s">
        <v>126</v>
      </c>
      <c r="H521" s="174">
        <v>0</v>
      </c>
      <c r="I521" s="190" t="s">
        <v>543</v>
      </c>
      <c r="J521" s="174">
        <v>249</v>
      </c>
      <c r="K521" s="174">
        <v>252</v>
      </c>
      <c r="L521" s="149"/>
      <c r="M521" s="185"/>
      <c r="N521" s="183" t="s">
        <v>127</v>
      </c>
    </row>
    <row r="522" spans="1:20">
      <c r="A522" s="140" t="str">
        <f t="shared" si="8"/>
        <v>05742-00335-00-A27A</v>
      </c>
      <c r="B522" s="162" t="s">
        <v>1119</v>
      </c>
      <c r="C522" s="162" t="s">
        <v>1787</v>
      </c>
      <c r="D522" s="162" t="s">
        <v>1122</v>
      </c>
      <c r="F522" s="171">
        <v>49487</v>
      </c>
      <c r="G522" s="141" t="s">
        <v>126</v>
      </c>
      <c r="H522" s="174">
        <v>0</v>
      </c>
      <c r="I522" s="186" t="s">
        <v>832</v>
      </c>
      <c r="J522" s="174">
        <v>502</v>
      </c>
      <c r="K522" s="174">
        <v>502</v>
      </c>
      <c r="L522" s="149"/>
      <c r="M522" s="185"/>
      <c r="N522" s="183" t="s">
        <v>127</v>
      </c>
    </row>
    <row r="523" spans="1:20">
      <c r="A523" s="140" t="str">
        <f t="shared" si="8"/>
        <v>05742-00335-00-A27B</v>
      </c>
      <c r="B523" s="162" t="s">
        <v>1119</v>
      </c>
      <c r="C523" s="162" t="s">
        <v>1787</v>
      </c>
      <c r="D523" s="162" t="s">
        <v>1122</v>
      </c>
      <c r="F523" s="171">
        <v>49487</v>
      </c>
      <c r="G523" s="141" t="s">
        <v>126</v>
      </c>
      <c r="H523" s="174">
        <v>0</v>
      </c>
      <c r="I523" s="186" t="s">
        <v>542</v>
      </c>
      <c r="J523" s="174">
        <v>331</v>
      </c>
      <c r="K523" s="174">
        <v>333</v>
      </c>
      <c r="L523" s="149"/>
      <c r="M523" s="185"/>
      <c r="N523" s="183" t="s">
        <v>127</v>
      </c>
    </row>
    <row r="524" spans="1:20" hidden="1">
      <c r="A524" s="140" t="str">
        <f t="shared" si="8"/>
        <v>05742-00335-01-A25F</v>
      </c>
      <c r="B524" s="162" t="s">
        <v>1119</v>
      </c>
      <c r="C524" s="162" t="s">
        <v>1787</v>
      </c>
      <c r="D524" s="162" t="s">
        <v>1122</v>
      </c>
      <c r="F524" s="171">
        <v>50075</v>
      </c>
      <c r="G524" s="141" t="s">
        <v>126</v>
      </c>
      <c r="H524" s="174">
        <v>1</v>
      </c>
      <c r="I524" s="190" t="s">
        <v>884</v>
      </c>
      <c r="J524" s="174">
        <v>636</v>
      </c>
      <c r="L524" s="149"/>
      <c r="M524" s="185"/>
    </row>
    <row r="525" spans="1:20" hidden="1">
      <c r="A525" s="140" t="str">
        <f t="shared" si="8"/>
        <v>05742-00335-01-A25G</v>
      </c>
      <c r="B525" s="162" t="s">
        <v>1119</v>
      </c>
      <c r="C525" s="162" t="s">
        <v>1787</v>
      </c>
      <c r="D525" s="162" t="s">
        <v>1122</v>
      </c>
      <c r="F525" s="171">
        <v>50075</v>
      </c>
      <c r="G525" s="141" t="s">
        <v>126</v>
      </c>
      <c r="H525" s="174">
        <v>1</v>
      </c>
      <c r="I525" s="190" t="s">
        <v>885</v>
      </c>
      <c r="J525" s="174">
        <v>252</v>
      </c>
      <c r="L525" s="149"/>
      <c r="M525" s="185"/>
    </row>
    <row r="526" spans="1:20">
      <c r="A526" s="140" t="str">
        <f t="shared" si="8"/>
        <v xml:space="preserve">05742-00335-01-A27A	</v>
      </c>
      <c r="B526" s="162" t="s">
        <v>1119</v>
      </c>
      <c r="C526" s="162" t="s">
        <v>1787</v>
      </c>
      <c r="D526" s="162" t="s">
        <v>1122</v>
      </c>
      <c r="F526" s="171">
        <v>50075</v>
      </c>
      <c r="G526" s="141" t="s">
        <v>126</v>
      </c>
      <c r="H526" s="174">
        <v>1</v>
      </c>
      <c r="I526" s="190" t="s">
        <v>1992</v>
      </c>
      <c r="J526" s="174">
        <v>502</v>
      </c>
      <c r="L526" s="149"/>
      <c r="M526" s="185"/>
    </row>
    <row r="527" spans="1:20">
      <c r="A527" s="140" t="str">
        <f t="shared" si="8"/>
        <v>05742-00335-01-A27B</v>
      </c>
      <c r="B527" s="162" t="s">
        <v>1119</v>
      </c>
      <c r="C527" s="162" t="s">
        <v>1787</v>
      </c>
      <c r="D527" s="162" t="s">
        <v>1122</v>
      </c>
      <c r="F527" s="171">
        <v>50075</v>
      </c>
      <c r="G527" s="141" t="s">
        <v>126</v>
      </c>
      <c r="H527" s="174">
        <v>1</v>
      </c>
      <c r="I527" s="190" t="s">
        <v>542</v>
      </c>
      <c r="J527" s="174">
        <v>333</v>
      </c>
      <c r="L527" s="149"/>
      <c r="M527" s="185"/>
    </row>
    <row r="528" spans="1:20" ht="27" hidden="1">
      <c r="A528" s="140" t="str">
        <f t="shared" si="8"/>
        <v>05742-00335-04-</v>
      </c>
      <c r="B528" s="162" t="s">
        <v>1119</v>
      </c>
      <c r="C528" s="162" t="s">
        <v>1787</v>
      </c>
      <c r="D528" s="162" t="s">
        <v>1122</v>
      </c>
      <c r="F528" s="171">
        <v>62927</v>
      </c>
      <c r="G528" s="141" t="s">
        <v>1107</v>
      </c>
      <c r="H528" s="174">
        <v>4</v>
      </c>
      <c r="I528" s="186"/>
      <c r="M528" s="217" t="s">
        <v>1822</v>
      </c>
      <c r="N528" s="183" t="s">
        <v>1926</v>
      </c>
    </row>
    <row r="529" spans="1:14" hidden="1">
      <c r="A529" s="140" t="str">
        <f t="shared" si="8"/>
        <v>05742-00359-00-A25F</v>
      </c>
      <c r="B529" s="162" t="s">
        <v>1119</v>
      </c>
      <c r="C529" s="162" t="s">
        <v>1787</v>
      </c>
      <c r="D529" s="162" t="s">
        <v>1122</v>
      </c>
      <c r="F529" s="171">
        <v>51075</v>
      </c>
      <c r="G529" s="141" t="s">
        <v>128</v>
      </c>
      <c r="H529" s="174">
        <v>0</v>
      </c>
      <c r="I529" s="186" t="s">
        <v>884</v>
      </c>
      <c r="J529" s="174">
        <v>816</v>
      </c>
      <c r="K529" s="174">
        <v>816</v>
      </c>
      <c r="L529" s="149"/>
      <c r="M529" s="185"/>
      <c r="N529" s="183" t="s">
        <v>76</v>
      </c>
    </row>
    <row r="530" spans="1:14" hidden="1">
      <c r="A530" s="140" t="str">
        <f t="shared" si="8"/>
        <v>05742-00359-00-A25G</v>
      </c>
      <c r="B530" s="162" t="s">
        <v>1119</v>
      </c>
      <c r="C530" s="162" t="s">
        <v>1787</v>
      </c>
      <c r="D530" s="162" t="s">
        <v>1122</v>
      </c>
      <c r="F530" s="171">
        <v>51075</v>
      </c>
      <c r="G530" s="141" t="s">
        <v>128</v>
      </c>
      <c r="H530" s="174">
        <v>0</v>
      </c>
      <c r="I530" s="190" t="s">
        <v>543</v>
      </c>
      <c r="J530" s="174">
        <v>393</v>
      </c>
      <c r="K530" s="174">
        <v>393</v>
      </c>
      <c r="L530" s="149"/>
      <c r="M530" s="185"/>
      <c r="N530" s="183" t="s">
        <v>76</v>
      </c>
    </row>
    <row r="531" spans="1:14">
      <c r="A531" s="140" t="str">
        <f t="shared" si="8"/>
        <v>05742-00359-00-A27A</v>
      </c>
      <c r="B531" s="162" t="s">
        <v>1119</v>
      </c>
      <c r="C531" s="162" t="s">
        <v>1787</v>
      </c>
      <c r="D531" s="162" t="s">
        <v>1122</v>
      </c>
      <c r="F531" s="171">
        <v>51075</v>
      </c>
      <c r="G531" s="141" t="s">
        <v>802</v>
      </c>
      <c r="H531" s="174">
        <v>0</v>
      </c>
      <c r="I531" s="186" t="s">
        <v>903</v>
      </c>
      <c r="J531" s="174">
        <v>668</v>
      </c>
      <c r="K531" s="174">
        <v>667</v>
      </c>
      <c r="L531" s="149"/>
      <c r="M531" s="185"/>
      <c r="N531" s="183" t="s">
        <v>76</v>
      </c>
    </row>
    <row r="532" spans="1:14">
      <c r="A532" s="140" t="str">
        <f t="shared" si="8"/>
        <v>05742-00359-00-A27B</v>
      </c>
      <c r="B532" s="162" t="s">
        <v>1119</v>
      </c>
      <c r="C532" s="162" t="s">
        <v>1787</v>
      </c>
      <c r="D532" s="162" t="s">
        <v>1122</v>
      </c>
      <c r="F532" s="171">
        <v>51075</v>
      </c>
      <c r="G532" s="141" t="s">
        <v>802</v>
      </c>
      <c r="H532" s="174">
        <v>0</v>
      </c>
      <c r="I532" s="186" t="s">
        <v>904</v>
      </c>
      <c r="J532" s="174">
        <v>459</v>
      </c>
      <c r="K532" s="174">
        <v>459</v>
      </c>
      <c r="L532" s="149"/>
      <c r="M532" s="185"/>
      <c r="N532" s="183" t="s">
        <v>76</v>
      </c>
    </row>
    <row r="533" spans="1:14" hidden="1">
      <c r="A533" s="140" t="str">
        <f t="shared" si="8"/>
        <v>05742-00359-01-A25F</v>
      </c>
      <c r="B533" s="162" t="s">
        <v>1119</v>
      </c>
      <c r="C533" s="162" t="s">
        <v>1787</v>
      </c>
      <c r="D533" s="162" t="s">
        <v>1122</v>
      </c>
      <c r="F533" s="171">
        <v>51708</v>
      </c>
      <c r="G533" s="141" t="s">
        <v>128</v>
      </c>
      <c r="H533" s="174">
        <v>1</v>
      </c>
      <c r="I533" s="190" t="s">
        <v>117</v>
      </c>
      <c r="J533" s="174">
        <v>886</v>
      </c>
      <c r="K533" s="174">
        <v>886</v>
      </c>
      <c r="L533" s="149"/>
      <c r="M533" s="185"/>
    </row>
    <row r="534" spans="1:14">
      <c r="A534" s="140" t="str">
        <f t="shared" si="8"/>
        <v>05742-00359-01-A27B</v>
      </c>
      <c r="B534" s="162" t="s">
        <v>1119</v>
      </c>
      <c r="C534" s="162" t="s">
        <v>1787</v>
      </c>
      <c r="D534" s="162" t="s">
        <v>1122</v>
      </c>
      <c r="F534" s="171">
        <v>51708</v>
      </c>
      <c r="G534" s="141" t="s">
        <v>128</v>
      </c>
      <c r="H534" s="174">
        <v>1</v>
      </c>
      <c r="I534" s="190" t="s">
        <v>542</v>
      </c>
      <c r="J534" s="174">
        <v>545</v>
      </c>
      <c r="K534" s="174">
        <v>545</v>
      </c>
      <c r="L534" s="149"/>
      <c r="M534" s="185"/>
    </row>
    <row r="535" spans="1:14" hidden="1">
      <c r="A535" s="140" t="str">
        <f t="shared" si="8"/>
        <v>05742-00359-01-A25G</v>
      </c>
      <c r="B535" s="162" t="s">
        <v>1119</v>
      </c>
      <c r="C535" s="162" t="s">
        <v>1787</v>
      </c>
      <c r="D535" s="162" t="s">
        <v>1122</v>
      </c>
      <c r="F535" s="171">
        <v>51708</v>
      </c>
      <c r="G535" s="141" t="s">
        <v>128</v>
      </c>
      <c r="H535" s="174">
        <v>1</v>
      </c>
      <c r="I535" s="190" t="s">
        <v>543</v>
      </c>
      <c r="J535" s="174">
        <v>504</v>
      </c>
      <c r="K535" s="174">
        <v>504</v>
      </c>
      <c r="L535" s="149"/>
      <c r="M535" s="185"/>
    </row>
    <row r="536" spans="1:14">
      <c r="A536" s="140" t="str">
        <f t="shared" si="8"/>
        <v>05742-00359-01-A27A</v>
      </c>
      <c r="B536" s="162" t="s">
        <v>1119</v>
      </c>
      <c r="C536" s="162" t="s">
        <v>1787</v>
      </c>
      <c r="D536" s="162" t="s">
        <v>1122</v>
      </c>
      <c r="F536" s="171">
        <v>51708</v>
      </c>
      <c r="G536" s="141" t="s">
        <v>128</v>
      </c>
      <c r="H536" s="174">
        <v>1</v>
      </c>
      <c r="I536" s="190" t="s">
        <v>832</v>
      </c>
    </row>
    <row r="537" spans="1:14" hidden="1">
      <c r="A537" s="140" t="str">
        <f t="shared" si="8"/>
        <v>05742-00359-02-A25F</v>
      </c>
      <c r="B537" s="162" t="s">
        <v>1119</v>
      </c>
      <c r="C537" s="162" t="s">
        <v>1787</v>
      </c>
      <c r="D537" s="162" t="s">
        <v>1122</v>
      </c>
      <c r="F537" s="171">
        <v>52310</v>
      </c>
      <c r="G537" s="141" t="s">
        <v>128</v>
      </c>
      <c r="H537" s="174">
        <v>2</v>
      </c>
      <c r="I537" s="190" t="s">
        <v>117</v>
      </c>
      <c r="K537" s="174">
        <v>901</v>
      </c>
      <c r="L537" s="149"/>
      <c r="M537" s="185"/>
    </row>
    <row r="538" spans="1:14" hidden="1">
      <c r="A538" s="140" t="str">
        <f t="shared" si="8"/>
        <v xml:space="preserve">05742-00359-02-A25G	</v>
      </c>
      <c r="B538" s="162" t="s">
        <v>1119</v>
      </c>
      <c r="C538" s="162" t="s">
        <v>1787</v>
      </c>
      <c r="D538" s="162" t="s">
        <v>1122</v>
      </c>
      <c r="F538" s="171">
        <v>52310</v>
      </c>
      <c r="G538" s="141" t="s">
        <v>128</v>
      </c>
      <c r="H538" s="174">
        <v>2</v>
      </c>
      <c r="I538" s="186" t="s">
        <v>921</v>
      </c>
      <c r="K538" s="174">
        <v>548</v>
      </c>
      <c r="L538" s="149"/>
      <c r="M538" s="185"/>
    </row>
    <row r="539" spans="1:14">
      <c r="A539" s="140" t="str">
        <f t="shared" si="8"/>
        <v>05742-00359-02-A27A</v>
      </c>
      <c r="B539" s="162" t="s">
        <v>1119</v>
      </c>
      <c r="C539" s="162" t="s">
        <v>1787</v>
      </c>
      <c r="D539" s="162" t="s">
        <v>1122</v>
      </c>
      <c r="F539" s="171">
        <v>52310</v>
      </c>
      <c r="G539" s="141" t="s">
        <v>128</v>
      </c>
      <c r="H539" s="174">
        <v>2</v>
      </c>
      <c r="I539" s="186" t="s">
        <v>922</v>
      </c>
      <c r="K539" s="174">
        <v>668</v>
      </c>
      <c r="L539" s="149"/>
      <c r="M539" s="185"/>
    </row>
    <row r="540" spans="1:14">
      <c r="A540" s="140" t="str">
        <f t="shared" si="8"/>
        <v>05742-00359-02-A27B</v>
      </c>
      <c r="B540" s="162" t="s">
        <v>1119</v>
      </c>
      <c r="C540" s="162" t="s">
        <v>1787</v>
      </c>
      <c r="D540" s="162" t="s">
        <v>1122</v>
      </c>
      <c r="F540" s="171">
        <v>52310</v>
      </c>
      <c r="G540" s="141" t="s">
        <v>128</v>
      </c>
      <c r="H540" s="174">
        <v>2</v>
      </c>
      <c r="I540" s="186" t="s">
        <v>923</v>
      </c>
      <c r="K540" s="174">
        <v>638</v>
      </c>
      <c r="L540" s="149"/>
      <c r="M540" s="185"/>
    </row>
    <row r="541" spans="1:14" hidden="1">
      <c r="A541" s="140" t="str">
        <f t="shared" si="8"/>
        <v>05742-00359-03-A25F</v>
      </c>
      <c r="B541" s="162" t="s">
        <v>1119</v>
      </c>
      <c r="C541" s="162" t="s">
        <v>1787</v>
      </c>
      <c r="D541" s="162" t="s">
        <v>1122</v>
      </c>
      <c r="F541" s="171">
        <v>52606</v>
      </c>
      <c r="G541" s="141" t="s">
        <v>128</v>
      </c>
      <c r="H541" s="174">
        <v>3</v>
      </c>
      <c r="I541" s="190" t="s">
        <v>117</v>
      </c>
      <c r="K541" s="174">
        <v>906</v>
      </c>
      <c r="L541" s="149"/>
      <c r="M541" s="185"/>
    </row>
    <row r="542" spans="1:14" hidden="1">
      <c r="A542" s="140" t="str">
        <f t="shared" si="8"/>
        <v xml:space="preserve">05742-00359-03-A25G	</v>
      </c>
      <c r="B542" s="162" t="s">
        <v>1119</v>
      </c>
      <c r="C542" s="162" t="s">
        <v>1787</v>
      </c>
      <c r="D542" s="162" t="s">
        <v>1122</v>
      </c>
      <c r="F542" s="171">
        <v>52606</v>
      </c>
      <c r="G542" s="141" t="s">
        <v>128</v>
      </c>
      <c r="H542" s="174">
        <v>3</v>
      </c>
      <c r="I542" s="186" t="s">
        <v>921</v>
      </c>
      <c r="K542" s="174">
        <v>550</v>
      </c>
      <c r="L542" s="149"/>
      <c r="M542" s="185"/>
    </row>
    <row r="543" spans="1:14">
      <c r="A543" s="140" t="str">
        <f t="shared" si="8"/>
        <v>05742-00359-03-A27A</v>
      </c>
      <c r="B543" s="162" t="s">
        <v>1119</v>
      </c>
      <c r="C543" s="162" t="s">
        <v>1787</v>
      </c>
      <c r="D543" s="162" t="s">
        <v>1122</v>
      </c>
      <c r="F543" s="171">
        <v>52606</v>
      </c>
      <c r="G543" s="141" t="s">
        <v>128</v>
      </c>
      <c r="H543" s="174">
        <v>3</v>
      </c>
      <c r="I543" s="186" t="s">
        <v>922</v>
      </c>
    </row>
    <row r="544" spans="1:14">
      <c r="A544" s="140" t="str">
        <f t="shared" si="8"/>
        <v>05742-00359-03-A27B</v>
      </c>
      <c r="B544" s="162" t="s">
        <v>1119</v>
      </c>
      <c r="C544" s="162" t="s">
        <v>1787</v>
      </c>
      <c r="D544" s="162" t="s">
        <v>1122</v>
      </c>
      <c r="F544" s="171">
        <v>52606</v>
      </c>
      <c r="G544" s="141" t="s">
        <v>128</v>
      </c>
      <c r="H544" s="174">
        <v>3</v>
      </c>
      <c r="I544" s="186" t="s">
        <v>923</v>
      </c>
      <c r="K544" s="174">
        <v>648</v>
      </c>
      <c r="L544" s="149"/>
      <c r="M544" s="185"/>
    </row>
    <row r="545" spans="1:13" hidden="1">
      <c r="A545" s="140" t="str">
        <f t="shared" si="8"/>
        <v>05742-00359-04-A25F</v>
      </c>
      <c r="B545" s="162" t="s">
        <v>1119</v>
      </c>
      <c r="C545" s="162" t="s">
        <v>1787</v>
      </c>
      <c r="D545" s="162" t="s">
        <v>1122</v>
      </c>
      <c r="F545" s="171">
        <v>53229</v>
      </c>
      <c r="G545" s="141" t="s">
        <v>128</v>
      </c>
      <c r="H545" s="174">
        <v>4</v>
      </c>
      <c r="I545" s="190" t="s">
        <v>117</v>
      </c>
      <c r="K545" s="174">
        <v>974</v>
      </c>
      <c r="L545" s="149"/>
      <c r="M545" s="185"/>
    </row>
    <row r="546" spans="1:13" hidden="1">
      <c r="A546" s="140" t="str">
        <f t="shared" si="8"/>
        <v xml:space="preserve">05742-00359-04-A25G	</v>
      </c>
      <c r="B546" s="162" t="s">
        <v>1119</v>
      </c>
      <c r="C546" s="162" t="s">
        <v>1787</v>
      </c>
      <c r="D546" s="162" t="s">
        <v>1122</v>
      </c>
      <c r="F546" s="171">
        <v>53229</v>
      </c>
      <c r="G546" s="141" t="s">
        <v>128</v>
      </c>
      <c r="H546" s="174">
        <v>4</v>
      </c>
      <c r="I546" s="186" t="s">
        <v>921</v>
      </c>
      <c r="K546" s="174">
        <v>650</v>
      </c>
      <c r="L546" s="149"/>
      <c r="M546" s="185"/>
    </row>
    <row r="547" spans="1:13">
      <c r="A547" s="140" t="str">
        <f t="shared" si="8"/>
        <v>05742-00359-04-A27A</v>
      </c>
      <c r="B547" s="162" t="s">
        <v>1119</v>
      </c>
      <c r="C547" s="162" t="s">
        <v>1787</v>
      </c>
      <c r="D547" s="162" t="s">
        <v>1122</v>
      </c>
      <c r="F547" s="171">
        <v>53229</v>
      </c>
      <c r="G547" s="141" t="s">
        <v>128</v>
      </c>
      <c r="H547" s="174">
        <v>4</v>
      </c>
      <c r="I547" s="186" t="s">
        <v>922</v>
      </c>
      <c r="K547" s="174">
        <v>668</v>
      </c>
      <c r="L547" s="149"/>
      <c r="M547" s="185"/>
    </row>
    <row r="548" spans="1:13">
      <c r="A548" s="140" t="str">
        <f t="shared" si="8"/>
        <v>05742-00359-04-A27B</v>
      </c>
      <c r="B548" s="162" t="s">
        <v>1119</v>
      </c>
      <c r="C548" s="162" t="s">
        <v>1787</v>
      </c>
      <c r="D548" s="162" t="s">
        <v>1122</v>
      </c>
      <c r="F548" s="171">
        <v>53229</v>
      </c>
      <c r="G548" s="141" t="s">
        <v>128</v>
      </c>
      <c r="H548" s="174">
        <v>4</v>
      </c>
      <c r="I548" s="186" t="s">
        <v>923</v>
      </c>
      <c r="K548" s="174">
        <v>816</v>
      </c>
      <c r="L548" s="149"/>
      <c r="M548" s="185"/>
    </row>
    <row r="549" spans="1:13" hidden="1">
      <c r="A549" s="140" t="str">
        <f t="shared" si="8"/>
        <v>05742-00359-05-A25F</v>
      </c>
      <c r="B549" s="162" t="s">
        <v>1119</v>
      </c>
      <c r="C549" s="162" t="s">
        <v>1787</v>
      </c>
      <c r="D549" s="162" t="s">
        <v>1122</v>
      </c>
      <c r="F549" s="171">
        <v>53853</v>
      </c>
      <c r="G549" s="141" t="s">
        <v>128</v>
      </c>
      <c r="H549" s="174">
        <v>5</v>
      </c>
      <c r="I549" s="186" t="s">
        <v>937</v>
      </c>
      <c r="M549" s="217" t="s">
        <v>1222</v>
      </c>
    </row>
    <row r="550" spans="1:13" hidden="1">
      <c r="A550" s="140" t="str">
        <f t="shared" si="8"/>
        <v>05742-00359-05-A25G</v>
      </c>
      <c r="B550" s="162" t="s">
        <v>1119</v>
      </c>
      <c r="C550" s="162" t="s">
        <v>1787</v>
      </c>
      <c r="D550" s="162" t="s">
        <v>1122</v>
      </c>
      <c r="F550" s="171">
        <v>53853</v>
      </c>
      <c r="G550" s="141" t="s">
        <v>128</v>
      </c>
      <c r="H550" s="174">
        <v>5</v>
      </c>
      <c r="I550" s="190" t="s">
        <v>543</v>
      </c>
      <c r="M550" s="217" t="s">
        <v>1222</v>
      </c>
    </row>
    <row r="551" spans="1:13">
      <c r="A551" s="140" t="str">
        <f t="shared" si="8"/>
        <v>05742-00359-05-A27A</v>
      </c>
      <c r="B551" s="162" t="s">
        <v>1119</v>
      </c>
      <c r="C551" s="162" t="s">
        <v>1787</v>
      </c>
      <c r="D551" s="162" t="s">
        <v>1122</v>
      </c>
      <c r="F551" s="171">
        <v>53853</v>
      </c>
      <c r="G551" s="141" t="s">
        <v>128</v>
      </c>
      <c r="H551" s="174">
        <v>5</v>
      </c>
      <c r="I551" s="190" t="s">
        <v>832</v>
      </c>
      <c r="M551" s="217" t="s">
        <v>1222</v>
      </c>
    </row>
    <row r="552" spans="1:13">
      <c r="A552" s="140" t="str">
        <f t="shared" si="8"/>
        <v>05742-00359-05-A27B</v>
      </c>
      <c r="B552" s="162" t="s">
        <v>1119</v>
      </c>
      <c r="C552" s="162" t="s">
        <v>1787</v>
      </c>
      <c r="D552" s="162" t="s">
        <v>1122</v>
      </c>
      <c r="F552" s="171">
        <v>53853</v>
      </c>
      <c r="G552" s="141" t="s">
        <v>128</v>
      </c>
      <c r="H552" s="174">
        <v>5</v>
      </c>
      <c r="I552" s="190" t="s">
        <v>542</v>
      </c>
      <c r="M552" s="217" t="s">
        <v>1222</v>
      </c>
    </row>
    <row r="553" spans="1:13" hidden="1">
      <c r="A553" s="140" t="str">
        <f t="shared" si="8"/>
        <v>05742-00359-06-A25F</v>
      </c>
      <c r="B553" s="162" t="s">
        <v>1119</v>
      </c>
      <c r="C553" s="162" t="s">
        <v>1787</v>
      </c>
      <c r="D553" s="162" t="s">
        <v>1122</v>
      </c>
      <c r="F553" s="171">
        <v>55201</v>
      </c>
      <c r="G553" s="142" t="s">
        <v>128</v>
      </c>
      <c r="H553" s="174">
        <v>6</v>
      </c>
      <c r="I553" s="190" t="s">
        <v>117</v>
      </c>
      <c r="J553" s="174">
        <v>1189</v>
      </c>
      <c r="K553" s="174">
        <v>1189</v>
      </c>
      <c r="L553" s="149"/>
      <c r="M553" s="185"/>
    </row>
    <row r="554" spans="1:13" hidden="1">
      <c r="A554" s="140" t="str">
        <f t="shared" si="8"/>
        <v>05742-00359-06-A25G</v>
      </c>
      <c r="B554" s="162" t="s">
        <v>1119</v>
      </c>
      <c r="C554" s="162" t="s">
        <v>1787</v>
      </c>
      <c r="D554" s="162" t="s">
        <v>1122</v>
      </c>
      <c r="F554" s="171">
        <v>55201</v>
      </c>
      <c r="G554" s="142" t="s">
        <v>128</v>
      </c>
      <c r="H554" s="174">
        <v>6</v>
      </c>
      <c r="I554" s="190" t="s">
        <v>543</v>
      </c>
      <c r="J554" s="174">
        <v>935</v>
      </c>
      <c r="K554" s="174">
        <v>936</v>
      </c>
      <c r="L554" s="149"/>
      <c r="M554" s="185"/>
    </row>
    <row r="555" spans="1:13">
      <c r="A555" s="140" t="str">
        <f t="shared" si="8"/>
        <v>05742-00359-06-A27A</v>
      </c>
      <c r="B555" s="162" t="s">
        <v>1119</v>
      </c>
      <c r="C555" s="162" t="s">
        <v>1787</v>
      </c>
      <c r="D555" s="162" t="s">
        <v>1122</v>
      </c>
      <c r="F555" s="171">
        <v>55201</v>
      </c>
      <c r="G555" s="142" t="s">
        <v>128</v>
      </c>
      <c r="H555" s="174">
        <v>6</v>
      </c>
      <c r="I555" s="190" t="s">
        <v>832</v>
      </c>
      <c r="J555" s="174">
        <v>711</v>
      </c>
      <c r="K555" s="174">
        <v>711</v>
      </c>
      <c r="L555" s="149"/>
      <c r="M555" s="185"/>
    </row>
    <row r="556" spans="1:13">
      <c r="A556" s="140" t="str">
        <f t="shared" si="8"/>
        <v>05742-00359-06-A27B</v>
      </c>
      <c r="B556" s="162" t="s">
        <v>1119</v>
      </c>
      <c r="C556" s="162" t="s">
        <v>1787</v>
      </c>
      <c r="D556" s="162" t="s">
        <v>1122</v>
      </c>
      <c r="F556" s="171">
        <v>55201</v>
      </c>
      <c r="G556" s="142" t="s">
        <v>128</v>
      </c>
      <c r="H556" s="174">
        <v>6</v>
      </c>
      <c r="I556" s="186" t="s">
        <v>944</v>
      </c>
      <c r="J556" s="174">
        <v>1211</v>
      </c>
      <c r="K556" s="174">
        <v>1211</v>
      </c>
      <c r="L556" s="149"/>
      <c r="M556" s="185"/>
    </row>
    <row r="557" spans="1:13" hidden="1">
      <c r="A557" s="140" t="str">
        <f t="shared" si="8"/>
        <v>05742-00359-07-A25F</v>
      </c>
      <c r="B557" s="162" t="s">
        <v>1119</v>
      </c>
      <c r="C557" s="162" t="s">
        <v>1787</v>
      </c>
      <c r="D557" s="162" t="s">
        <v>1122</v>
      </c>
      <c r="F557" s="171">
        <v>60031</v>
      </c>
      <c r="G557" s="142" t="s">
        <v>128</v>
      </c>
      <c r="H557" s="174">
        <v>7</v>
      </c>
      <c r="I557" s="186" t="s">
        <v>961</v>
      </c>
      <c r="J557" s="174">
        <v>1344</v>
      </c>
      <c r="K557" s="174">
        <v>1344</v>
      </c>
      <c r="M557" s="217" t="s">
        <v>383</v>
      </c>
    </row>
    <row r="558" spans="1:13" hidden="1">
      <c r="A558" s="140" t="str">
        <f t="shared" si="8"/>
        <v>05742-00359-07-A25G</v>
      </c>
      <c r="B558" s="162" t="s">
        <v>1119</v>
      </c>
      <c r="C558" s="162" t="s">
        <v>1787</v>
      </c>
      <c r="D558" s="162" t="s">
        <v>1122</v>
      </c>
      <c r="F558" s="171">
        <v>60031</v>
      </c>
      <c r="G558" s="142" t="s">
        <v>128</v>
      </c>
      <c r="H558" s="174">
        <v>7</v>
      </c>
      <c r="I558" s="186" t="s">
        <v>962</v>
      </c>
      <c r="J558" s="174">
        <v>1234</v>
      </c>
      <c r="K558" s="174">
        <v>1234</v>
      </c>
      <c r="M558" s="217" t="s">
        <v>383</v>
      </c>
    </row>
    <row r="559" spans="1:13">
      <c r="A559" s="140" t="str">
        <f t="shared" si="8"/>
        <v>05742-00359-07-A27A</v>
      </c>
      <c r="B559" s="162" t="s">
        <v>1119</v>
      </c>
      <c r="C559" s="162" t="s">
        <v>1787</v>
      </c>
      <c r="D559" s="162" t="s">
        <v>1122</v>
      </c>
      <c r="F559" s="171">
        <v>60031</v>
      </c>
      <c r="G559" s="142" t="s">
        <v>128</v>
      </c>
      <c r="H559" s="174">
        <v>7</v>
      </c>
      <c r="I559" s="186" t="s">
        <v>963</v>
      </c>
      <c r="J559" s="174">
        <v>756</v>
      </c>
      <c r="K559" s="174">
        <v>756</v>
      </c>
      <c r="M559" s="217" t="s">
        <v>383</v>
      </c>
    </row>
    <row r="560" spans="1:13">
      <c r="A560" s="140" t="str">
        <f t="shared" si="8"/>
        <v>05742-00359-07-A27B</v>
      </c>
      <c r="B560" s="162" t="s">
        <v>1119</v>
      </c>
      <c r="C560" s="162" t="s">
        <v>1787</v>
      </c>
      <c r="D560" s="162" t="s">
        <v>1122</v>
      </c>
      <c r="F560" s="171">
        <v>60031</v>
      </c>
      <c r="G560" s="142" t="s">
        <v>128</v>
      </c>
      <c r="H560" s="174">
        <v>7</v>
      </c>
      <c r="I560" s="190" t="s">
        <v>542</v>
      </c>
      <c r="J560" s="174">
        <v>1624</v>
      </c>
      <c r="K560" s="174">
        <v>1624</v>
      </c>
      <c r="M560" s="217" t="s">
        <v>383</v>
      </c>
    </row>
    <row r="561" spans="1:20" ht="27" hidden="1">
      <c r="A561" s="140" t="str">
        <f t="shared" si="8"/>
        <v>05742-00359-08-</v>
      </c>
      <c r="B561" s="162" t="s">
        <v>1119</v>
      </c>
      <c r="C561" s="162" t="s">
        <v>1787</v>
      </c>
      <c r="D561" s="162" t="s">
        <v>1122</v>
      </c>
      <c r="F561" s="171">
        <v>62927</v>
      </c>
      <c r="G561" s="141" t="s">
        <v>802</v>
      </c>
      <c r="H561" s="174">
        <v>8</v>
      </c>
      <c r="I561" s="186"/>
      <c r="M561" s="217" t="s">
        <v>1823</v>
      </c>
      <c r="N561" s="183" t="s">
        <v>1926</v>
      </c>
    </row>
    <row r="562" spans="1:20" ht="27" hidden="1">
      <c r="A562" s="140" t="str">
        <f t="shared" si="8"/>
        <v>05742-00550-02-A27C</v>
      </c>
      <c r="B562" s="162" t="s">
        <v>1119</v>
      </c>
      <c r="C562" s="162" t="s">
        <v>1787</v>
      </c>
      <c r="D562" s="162" t="s">
        <v>1122</v>
      </c>
      <c r="E562" s="162" t="s">
        <v>1707</v>
      </c>
      <c r="F562" s="171">
        <v>63576</v>
      </c>
      <c r="G562" s="141" t="s">
        <v>1554</v>
      </c>
      <c r="H562" s="174">
        <v>2</v>
      </c>
      <c r="I562" s="186" t="s">
        <v>1133</v>
      </c>
      <c r="K562" s="174">
        <v>4</v>
      </c>
      <c r="M562" s="217" t="s">
        <v>360</v>
      </c>
      <c r="N562" s="183" t="s">
        <v>1927</v>
      </c>
    </row>
    <row r="563" spans="1:20" ht="27" hidden="1">
      <c r="A563" s="140" t="str">
        <f t="shared" si="8"/>
        <v>05742-00550-03-A27C</v>
      </c>
      <c r="B563" s="162" t="s">
        <v>1119</v>
      </c>
      <c r="C563" s="162" t="s">
        <v>1787</v>
      </c>
      <c r="D563" s="162" t="s">
        <v>1122</v>
      </c>
      <c r="E563" s="162" t="s">
        <v>1707</v>
      </c>
      <c r="F563" s="171">
        <v>63885</v>
      </c>
      <c r="G563" s="173" t="s">
        <v>1144</v>
      </c>
      <c r="H563" s="174">
        <v>3</v>
      </c>
      <c r="I563" s="186" t="s">
        <v>1133</v>
      </c>
      <c r="K563" s="174">
        <v>5</v>
      </c>
      <c r="M563" s="217" t="s">
        <v>1299</v>
      </c>
      <c r="N563" s="183" t="s">
        <v>1928</v>
      </c>
    </row>
    <row r="564" spans="1:20" hidden="1">
      <c r="A564" s="140" t="str">
        <f t="shared" si="8"/>
        <v>05742-00773-00-A25F</v>
      </c>
      <c r="B564" s="162" t="s">
        <v>1119</v>
      </c>
      <c r="C564" s="162" t="s">
        <v>1787</v>
      </c>
      <c r="D564" s="162" t="s">
        <v>1122</v>
      </c>
      <c r="F564" s="171">
        <v>61312</v>
      </c>
      <c r="G564" s="142" t="s">
        <v>131</v>
      </c>
      <c r="H564" s="174">
        <v>0</v>
      </c>
      <c r="I564" s="186" t="s">
        <v>117</v>
      </c>
      <c r="J564" s="174">
        <v>1414</v>
      </c>
      <c r="K564" s="174">
        <v>1414</v>
      </c>
    </row>
    <row r="565" spans="1:20" hidden="1">
      <c r="A565" s="140" t="str">
        <f t="shared" si="8"/>
        <v>05742-00773-00-A25G</v>
      </c>
      <c r="B565" s="162" t="s">
        <v>1119</v>
      </c>
      <c r="C565" s="162" t="s">
        <v>1787</v>
      </c>
      <c r="D565" s="162" t="s">
        <v>1122</v>
      </c>
      <c r="F565" s="171">
        <v>61312</v>
      </c>
      <c r="G565" s="142" t="s">
        <v>131</v>
      </c>
      <c r="H565" s="174">
        <v>0</v>
      </c>
      <c r="I565" s="186" t="s">
        <v>543</v>
      </c>
      <c r="J565" s="174">
        <v>1358</v>
      </c>
      <c r="K565" s="174">
        <v>1358</v>
      </c>
    </row>
    <row r="566" spans="1:20">
      <c r="A566" s="140" t="str">
        <f t="shared" si="8"/>
        <v>05742-00773-00-A27A</v>
      </c>
      <c r="B566" s="162" t="s">
        <v>1119</v>
      </c>
      <c r="C566" s="162" t="s">
        <v>1787</v>
      </c>
      <c r="D566" s="162" t="s">
        <v>1122</v>
      </c>
      <c r="F566" s="171">
        <v>61312</v>
      </c>
      <c r="G566" s="142" t="s">
        <v>131</v>
      </c>
      <c r="H566" s="174">
        <v>0</v>
      </c>
      <c r="I566" s="186" t="s">
        <v>832</v>
      </c>
      <c r="J566" s="174">
        <v>786</v>
      </c>
      <c r="K566" s="174">
        <v>786</v>
      </c>
    </row>
    <row r="567" spans="1:20">
      <c r="A567" s="140" t="str">
        <f t="shared" si="8"/>
        <v>05742-00773-00-A27B</v>
      </c>
      <c r="B567" s="162" t="s">
        <v>1119</v>
      </c>
      <c r="C567" s="162" t="s">
        <v>1787</v>
      </c>
      <c r="D567" s="162" t="s">
        <v>1122</v>
      </c>
      <c r="F567" s="171">
        <v>61312</v>
      </c>
      <c r="G567" s="142" t="s">
        <v>131</v>
      </c>
      <c r="H567" s="174">
        <v>0</v>
      </c>
      <c r="I567" s="190" t="s">
        <v>542</v>
      </c>
      <c r="J567" s="174">
        <v>1833</v>
      </c>
      <c r="K567" s="174">
        <v>1833</v>
      </c>
    </row>
    <row r="568" spans="1:20" hidden="1">
      <c r="A568" s="140" t="str">
        <f t="shared" si="8"/>
        <v>05742-00773-01-A25F</v>
      </c>
      <c r="B568" s="162" t="s">
        <v>1119</v>
      </c>
      <c r="C568" s="162" t="s">
        <v>1787</v>
      </c>
      <c r="D568" s="162" t="s">
        <v>1122</v>
      </c>
      <c r="F568" s="171">
        <v>61591</v>
      </c>
      <c r="G568" s="142" t="s">
        <v>131</v>
      </c>
      <c r="H568" s="174">
        <v>1</v>
      </c>
      <c r="I568" s="186" t="s">
        <v>117</v>
      </c>
      <c r="J568" s="174">
        <v>1414</v>
      </c>
      <c r="K568" s="174">
        <v>1414</v>
      </c>
      <c r="M568" s="217" t="s">
        <v>384</v>
      </c>
    </row>
    <row r="569" spans="1:20" hidden="1">
      <c r="A569" s="140" t="str">
        <f t="shared" si="8"/>
        <v>05742-00773-01-A25G</v>
      </c>
      <c r="B569" s="162" t="s">
        <v>1119</v>
      </c>
      <c r="C569" s="162" t="s">
        <v>1787</v>
      </c>
      <c r="D569" s="162" t="s">
        <v>1122</v>
      </c>
      <c r="F569" s="171">
        <v>61591</v>
      </c>
      <c r="G569" s="142" t="s">
        <v>131</v>
      </c>
      <c r="H569" s="174">
        <v>1</v>
      </c>
      <c r="I569" s="186" t="s">
        <v>543</v>
      </c>
      <c r="J569" s="174">
        <v>1358</v>
      </c>
      <c r="K569" s="174">
        <v>1358</v>
      </c>
      <c r="M569" s="217" t="s">
        <v>384</v>
      </c>
    </row>
    <row r="570" spans="1:20">
      <c r="A570" s="140" t="str">
        <f t="shared" ref="A570:A633" si="9">G570&amp;"-"&amp;TEXT(H570,"00")&amp;"-"&amp;I570</f>
        <v>05742-00773-01-A27A</v>
      </c>
      <c r="B570" s="162" t="s">
        <v>1119</v>
      </c>
      <c r="C570" s="162" t="s">
        <v>1787</v>
      </c>
      <c r="D570" s="162" t="s">
        <v>1122</v>
      </c>
      <c r="F570" s="171">
        <v>61591</v>
      </c>
      <c r="G570" s="142" t="s">
        <v>131</v>
      </c>
      <c r="H570" s="174">
        <v>1</v>
      </c>
      <c r="I570" s="186" t="s">
        <v>832</v>
      </c>
      <c r="J570" s="174">
        <v>786</v>
      </c>
      <c r="K570" s="174">
        <v>786</v>
      </c>
      <c r="M570" s="217" t="s">
        <v>384</v>
      </c>
    </row>
    <row r="571" spans="1:20" ht="14.25" thickBot="1">
      <c r="A571" s="140" t="str">
        <f t="shared" si="9"/>
        <v>05742-00773-01-A27B</v>
      </c>
      <c r="B571" s="162" t="s">
        <v>1119</v>
      </c>
      <c r="C571" s="162" t="s">
        <v>1787</v>
      </c>
      <c r="D571" s="162" t="s">
        <v>1122</v>
      </c>
      <c r="F571" s="171">
        <v>61591</v>
      </c>
      <c r="G571" s="142" t="s">
        <v>131</v>
      </c>
      <c r="H571" s="174">
        <v>1</v>
      </c>
      <c r="I571" s="190" t="s">
        <v>542</v>
      </c>
      <c r="J571" s="209">
        <v>1833</v>
      </c>
      <c r="K571" s="174">
        <v>1833</v>
      </c>
      <c r="M571" s="217" t="s">
        <v>384</v>
      </c>
    </row>
    <row r="572" spans="1:20" ht="27" hidden="1">
      <c r="A572" s="140" t="str">
        <f t="shared" si="9"/>
        <v>05742-00773-02-A25G</v>
      </c>
      <c r="B572" s="162" t="s">
        <v>1119</v>
      </c>
      <c r="C572" s="162" t="s">
        <v>1787</v>
      </c>
      <c r="D572" s="162" t="s">
        <v>1122</v>
      </c>
      <c r="F572" s="171">
        <v>62927</v>
      </c>
      <c r="G572" s="141" t="s">
        <v>1108</v>
      </c>
      <c r="H572" s="174">
        <v>2</v>
      </c>
      <c r="I572" s="186" t="s">
        <v>1109</v>
      </c>
      <c r="K572" s="174">
        <v>1452</v>
      </c>
      <c r="M572" s="217" t="s">
        <v>1824</v>
      </c>
      <c r="N572" s="183" t="s">
        <v>1926</v>
      </c>
    </row>
    <row r="573" spans="1:20" ht="27">
      <c r="A573" s="140" t="str">
        <f t="shared" si="9"/>
        <v>05742-00773-02-A27B</v>
      </c>
      <c r="B573" s="162" t="s">
        <v>1119</v>
      </c>
      <c r="C573" s="162" t="s">
        <v>1787</v>
      </c>
      <c r="D573" s="162" t="s">
        <v>1122</v>
      </c>
      <c r="F573" s="171">
        <v>62927</v>
      </c>
      <c r="G573" s="141" t="s">
        <v>1108</v>
      </c>
      <c r="H573" s="174">
        <v>2</v>
      </c>
      <c r="I573" s="186" t="s">
        <v>1110</v>
      </c>
      <c r="K573" s="174">
        <v>2036</v>
      </c>
      <c r="M573" s="217" t="s">
        <v>1824</v>
      </c>
      <c r="N573" s="183" t="s">
        <v>1926</v>
      </c>
    </row>
    <row r="574" spans="1:20" ht="27.75" hidden="1" thickBot="1">
      <c r="A574" s="140" t="str">
        <f t="shared" si="9"/>
        <v>05742-00773-02-A25F</v>
      </c>
      <c r="B574" s="162" t="s">
        <v>1119</v>
      </c>
      <c r="C574" s="162" t="s">
        <v>1787</v>
      </c>
      <c r="D574" s="162" t="s">
        <v>1122</v>
      </c>
      <c r="F574" s="171">
        <v>62927</v>
      </c>
      <c r="G574" s="141" t="s">
        <v>1108</v>
      </c>
      <c r="H574" s="174">
        <v>2</v>
      </c>
      <c r="I574" s="186" t="s">
        <v>1111</v>
      </c>
      <c r="J574" s="209"/>
      <c r="K574" s="174">
        <v>1467</v>
      </c>
      <c r="M574" s="217" t="s">
        <v>1824</v>
      </c>
      <c r="N574" s="183" t="s">
        <v>1926</v>
      </c>
    </row>
    <row r="575" spans="1:20" ht="27">
      <c r="A575" s="140" t="str">
        <f t="shared" si="9"/>
        <v>05742-00773-02-A27A</v>
      </c>
      <c r="B575" s="162" t="s">
        <v>1119</v>
      </c>
      <c r="C575" s="162" t="s">
        <v>1787</v>
      </c>
      <c r="D575" s="162" t="s">
        <v>1122</v>
      </c>
      <c r="F575" s="171">
        <v>62927</v>
      </c>
      <c r="G575" s="141" t="s">
        <v>1108</v>
      </c>
      <c r="H575" s="174">
        <v>2</v>
      </c>
      <c r="I575" s="186" t="s">
        <v>1112</v>
      </c>
      <c r="K575" s="174">
        <v>801</v>
      </c>
      <c r="M575" s="217" t="s">
        <v>1824</v>
      </c>
      <c r="N575" s="183" t="s">
        <v>1926</v>
      </c>
    </row>
    <row r="576" spans="1:20" hidden="1">
      <c r="A576" s="140" t="str">
        <f t="shared" si="9"/>
        <v>05742-06450-00-A25E</v>
      </c>
      <c r="B576" s="162" t="s">
        <v>1119</v>
      </c>
      <c r="C576" s="162" t="s">
        <v>1787</v>
      </c>
      <c r="D576" s="162" t="s">
        <v>1122</v>
      </c>
      <c r="F576" s="171">
        <v>40000</v>
      </c>
      <c r="G576" s="141" t="s">
        <v>487</v>
      </c>
      <c r="H576" s="174">
        <v>0</v>
      </c>
      <c r="I576" s="186" t="s">
        <v>359</v>
      </c>
      <c r="J576" s="174">
        <v>2</v>
      </c>
      <c r="N576" s="183" t="s">
        <v>29</v>
      </c>
      <c r="R576" s="146"/>
      <c r="S576" s="147"/>
      <c r="T576" s="148"/>
    </row>
    <row r="577" spans="1:20" hidden="1">
      <c r="A577" s="140" t="str">
        <f t="shared" si="9"/>
        <v>05742-06450-00-A25EW</v>
      </c>
      <c r="B577" s="162" t="s">
        <v>1119</v>
      </c>
      <c r="C577" s="162" t="s">
        <v>1787</v>
      </c>
      <c r="D577" s="162" t="s">
        <v>1122</v>
      </c>
      <c r="F577" s="171">
        <v>40000</v>
      </c>
      <c r="G577" s="141" t="s">
        <v>487</v>
      </c>
      <c r="H577" s="174">
        <v>0</v>
      </c>
      <c r="I577" s="186" t="s">
        <v>113</v>
      </c>
      <c r="J577" s="174">
        <v>2</v>
      </c>
      <c r="N577" s="183" t="s">
        <v>29</v>
      </c>
      <c r="R577" s="146"/>
      <c r="S577" s="147"/>
      <c r="T577" s="148"/>
    </row>
    <row r="578" spans="1:20" hidden="1">
      <c r="A578" s="140" t="str">
        <f t="shared" si="9"/>
        <v>05742-06450-01-A25E</v>
      </c>
      <c r="B578" s="162" t="s">
        <v>1119</v>
      </c>
      <c r="C578" s="162" t="s">
        <v>1787</v>
      </c>
      <c r="D578" s="162" t="s">
        <v>1122</v>
      </c>
      <c r="F578" s="171">
        <v>40311</v>
      </c>
      <c r="G578" s="141" t="s">
        <v>487</v>
      </c>
      <c r="H578" s="174">
        <v>1</v>
      </c>
      <c r="I578" s="186" t="s">
        <v>359</v>
      </c>
      <c r="J578" s="174">
        <v>3</v>
      </c>
      <c r="R578" s="146"/>
      <c r="S578" s="147"/>
      <c r="T578" s="148"/>
    </row>
    <row r="579" spans="1:20" hidden="1">
      <c r="A579" s="140" t="str">
        <f t="shared" si="9"/>
        <v>05742-06450-02-A25E</v>
      </c>
      <c r="B579" s="162" t="s">
        <v>1119</v>
      </c>
      <c r="C579" s="162" t="s">
        <v>1787</v>
      </c>
      <c r="D579" s="162" t="s">
        <v>1122</v>
      </c>
      <c r="F579" s="171">
        <v>40385</v>
      </c>
      <c r="G579" s="141" t="s">
        <v>487</v>
      </c>
      <c r="H579" s="174">
        <v>2</v>
      </c>
      <c r="I579" s="186" t="s">
        <v>359</v>
      </c>
      <c r="J579" s="174">
        <v>5</v>
      </c>
      <c r="R579" s="146"/>
      <c r="S579" s="147"/>
      <c r="T579" s="148"/>
    </row>
    <row r="580" spans="1:20" hidden="1">
      <c r="A580" s="140" t="str">
        <f t="shared" si="9"/>
        <v>05742-06450-03-A25E</v>
      </c>
      <c r="B580" s="162" t="s">
        <v>1119</v>
      </c>
      <c r="C580" s="162" t="s">
        <v>1787</v>
      </c>
      <c r="D580" s="162" t="s">
        <v>1122</v>
      </c>
      <c r="F580" s="171">
        <v>40415</v>
      </c>
      <c r="G580" s="141" t="s">
        <v>487</v>
      </c>
      <c r="H580" s="174">
        <v>3</v>
      </c>
      <c r="I580" s="186" t="s">
        <v>359</v>
      </c>
      <c r="J580" s="174">
        <v>2</v>
      </c>
      <c r="R580" s="146"/>
      <c r="S580" s="147"/>
      <c r="T580" s="148"/>
    </row>
    <row r="581" spans="1:20" hidden="1">
      <c r="A581" s="140" t="str">
        <f t="shared" si="9"/>
        <v>05742-06450-04-A25E</v>
      </c>
      <c r="B581" s="162" t="s">
        <v>1119</v>
      </c>
      <c r="C581" s="162" t="s">
        <v>1787</v>
      </c>
      <c r="D581" s="162" t="s">
        <v>1122</v>
      </c>
      <c r="F581" s="171">
        <v>40509</v>
      </c>
      <c r="G581" s="141" t="s">
        <v>487</v>
      </c>
      <c r="H581" s="174">
        <v>4</v>
      </c>
      <c r="I581" s="186" t="s">
        <v>359</v>
      </c>
      <c r="J581" s="174">
        <v>2</v>
      </c>
      <c r="R581" s="146"/>
      <c r="S581" s="147"/>
      <c r="T581" s="148"/>
    </row>
    <row r="582" spans="1:20" hidden="1">
      <c r="A582" s="140" t="str">
        <f t="shared" si="9"/>
        <v>05742-06450-05-A25E</v>
      </c>
      <c r="B582" s="162" t="s">
        <v>1119</v>
      </c>
      <c r="C582" s="162" t="s">
        <v>1787</v>
      </c>
      <c r="D582" s="162" t="s">
        <v>1122</v>
      </c>
      <c r="F582" s="171">
        <v>40708</v>
      </c>
      <c r="G582" s="141" t="s">
        <v>487</v>
      </c>
      <c r="H582" s="174">
        <v>5</v>
      </c>
      <c r="I582" s="186" t="s">
        <v>359</v>
      </c>
      <c r="J582" s="174" t="s">
        <v>47</v>
      </c>
      <c r="R582" s="146"/>
      <c r="S582" s="147"/>
      <c r="T582" s="148"/>
    </row>
    <row r="583" spans="1:20" hidden="1">
      <c r="A583" s="140" t="str">
        <f t="shared" si="9"/>
        <v>05742-06450-06-A25E</v>
      </c>
      <c r="B583" s="162" t="s">
        <v>1119</v>
      </c>
      <c r="C583" s="162" t="s">
        <v>1787</v>
      </c>
      <c r="D583" s="162" t="s">
        <v>1122</v>
      </c>
      <c r="F583" s="171">
        <v>42055</v>
      </c>
      <c r="G583" s="141" t="s">
        <v>487</v>
      </c>
      <c r="H583" s="174">
        <v>6</v>
      </c>
      <c r="I583" s="186" t="s">
        <v>359</v>
      </c>
      <c r="J583" s="174">
        <v>59</v>
      </c>
      <c r="M583" s="217" t="s">
        <v>312</v>
      </c>
      <c r="R583" s="146"/>
      <c r="S583" s="147"/>
      <c r="T583" s="148"/>
    </row>
    <row r="584" spans="1:20" hidden="1">
      <c r="A584" s="140" t="str">
        <f t="shared" si="9"/>
        <v>05742-07350-00-A25EW</v>
      </c>
      <c r="B584" s="162" t="s">
        <v>1119</v>
      </c>
      <c r="C584" s="162" t="s">
        <v>1787</v>
      </c>
      <c r="D584" s="162" t="s">
        <v>1122</v>
      </c>
      <c r="F584" s="171">
        <v>41802</v>
      </c>
      <c r="G584" s="141" t="s">
        <v>495</v>
      </c>
      <c r="H584" s="174">
        <v>0</v>
      </c>
      <c r="I584" s="186" t="s">
        <v>113</v>
      </c>
      <c r="J584" s="174">
        <v>2</v>
      </c>
      <c r="N584" s="183" t="s">
        <v>29</v>
      </c>
      <c r="R584" s="146"/>
      <c r="S584" s="147"/>
      <c r="T584" s="148"/>
    </row>
    <row r="585" spans="1:20" hidden="1">
      <c r="A585" s="140" t="str">
        <f t="shared" si="9"/>
        <v>05742-07350-01-A25EW</v>
      </c>
      <c r="B585" s="162" t="s">
        <v>1119</v>
      </c>
      <c r="C585" s="162" t="s">
        <v>1787</v>
      </c>
      <c r="D585" s="162" t="s">
        <v>1122</v>
      </c>
      <c r="F585" s="171">
        <v>42327</v>
      </c>
      <c r="G585" s="141" t="s">
        <v>495</v>
      </c>
      <c r="H585" s="174">
        <v>1</v>
      </c>
      <c r="I585" s="186" t="s">
        <v>113</v>
      </c>
      <c r="J585" s="174">
        <v>10</v>
      </c>
      <c r="K585" s="174">
        <v>10</v>
      </c>
      <c r="R585" s="146"/>
      <c r="S585" s="147"/>
      <c r="T585" s="148"/>
    </row>
    <row r="586" spans="1:20" hidden="1">
      <c r="A586" s="140" t="str">
        <f t="shared" si="9"/>
        <v>06542-00076-00-L5E</v>
      </c>
      <c r="B586" s="162" t="s">
        <v>1119</v>
      </c>
      <c r="C586" s="162" t="s">
        <v>1787</v>
      </c>
      <c r="D586" s="162" t="s">
        <v>1122</v>
      </c>
      <c r="F586" s="171">
        <v>46038</v>
      </c>
      <c r="G586" s="141" t="s">
        <v>203</v>
      </c>
      <c r="H586" s="174">
        <v>0</v>
      </c>
      <c r="I586" s="190" t="s">
        <v>816</v>
      </c>
      <c r="N586" s="183" t="s">
        <v>29</v>
      </c>
      <c r="P586" s="155"/>
      <c r="R586" s="151"/>
      <c r="S586" s="147"/>
      <c r="T586" s="148"/>
    </row>
    <row r="587" spans="1:20" hidden="1">
      <c r="A587" s="140" t="str">
        <f t="shared" si="9"/>
        <v>06542-00076-01-L5E</v>
      </c>
      <c r="B587" s="162" t="s">
        <v>1119</v>
      </c>
      <c r="C587" s="162" t="s">
        <v>1787</v>
      </c>
      <c r="D587" s="162" t="s">
        <v>1122</v>
      </c>
      <c r="F587" s="171">
        <v>47871</v>
      </c>
      <c r="G587" s="141" t="s">
        <v>203</v>
      </c>
      <c r="H587" s="174">
        <v>1</v>
      </c>
      <c r="I587" s="186" t="s">
        <v>853</v>
      </c>
      <c r="P587" s="155"/>
      <c r="R587" s="151"/>
      <c r="S587" s="147"/>
      <c r="T587" s="148"/>
    </row>
    <row r="588" spans="1:20" ht="40.5" hidden="1">
      <c r="A588" s="140" t="str">
        <f t="shared" si="9"/>
        <v>06542-00076-02-L5E</v>
      </c>
      <c r="B588" s="162" t="s">
        <v>1119</v>
      </c>
      <c r="C588" s="162" t="s">
        <v>1787</v>
      </c>
      <c r="D588" s="162" t="s">
        <v>1122</v>
      </c>
      <c r="F588" s="171">
        <v>50149</v>
      </c>
      <c r="G588" s="141" t="s">
        <v>203</v>
      </c>
      <c r="H588" s="174">
        <v>2</v>
      </c>
      <c r="I588" s="210" t="s">
        <v>887</v>
      </c>
      <c r="J588" s="174">
        <v>2050</v>
      </c>
      <c r="L588" s="149"/>
      <c r="M588" s="185"/>
      <c r="O588" s="156" t="s">
        <v>892</v>
      </c>
    </row>
    <row r="589" spans="1:20" hidden="1">
      <c r="A589" s="140" t="str">
        <f t="shared" si="9"/>
        <v>06542-00132-00-L5E</v>
      </c>
      <c r="B589" s="162" t="s">
        <v>1119</v>
      </c>
      <c r="C589" s="162" t="s">
        <v>1787</v>
      </c>
      <c r="D589" s="162" t="s">
        <v>1122</v>
      </c>
      <c r="F589" s="171">
        <v>49165</v>
      </c>
      <c r="G589" s="141" t="s">
        <v>204</v>
      </c>
      <c r="H589" s="174">
        <v>0</v>
      </c>
      <c r="I589" s="186" t="s">
        <v>202</v>
      </c>
      <c r="J589" s="174">
        <v>1564</v>
      </c>
      <c r="K589" s="174">
        <v>1564</v>
      </c>
      <c r="L589" s="149"/>
      <c r="M589" s="185"/>
      <c r="N589" s="183" t="s">
        <v>1929</v>
      </c>
    </row>
    <row r="590" spans="1:20" hidden="1">
      <c r="A590" s="140" t="str">
        <f t="shared" si="9"/>
        <v>06542-00132-00-L5E2</v>
      </c>
      <c r="B590" s="162" t="s">
        <v>1119</v>
      </c>
      <c r="C590" s="162" t="s">
        <v>1787</v>
      </c>
      <c r="D590" s="162" t="s">
        <v>1122</v>
      </c>
      <c r="F590" s="171">
        <v>49165</v>
      </c>
      <c r="G590" s="141" t="s">
        <v>204</v>
      </c>
      <c r="H590" s="174">
        <v>0</v>
      </c>
      <c r="I590" s="186" t="s">
        <v>891</v>
      </c>
      <c r="J590" s="174">
        <v>1</v>
      </c>
      <c r="L590" s="149"/>
      <c r="M590" s="185"/>
      <c r="N590" s="183" t="s">
        <v>1929</v>
      </c>
    </row>
    <row r="591" spans="1:20" hidden="1">
      <c r="A591" s="140" t="str">
        <f t="shared" si="9"/>
        <v>06542-00132-01-L5E</v>
      </c>
      <c r="B591" s="162" t="s">
        <v>1119</v>
      </c>
      <c r="C591" s="162" t="s">
        <v>1787</v>
      </c>
      <c r="D591" s="162" t="s">
        <v>1122</v>
      </c>
      <c r="F591" s="171">
        <v>49777</v>
      </c>
      <c r="G591" s="141" t="s">
        <v>204</v>
      </c>
      <c r="H591" s="174">
        <v>1</v>
      </c>
      <c r="I591" s="198" t="s">
        <v>815</v>
      </c>
      <c r="J591" s="174">
        <v>1567</v>
      </c>
      <c r="K591" s="174">
        <v>1567</v>
      </c>
      <c r="L591" s="149"/>
      <c r="M591" s="185"/>
    </row>
    <row r="592" spans="1:20" hidden="1">
      <c r="A592" s="140" t="str">
        <f t="shared" si="9"/>
        <v>06542-00132-01-L5E2</v>
      </c>
      <c r="B592" s="162" t="s">
        <v>1119</v>
      </c>
      <c r="C592" s="162" t="s">
        <v>1787</v>
      </c>
      <c r="D592" s="162" t="s">
        <v>1122</v>
      </c>
      <c r="F592" s="171">
        <v>49777</v>
      </c>
      <c r="G592" s="141" t="s">
        <v>204</v>
      </c>
      <c r="H592" s="174">
        <v>1</v>
      </c>
      <c r="I592" s="198" t="s">
        <v>838</v>
      </c>
      <c r="J592" s="174">
        <v>1</v>
      </c>
      <c r="K592" s="174">
        <v>1</v>
      </c>
      <c r="L592" s="149"/>
      <c r="M592" s="185"/>
    </row>
    <row r="593" spans="1:24" ht="40.5" hidden="1">
      <c r="A593" s="140" t="str">
        <f t="shared" si="9"/>
        <v>06542-00132-02-L5E</v>
      </c>
      <c r="B593" s="162" t="s">
        <v>1119</v>
      </c>
      <c r="C593" s="162" t="s">
        <v>1787</v>
      </c>
      <c r="D593" s="162" t="s">
        <v>1122</v>
      </c>
      <c r="F593" s="171">
        <v>50149</v>
      </c>
      <c r="G593" s="141" t="s">
        <v>204</v>
      </c>
      <c r="H593" s="174">
        <v>2</v>
      </c>
      <c r="I593" s="210" t="s">
        <v>887</v>
      </c>
      <c r="J593" s="174">
        <v>2050</v>
      </c>
      <c r="L593" s="149"/>
      <c r="M593" s="185"/>
      <c r="O593" s="156" t="s">
        <v>892</v>
      </c>
    </row>
    <row r="594" spans="1:24" hidden="1">
      <c r="A594" s="140" t="str">
        <f t="shared" si="9"/>
        <v>06542-00132-02-L5E2</v>
      </c>
      <c r="B594" s="162" t="s">
        <v>1119</v>
      </c>
      <c r="C594" s="162" t="s">
        <v>1787</v>
      </c>
      <c r="D594" s="162" t="s">
        <v>1122</v>
      </c>
      <c r="F594" s="171">
        <v>50149</v>
      </c>
      <c r="G594" s="141" t="s">
        <v>204</v>
      </c>
      <c r="H594" s="174">
        <v>2</v>
      </c>
      <c r="I594" s="186" t="s">
        <v>891</v>
      </c>
      <c r="J594" s="174">
        <v>10</v>
      </c>
      <c r="L594" s="149"/>
      <c r="M594" s="185"/>
    </row>
    <row r="595" spans="1:24" hidden="1">
      <c r="A595" s="140" t="str">
        <f t="shared" si="9"/>
        <v>06542-00132-03-L5E</v>
      </c>
      <c r="B595" s="162" t="s">
        <v>1119</v>
      </c>
      <c r="C595" s="162" t="s">
        <v>1787</v>
      </c>
      <c r="D595" s="162" t="s">
        <v>1122</v>
      </c>
      <c r="F595" s="171">
        <v>53227</v>
      </c>
      <c r="G595" s="141" t="s">
        <v>204</v>
      </c>
      <c r="H595" s="174">
        <v>3</v>
      </c>
      <c r="I595" s="186" t="s">
        <v>202</v>
      </c>
      <c r="J595" s="174">
        <v>3023</v>
      </c>
      <c r="K595" s="174">
        <v>3023</v>
      </c>
      <c r="L595" s="149"/>
      <c r="M595" s="185"/>
    </row>
    <row r="596" spans="1:24" hidden="1">
      <c r="A596" s="140" t="str">
        <f t="shared" si="9"/>
        <v>06542-00132-03-L5E2</v>
      </c>
      <c r="B596" s="162" t="s">
        <v>1119</v>
      </c>
      <c r="C596" s="162" t="s">
        <v>1787</v>
      </c>
      <c r="D596" s="162" t="s">
        <v>1122</v>
      </c>
      <c r="F596" s="171">
        <v>53227</v>
      </c>
      <c r="G596" s="141" t="s">
        <v>204</v>
      </c>
      <c r="H596" s="174">
        <v>3</v>
      </c>
      <c r="I596" s="186" t="s">
        <v>891</v>
      </c>
      <c r="J596" s="174">
        <v>68</v>
      </c>
      <c r="K596" s="174">
        <v>68</v>
      </c>
      <c r="L596" s="149"/>
      <c r="M596" s="185"/>
    </row>
    <row r="597" spans="1:24" hidden="1">
      <c r="A597" s="140" t="str">
        <f t="shared" si="9"/>
        <v>06542-00132-04-L5E</v>
      </c>
      <c r="B597" s="162" t="s">
        <v>1119</v>
      </c>
      <c r="C597" s="162" t="s">
        <v>1787</v>
      </c>
      <c r="D597" s="162" t="s">
        <v>1122</v>
      </c>
      <c r="F597" s="171">
        <v>54790</v>
      </c>
      <c r="G597" s="141" t="s">
        <v>204</v>
      </c>
      <c r="H597" s="174">
        <v>4</v>
      </c>
      <c r="I597" s="186" t="s">
        <v>202</v>
      </c>
    </row>
    <row r="598" spans="1:24" hidden="1">
      <c r="A598" s="140" t="str">
        <f t="shared" si="9"/>
        <v>06542-00132-04-L5E2</v>
      </c>
      <c r="B598" s="162" t="s">
        <v>1119</v>
      </c>
      <c r="C598" s="162" t="s">
        <v>1787</v>
      </c>
      <c r="D598" s="162" t="s">
        <v>1122</v>
      </c>
      <c r="F598" s="171">
        <v>54790</v>
      </c>
      <c r="G598" s="141" t="s">
        <v>204</v>
      </c>
      <c r="H598" s="174">
        <v>4</v>
      </c>
      <c r="I598" s="186" t="s">
        <v>891</v>
      </c>
    </row>
    <row r="599" spans="1:24" hidden="1">
      <c r="A599" s="140" t="str">
        <f t="shared" si="9"/>
        <v>06542-00132-05-L5E</v>
      </c>
      <c r="B599" s="162" t="s">
        <v>1119</v>
      </c>
      <c r="C599" s="162" t="s">
        <v>1787</v>
      </c>
      <c r="D599" s="162" t="s">
        <v>1122</v>
      </c>
      <c r="F599" s="171">
        <v>55535</v>
      </c>
      <c r="G599" s="142" t="s">
        <v>204</v>
      </c>
      <c r="H599" s="174">
        <v>5</v>
      </c>
      <c r="I599" s="186" t="s">
        <v>202</v>
      </c>
      <c r="J599" s="174">
        <v>4415</v>
      </c>
      <c r="K599" s="174">
        <v>4432</v>
      </c>
    </row>
    <row r="600" spans="1:24" hidden="1">
      <c r="A600" s="140" t="str">
        <f t="shared" si="9"/>
        <v>06542-00132-05-L5E2</v>
      </c>
      <c r="B600" s="162" t="s">
        <v>1119</v>
      </c>
      <c r="C600" s="162" t="s">
        <v>1787</v>
      </c>
      <c r="D600" s="162" t="s">
        <v>1122</v>
      </c>
      <c r="F600" s="171">
        <v>55535</v>
      </c>
      <c r="G600" s="142" t="s">
        <v>204</v>
      </c>
      <c r="H600" s="174">
        <v>5</v>
      </c>
      <c r="I600" s="186" t="s">
        <v>891</v>
      </c>
      <c r="J600" s="174">
        <v>137</v>
      </c>
      <c r="K600" s="174">
        <v>137</v>
      </c>
    </row>
    <row r="601" spans="1:24" hidden="1">
      <c r="A601" s="140" t="str">
        <f t="shared" si="9"/>
        <v>06542-00132-06-L5E</v>
      </c>
      <c r="B601" s="162" t="s">
        <v>1119</v>
      </c>
      <c r="C601" s="162" t="s">
        <v>1787</v>
      </c>
      <c r="D601" s="162" t="s">
        <v>1122</v>
      </c>
      <c r="F601" s="171">
        <v>56036</v>
      </c>
      <c r="G601" s="142" t="s">
        <v>204</v>
      </c>
      <c r="H601" s="174">
        <v>6</v>
      </c>
      <c r="I601" s="186" t="s">
        <v>202</v>
      </c>
      <c r="M601" s="217" t="s">
        <v>437</v>
      </c>
    </row>
    <row r="602" spans="1:24" hidden="1">
      <c r="A602" s="140" t="str">
        <f t="shared" si="9"/>
        <v>06542-00132-06-L5E2</v>
      </c>
      <c r="B602" s="162" t="s">
        <v>1119</v>
      </c>
      <c r="C602" s="162" t="s">
        <v>1787</v>
      </c>
      <c r="D602" s="162" t="s">
        <v>1122</v>
      </c>
      <c r="F602" s="171">
        <v>56036</v>
      </c>
      <c r="G602" s="142" t="s">
        <v>204</v>
      </c>
      <c r="H602" s="174">
        <v>6</v>
      </c>
      <c r="I602" s="186" t="s">
        <v>960</v>
      </c>
      <c r="M602" s="217" t="s">
        <v>437</v>
      </c>
    </row>
    <row r="603" spans="1:24" ht="27" hidden="1">
      <c r="A603" s="140" t="str">
        <f t="shared" si="9"/>
        <v>06542-00132-07-L5E</v>
      </c>
      <c r="B603" s="162" t="s">
        <v>1119</v>
      </c>
      <c r="C603" s="162" t="s">
        <v>1787</v>
      </c>
      <c r="D603" s="162" t="s">
        <v>1122</v>
      </c>
      <c r="F603" s="171">
        <v>63345</v>
      </c>
      <c r="G603" s="141" t="s">
        <v>1076</v>
      </c>
      <c r="H603" s="174">
        <v>7</v>
      </c>
      <c r="I603" s="186" t="s">
        <v>1075</v>
      </c>
      <c r="M603" s="217" t="s">
        <v>451</v>
      </c>
      <c r="N603" s="183" t="s">
        <v>1930</v>
      </c>
    </row>
    <row r="604" spans="1:24" ht="27" hidden="1">
      <c r="A604" s="140" t="str">
        <f t="shared" si="9"/>
        <v>06542-00132-07-L5E2</v>
      </c>
      <c r="B604" s="162" t="s">
        <v>1119</v>
      </c>
      <c r="C604" s="162" t="s">
        <v>1787</v>
      </c>
      <c r="D604" s="162" t="s">
        <v>1122</v>
      </c>
      <c r="F604" s="171">
        <v>63345</v>
      </c>
      <c r="G604" s="141" t="s">
        <v>1076</v>
      </c>
      <c r="H604" s="174">
        <v>7</v>
      </c>
      <c r="I604" s="189" t="s">
        <v>838</v>
      </c>
      <c r="M604" s="217" t="s">
        <v>451</v>
      </c>
      <c r="N604" s="183" t="s">
        <v>1930</v>
      </c>
    </row>
    <row r="605" spans="1:24" hidden="1">
      <c r="A605" s="140" t="str">
        <f t="shared" si="9"/>
        <v>06642-00116-00-L6E</v>
      </c>
      <c r="B605" s="162" t="s">
        <v>1119</v>
      </c>
      <c r="C605" s="162" t="s">
        <v>1787</v>
      </c>
      <c r="D605" s="162" t="s">
        <v>1122</v>
      </c>
      <c r="F605" s="171">
        <v>46236</v>
      </c>
      <c r="G605" s="141" t="s">
        <v>206</v>
      </c>
      <c r="H605" s="174">
        <v>0</v>
      </c>
      <c r="I605" s="190" t="s">
        <v>821</v>
      </c>
      <c r="J605" s="174">
        <v>5333</v>
      </c>
      <c r="K605" s="174">
        <v>5559</v>
      </c>
      <c r="L605" s="149"/>
      <c r="M605" s="185"/>
      <c r="N605" s="183" t="s">
        <v>438</v>
      </c>
      <c r="P605" s="155"/>
      <c r="R605" s="151"/>
      <c r="S605" s="147"/>
      <c r="T605" s="148"/>
      <c r="U605" s="150"/>
      <c r="V605" s="150"/>
      <c r="X605" s="150"/>
    </row>
    <row r="606" spans="1:24" hidden="1">
      <c r="A606" s="140" t="str">
        <f t="shared" si="9"/>
        <v>06642-00116-01-L6E</v>
      </c>
      <c r="B606" s="162" t="s">
        <v>1119</v>
      </c>
      <c r="C606" s="162" t="s">
        <v>1787</v>
      </c>
      <c r="D606" s="162" t="s">
        <v>1122</v>
      </c>
      <c r="F606" s="171">
        <v>47083</v>
      </c>
      <c r="G606" s="141" t="s">
        <v>206</v>
      </c>
      <c r="H606" s="174">
        <v>1</v>
      </c>
      <c r="I606" s="186" t="s">
        <v>821</v>
      </c>
      <c r="J606" s="174">
        <v>5842</v>
      </c>
      <c r="K606" s="174">
        <v>5842</v>
      </c>
      <c r="L606" s="149"/>
      <c r="M606" s="185"/>
      <c r="N606" s="184"/>
      <c r="R606" s="151"/>
      <c r="S606" s="147"/>
      <c r="T606" s="148"/>
    </row>
    <row r="607" spans="1:24" hidden="1">
      <c r="A607" s="140" t="str">
        <f t="shared" si="9"/>
        <v>06642-00116-03-L6E</v>
      </c>
      <c r="B607" s="162" t="s">
        <v>1119</v>
      </c>
      <c r="C607" s="162" t="s">
        <v>1787</v>
      </c>
      <c r="D607" s="162" t="s">
        <v>1122</v>
      </c>
      <c r="F607" s="171">
        <v>55511</v>
      </c>
      <c r="G607" s="141" t="s">
        <v>206</v>
      </c>
      <c r="H607" s="174">
        <v>3</v>
      </c>
      <c r="I607" s="186" t="s">
        <v>205</v>
      </c>
      <c r="M607" s="217" t="s">
        <v>440</v>
      </c>
    </row>
    <row r="608" spans="1:24" hidden="1">
      <c r="A608" s="140" t="str">
        <f t="shared" si="9"/>
        <v>06642-00161-00-L6F</v>
      </c>
      <c r="B608" s="162" t="s">
        <v>1119</v>
      </c>
      <c r="C608" s="162" t="s">
        <v>1787</v>
      </c>
      <c r="D608" s="162" t="s">
        <v>1122</v>
      </c>
      <c r="F608" s="171">
        <v>49082</v>
      </c>
      <c r="G608" s="141" t="s">
        <v>216</v>
      </c>
      <c r="H608" s="174">
        <v>0</v>
      </c>
      <c r="I608" s="186" t="s">
        <v>215</v>
      </c>
      <c r="N608" s="183" t="s">
        <v>29</v>
      </c>
    </row>
    <row r="609" spans="1:19" hidden="1">
      <c r="A609" s="140" t="str">
        <f t="shared" si="9"/>
        <v>06642-00161-01-L6F</v>
      </c>
      <c r="B609" s="162" t="s">
        <v>1119</v>
      </c>
      <c r="C609" s="162" t="s">
        <v>1787</v>
      </c>
      <c r="D609" s="162" t="s">
        <v>1122</v>
      </c>
      <c r="F609" s="171">
        <v>51161</v>
      </c>
      <c r="G609" s="141" t="s">
        <v>216</v>
      </c>
      <c r="H609" s="174">
        <v>1</v>
      </c>
      <c r="I609" s="186" t="s">
        <v>215</v>
      </c>
    </row>
    <row r="610" spans="1:19" hidden="1">
      <c r="A610" s="140" t="str">
        <f t="shared" si="9"/>
        <v>06642-00161-02-L6F</v>
      </c>
      <c r="B610" s="162" t="s">
        <v>1119</v>
      </c>
      <c r="C610" s="162" t="s">
        <v>1787</v>
      </c>
      <c r="D610" s="162" t="s">
        <v>1122</v>
      </c>
      <c r="F610" s="171">
        <v>51386</v>
      </c>
      <c r="G610" s="141" t="s">
        <v>216</v>
      </c>
      <c r="H610" s="174">
        <v>2</v>
      </c>
      <c r="I610" s="186" t="s">
        <v>215</v>
      </c>
      <c r="J610" s="174">
        <v>95</v>
      </c>
      <c r="K610" s="174">
        <v>95</v>
      </c>
      <c r="L610" s="149"/>
      <c r="M610" s="185"/>
    </row>
    <row r="611" spans="1:19" hidden="1">
      <c r="A611" s="140" t="str">
        <f t="shared" si="9"/>
        <v>06642-00161-03-L6F</v>
      </c>
      <c r="B611" s="162" t="s">
        <v>1119</v>
      </c>
      <c r="C611" s="162" t="s">
        <v>1787</v>
      </c>
      <c r="D611" s="162" t="s">
        <v>1122</v>
      </c>
      <c r="F611" s="171">
        <v>53227</v>
      </c>
      <c r="G611" s="141" t="s">
        <v>216</v>
      </c>
      <c r="H611" s="174">
        <v>3</v>
      </c>
      <c r="I611" s="186" t="s">
        <v>215</v>
      </c>
      <c r="K611" s="174">
        <v>2700</v>
      </c>
      <c r="L611" s="149"/>
      <c r="M611" s="185"/>
    </row>
    <row r="612" spans="1:19" hidden="1">
      <c r="A612" s="140" t="str">
        <f t="shared" si="9"/>
        <v>06642-00161-04-L6F</v>
      </c>
      <c r="B612" s="162" t="s">
        <v>1119</v>
      </c>
      <c r="C612" s="162" t="s">
        <v>1787</v>
      </c>
      <c r="D612" s="162" t="s">
        <v>1122</v>
      </c>
      <c r="F612" s="171">
        <v>53907</v>
      </c>
      <c r="G612" s="141" t="s">
        <v>216</v>
      </c>
      <c r="H612" s="174">
        <v>4</v>
      </c>
      <c r="I612" s="186" t="s">
        <v>938</v>
      </c>
      <c r="K612" s="174">
        <v>2869</v>
      </c>
      <c r="L612" s="149"/>
      <c r="M612" s="185"/>
    </row>
    <row r="613" spans="1:19" hidden="1">
      <c r="A613" s="140" t="str">
        <f t="shared" si="9"/>
        <v>06642-00161-05-L6F</v>
      </c>
      <c r="B613" s="162" t="s">
        <v>1119</v>
      </c>
      <c r="C613" s="162" t="s">
        <v>1787</v>
      </c>
      <c r="D613" s="162" t="s">
        <v>1122</v>
      </c>
      <c r="F613" s="171">
        <v>54790</v>
      </c>
      <c r="G613" s="141" t="s">
        <v>216</v>
      </c>
      <c r="H613" s="174">
        <v>5</v>
      </c>
      <c r="I613" s="186" t="s">
        <v>215</v>
      </c>
    </row>
    <row r="614" spans="1:19" hidden="1">
      <c r="A614" s="140" t="str">
        <f t="shared" si="9"/>
        <v>06642-00161-06-L6F</v>
      </c>
      <c r="B614" s="162" t="s">
        <v>1119</v>
      </c>
      <c r="C614" s="162" t="s">
        <v>1787</v>
      </c>
      <c r="D614" s="162" t="s">
        <v>1122</v>
      </c>
      <c r="F614" s="171">
        <v>60584</v>
      </c>
      <c r="G614" s="141" t="s">
        <v>216</v>
      </c>
      <c r="H614" s="174">
        <v>6</v>
      </c>
      <c r="I614" s="186" t="s">
        <v>215</v>
      </c>
      <c r="J614" s="174">
        <v>9497</v>
      </c>
      <c r="K614" s="174">
        <v>9497</v>
      </c>
      <c r="M614" s="217" t="s">
        <v>451</v>
      </c>
    </row>
    <row r="615" spans="1:19" ht="27" hidden="1">
      <c r="A615" s="140" t="str">
        <f t="shared" si="9"/>
        <v>06642-00161-07-L6F</v>
      </c>
      <c r="B615" s="162" t="s">
        <v>1119</v>
      </c>
      <c r="C615" s="162" t="s">
        <v>1787</v>
      </c>
      <c r="D615" s="162" t="s">
        <v>1122</v>
      </c>
      <c r="F615" s="171">
        <v>63345</v>
      </c>
      <c r="G615" s="141" t="s">
        <v>1079</v>
      </c>
      <c r="H615" s="174">
        <v>7</v>
      </c>
      <c r="I615" s="210" t="s">
        <v>1081</v>
      </c>
      <c r="M615" s="217" t="s">
        <v>1089</v>
      </c>
      <c r="N615" s="183" t="s">
        <v>1930</v>
      </c>
      <c r="O615" s="143" t="s">
        <v>1769</v>
      </c>
    </row>
    <row r="616" spans="1:19" ht="27" hidden="1">
      <c r="A616" s="140" t="str">
        <f t="shared" si="9"/>
        <v>06642-00161-08-L6F</v>
      </c>
      <c r="B616" s="162" t="s">
        <v>1119</v>
      </c>
      <c r="C616" s="162" t="s">
        <v>1787</v>
      </c>
      <c r="D616" s="162" t="s">
        <v>1122</v>
      </c>
      <c r="F616" s="171">
        <v>63912</v>
      </c>
      <c r="G616" s="141" t="s">
        <v>1079</v>
      </c>
      <c r="H616" s="174">
        <v>8</v>
      </c>
      <c r="I616" s="186" t="s">
        <v>1768</v>
      </c>
      <c r="M616" s="217" t="s">
        <v>1765</v>
      </c>
      <c r="N616" s="183" t="s">
        <v>1931</v>
      </c>
    </row>
    <row r="617" spans="1:19" hidden="1">
      <c r="A617" s="140" t="str">
        <f t="shared" si="9"/>
        <v>06642-00175-00-L6E</v>
      </c>
      <c r="B617" s="162" t="s">
        <v>1119</v>
      </c>
      <c r="C617" s="162" t="s">
        <v>1787</v>
      </c>
      <c r="D617" s="162" t="s">
        <v>1122</v>
      </c>
      <c r="F617" s="171">
        <v>49061</v>
      </c>
      <c r="G617" s="141" t="s">
        <v>208</v>
      </c>
      <c r="H617" s="174">
        <v>0</v>
      </c>
      <c r="I617" s="186" t="s">
        <v>861</v>
      </c>
      <c r="N617" s="184" t="s">
        <v>101</v>
      </c>
      <c r="O617" s="160"/>
      <c r="P617" s="155"/>
    </row>
    <row r="618" spans="1:19" hidden="1">
      <c r="A618" s="140" t="str">
        <f t="shared" si="9"/>
        <v>06642-00175-00-L6E2</v>
      </c>
      <c r="B618" s="162" t="s">
        <v>1119</v>
      </c>
      <c r="C618" s="162" t="s">
        <v>1787</v>
      </c>
      <c r="D618" s="162" t="s">
        <v>1122</v>
      </c>
      <c r="F618" s="171">
        <v>49061</v>
      </c>
      <c r="G618" s="141" t="s">
        <v>208</v>
      </c>
      <c r="H618" s="174">
        <v>0</v>
      </c>
      <c r="I618" s="186" t="s">
        <v>1996</v>
      </c>
      <c r="N618" s="184" t="s">
        <v>101</v>
      </c>
      <c r="O618" s="160"/>
      <c r="Q618" s="143"/>
      <c r="R618" s="141"/>
      <c r="S618" s="145"/>
    </row>
    <row r="619" spans="1:19" hidden="1">
      <c r="A619" s="140" t="str">
        <f t="shared" si="9"/>
        <v>06642-00175-01-L6E</v>
      </c>
      <c r="B619" s="162" t="s">
        <v>1119</v>
      </c>
      <c r="C619" s="162" t="s">
        <v>1787</v>
      </c>
      <c r="D619" s="162" t="s">
        <v>1122</v>
      </c>
      <c r="F619" s="171">
        <v>55511</v>
      </c>
      <c r="G619" s="141" t="s">
        <v>208</v>
      </c>
      <c r="H619" s="174">
        <v>1</v>
      </c>
      <c r="I619" s="186" t="s">
        <v>951</v>
      </c>
      <c r="M619" s="217" t="s">
        <v>2001</v>
      </c>
    </row>
    <row r="620" spans="1:19" hidden="1">
      <c r="A620" s="140" t="str">
        <f t="shared" si="9"/>
        <v>06642-00175-01-L6E2</v>
      </c>
      <c r="B620" s="162" t="s">
        <v>1119</v>
      </c>
      <c r="C620" s="162" t="s">
        <v>1787</v>
      </c>
      <c r="D620" s="162" t="s">
        <v>1122</v>
      </c>
      <c r="F620" s="171">
        <v>55511</v>
      </c>
      <c r="G620" s="141" t="s">
        <v>208</v>
      </c>
      <c r="H620" s="174">
        <v>1</v>
      </c>
      <c r="I620" s="186" t="s">
        <v>1996</v>
      </c>
      <c r="M620" s="217" t="s">
        <v>2001</v>
      </c>
    </row>
    <row r="621" spans="1:19" hidden="1">
      <c r="A621" s="140" t="str">
        <f t="shared" si="9"/>
        <v>06842-00220-00-L8EV</v>
      </c>
      <c r="B621" s="162" t="s">
        <v>1119</v>
      </c>
      <c r="C621" s="162" t="s">
        <v>1787</v>
      </c>
      <c r="D621" s="162" t="s">
        <v>1122</v>
      </c>
      <c r="F621" s="171">
        <v>52057</v>
      </c>
      <c r="G621" s="141" t="s">
        <v>464</v>
      </c>
      <c r="H621" s="174">
        <v>0</v>
      </c>
      <c r="I621" s="186" t="s">
        <v>225</v>
      </c>
      <c r="J621" s="174">
        <v>4777</v>
      </c>
      <c r="L621" s="149"/>
      <c r="M621" s="185"/>
      <c r="N621" s="183" t="s">
        <v>1932</v>
      </c>
    </row>
    <row r="622" spans="1:19" hidden="1">
      <c r="A622" s="140" t="str">
        <f t="shared" si="9"/>
        <v>06842-00220-01-L8EV</v>
      </c>
      <c r="B622" s="162" t="s">
        <v>1119</v>
      </c>
      <c r="C622" s="162" t="s">
        <v>1787</v>
      </c>
      <c r="D622" s="162" t="s">
        <v>1122</v>
      </c>
      <c r="F622" s="171">
        <v>55511</v>
      </c>
      <c r="G622" s="142" t="s">
        <v>230</v>
      </c>
      <c r="H622" s="174">
        <v>1</v>
      </c>
      <c r="I622" s="186" t="s">
        <v>225</v>
      </c>
      <c r="M622" s="217" t="s">
        <v>466</v>
      </c>
    </row>
    <row r="623" spans="1:19" ht="40.5" hidden="1">
      <c r="A623" s="140" t="str">
        <f t="shared" si="9"/>
        <v>06842-00230-00-L8EV2</v>
      </c>
      <c r="B623" s="162" t="s">
        <v>1119</v>
      </c>
      <c r="C623" s="162" t="s">
        <v>1787</v>
      </c>
      <c r="D623" s="162" t="s">
        <v>1122</v>
      </c>
      <c r="F623" s="171">
        <v>52999</v>
      </c>
      <c r="G623" s="141" t="s">
        <v>461</v>
      </c>
      <c r="H623" s="174">
        <v>0</v>
      </c>
      <c r="I623" s="210" t="s">
        <v>926</v>
      </c>
      <c r="J623" s="174">
        <v>197</v>
      </c>
      <c r="K623" s="174">
        <v>197</v>
      </c>
      <c r="L623" s="149"/>
      <c r="M623" s="185"/>
      <c r="N623" s="183" t="s">
        <v>1933</v>
      </c>
      <c r="O623" s="156" t="s">
        <v>927</v>
      </c>
    </row>
    <row r="624" spans="1:19" ht="40.5" hidden="1">
      <c r="A624" s="140" t="str">
        <f t="shared" si="9"/>
        <v>06842-00230-00-L8EV</v>
      </c>
      <c r="B624" s="162" t="s">
        <v>1119</v>
      </c>
      <c r="C624" s="162" t="s">
        <v>1787</v>
      </c>
      <c r="D624" s="162" t="s">
        <v>1122</v>
      </c>
      <c r="F624" s="171">
        <v>52999</v>
      </c>
      <c r="G624" s="141" t="s">
        <v>461</v>
      </c>
      <c r="H624" s="174">
        <v>0</v>
      </c>
      <c r="I624" s="210" t="s">
        <v>225</v>
      </c>
      <c r="J624" s="174">
        <v>5239</v>
      </c>
      <c r="K624" s="174">
        <v>5239</v>
      </c>
      <c r="L624" s="149"/>
      <c r="M624" s="185"/>
      <c r="N624" s="183" t="s">
        <v>1933</v>
      </c>
      <c r="O624" s="156" t="s">
        <v>927</v>
      </c>
    </row>
    <row r="625" spans="1:15" ht="40.5" hidden="1">
      <c r="A625" s="140" t="str">
        <f t="shared" si="9"/>
        <v>06842-00230-01-L8EV2</v>
      </c>
      <c r="B625" s="162" t="s">
        <v>1119</v>
      </c>
      <c r="C625" s="162" t="s">
        <v>1787</v>
      </c>
      <c r="D625" s="162" t="s">
        <v>1122</v>
      </c>
      <c r="F625" s="171">
        <v>53228</v>
      </c>
      <c r="G625" s="141" t="s">
        <v>226</v>
      </c>
      <c r="H625" s="174">
        <v>1</v>
      </c>
      <c r="I625" s="210" t="s">
        <v>867</v>
      </c>
      <c r="J625" s="174">
        <v>248</v>
      </c>
      <c r="K625" s="174">
        <v>248</v>
      </c>
      <c r="L625" s="149"/>
      <c r="M625" s="185"/>
      <c r="O625" s="156" t="s">
        <v>930</v>
      </c>
    </row>
    <row r="626" spans="1:15" ht="40.5" hidden="1">
      <c r="A626" s="140" t="str">
        <f t="shared" si="9"/>
        <v>06842-00230-01-L8EV</v>
      </c>
      <c r="B626" s="162" t="s">
        <v>1119</v>
      </c>
      <c r="C626" s="162" t="s">
        <v>1787</v>
      </c>
      <c r="D626" s="162" t="s">
        <v>1122</v>
      </c>
      <c r="F626" s="171">
        <v>53228</v>
      </c>
      <c r="G626" s="141" t="s">
        <v>226</v>
      </c>
      <c r="H626" s="174">
        <v>1</v>
      </c>
      <c r="I626" s="210" t="s">
        <v>225</v>
      </c>
      <c r="J626" s="174">
        <v>5518</v>
      </c>
      <c r="K626" s="174">
        <v>5518</v>
      </c>
      <c r="L626" s="149"/>
      <c r="M626" s="185"/>
      <c r="O626" s="156" t="s">
        <v>930</v>
      </c>
    </row>
    <row r="627" spans="1:15" hidden="1">
      <c r="A627" s="140" t="str">
        <f t="shared" si="9"/>
        <v>06842-00230-02-L8EV</v>
      </c>
      <c r="B627" s="162" t="s">
        <v>1119</v>
      </c>
      <c r="C627" s="162" t="s">
        <v>1787</v>
      </c>
      <c r="D627" s="162" t="s">
        <v>1122</v>
      </c>
      <c r="F627" s="171">
        <v>53692</v>
      </c>
      <c r="G627" s="141" t="s">
        <v>226</v>
      </c>
      <c r="H627" s="174">
        <v>2</v>
      </c>
      <c r="I627" s="186" t="s">
        <v>225</v>
      </c>
      <c r="K627" s="174">
        <v>5521</v>
      </c>
      <c r="L627" s="149"/>
      <c r="M627" s="185"/>
    </row>
    <row r="628" spans="1:15" hidden="1">
      <c r="A628" s="140" t="str">
        <f t="shared" si="9"/>
        <v>06842-00230-02-L8EV2</v>
      </c>
      <c r="B628" s="162" t="s">
        <v>1119</v>
      </c>
      <c r="C628" s="162" t="s">
        <v>1787</v>
      </c>
      <c r="D628" s="162" t="s">
        <v>1122</v>
      </c>
      <c r="F628" s="171">
        <v>53692</v>
      </c>
      <c r="G628" s="141" t="s">
        <v>226</v>
      </c>
      <c r="H628" s="174">
        <v>2</v>
      </c>
      <c r="I628" s="186" t="s">
        <v>867</v>
      </c>
      <c r="K628" s="174">
        <v>248</v>
      </c>
      <c r="L628" s="149"/>
      <c r="M628" s="185"/>
    </row>
    <row r="629" spans="1:15" hidden="1">
      <c r="A629" s="140" t="str">
        <f t="shared" si="9"/>
        <v>06842-00230-03-L8EV2</v>
      </c>
      <c r="B629" s="162" t="s">
        <v>1119</v>
      </c>
      <c r="C629" s="162" t="s">
        <v>1787</v>
      </c>
      <c r="D629" s="162" t="s">
        <v>1122</v>
      </c>
      <c r="F629" s="171">
        <v>54287</v>
      </c>
      <c r="G629" s="141" t="s">
        <v>226</v>
      </c>
      <c r="H629" s="174">
        <v>3</v>
      </c>
      <c r="I629" s="186" t="s">
        <v>926</v>
      </c>
    </row>
    <row r="630" spans="1:15" hidden="1">
      <c r="A630" s="140" t="str">
        <f t="shared" si="9"/>
        <v>06842-00230-03-L8EV</v>
      </c>
      <c r="B630" s="162" t="s">
        <v>1119</v>
      </c>
      <c r="C630" s="162" t="s">
        <v>1787</v>
      </c>
      <c r="D630" s="162" t="s">
        <v>1122</v>
      </c>
      <c r="F630" s="171">
        <v>54287</v>
      </c>
      <c r="G630" s="141" t="s">
        <v>226</v>
      </c>
      <c r="H630" s="174">
        <v>3</v>
      </c>
      <c r="I630" s="186" t="s">
        <v>225</v>
      </c>
    </row>
    <row r="631" spans="1:15" hidden="1">
      <c r="A631" s="140" t="str">
        <f t="shared" si="9"/>
        <v>06842-00230-04-L8EV</v>
      </c>
      <c r="B631" s="162" t="s">
        <v>1119</v>
      </c>
      <c r="C631" s="162" t="s">
        <v>1787</v>
      </c>
      <c r="D631" s="162" t="s">
        <v>1122</v>
      </c>
      <c r="F631" s="171">
        <v>54790</v>
      </c>
      <c r="G631" s="141" t="s">
        <v>226</v>
      </c>
      <c r="H631" s="174">
        <v>4</v>
      </c>
      <c r="I631" s="186" t="s">
        <v>225</v>
      </c>
    </row>
    <row r="632" spans="1:15" hidden="1">
      <c r="A632" s="140" t="str">
        <f t="shared" si="9"/>
        <v>06842-00230-04-L8EV2</v>
      </c>
      <c r="B632" s="162" t="s">
        <v>1119</v>
      </c>
      <c r="C632" s="162" t="s">
        <v>1787</v>
      </c>
      <c r="D632" s="162" t="s">
        <v>1122</v>
      </c>
      <c r="F632" s="171">
        <v>54790</v>
      </c>
      <c r="G632" s="141" t="s">
        <v>226</v>
      </c>
      <c r="H632" s="174">
        <v>4</v>
      </c>
      <c r="I632" s="186" t="s">
        <v>867</v>
      </c>
    </row>
    <row r="633" spans="1:15" hidden="1">
      <c r="A633" s="140" t="str">
        <f t="shared" si="9"/>
        <v>06842-00230-05-L8EV</v>
      </c>
      <c r="B633" s="162" t="s">
        <v>1119</v>
      </c>
      <c r="C633" s="162" t="s">
        <v>1787</v>
      </c>
      <c r="D633" s="162" t="s">
        <v>1122</v>
      </c>
      <c r="F633" s="171">
        <v>55535</v>
      </c>
      <c r="G633" s="142" t="s">
        <v>226</v>
      </c>
      <c r="H633" s="174">
        <v>5</v>
      </c>
      <c r="I633" s="186" t="s">
        <v>225</v>
      </c>
      <c r="J633" s="174">
        <v>6643</v>
      </c>
      <c r="K633" s="174">
        <v>6643</v>
      </c>
      <c r="M633" s="217" t="s">
        <v>306</v>
      </c>
    </row>
    <row r="634" spans="1:15" hidden="1">
      <c r="A634" s="140" t="str">
        <f t="shared" ref="A634:A697" si="10">G634&amp;"-"&amp;TEXT(H634,"00")&amp;"-"&amp;I634</f>
        <v>06842-00230-05-L8EV2</v>
      </c>
      <c r="B634" s="162" t="s">
        <v>1119</v>
      </c>
      <c r="C634" s="162" t="s">
        <v>1787</v>
      </c>
      <c r="D634" s="162" t="s">
        <v>1122</v>
      </c>
      <c r="F634" s="171">
        <v>55535</v>
      </c>
      <c r="G634" s="142" t="s">
        <v>226</v>
      </c>
      <c r="H634" s="174">
        <v>5</v>
      </c>
      <c r="I634" s="186" t="s">
        <v>954</v>
      </c>
      <c r="J634" s="174">
        <v>388</v>
      </c>
      <c r="K634" s="174">
        <v>388</v>
      </c>
      <c r="M634" s="217" t="s">
        <v>306</v>
      </c>
    </row>
    <row r="635" spans="1:15" ht="27" hidden="1">
      <c r="A635" s="140" t="str">
        <f t="shared" si="10"/>
        <v>06842-00230-06-L8EV</v>
      </c>
      <c r="B635" s="162" t="s">
        <v>1119</v>
      </c>
      <c r="C635" s="162" t="s">
        <v>1787</v>
      </c>
      <c r="D635" s="162" t="s">
        <v>1122</v>
      </c>
      <c r="F635" s="171">
        <v>63345</v>
      </c>
      <c r="G635" s="141" t="s">
        <v>226</v>
      </c>
      <c r="H635" s="174">
        <v>6</v>
      </c>
      <c r="I635" s="189" t="s">
        <v>531</v>
      </c>
      <c r="M635" s="217" t="s">
        <v>1088</v>
      </c>
      <c r="N635" s="183" t="s">
        <v>1930</v>
      </c>
    </row>
    <row r="636" spans="1:15" ht="27" hidden="1">
      <c r="A636" s="140" t="str">
        <f t="shared" si="10"/>
        <v>06842-00230-06-L8EV2</v>
      </c>
      <c r="B636" s="162" t="s">
        <v>1119</v>
      </c>
      <c r="C636" s="162" t="s">
        <v>1787</v>
      </c>
      <c r="D636" s="162" t="s">
        <v>1122</v>
      </c>
      <c r="F636" s="171">
        <v>63345</v>
      </c>
      <c r="G636" s="141" t="s">
        <v>226</v>
      </c>
      <c r="H636" s="174">
        <v>6</v>
      </c>
      <c r="I636" s="189" t="s">
        <v>1090</v>
      </c>
      <c r="M636" s="217" t="s">
        <v>1088</v>
      </c>
      <c r="N636" s="183" t="s">
        <v>1930</v>
      </c>
    </row>
    <row r="637" spans="1:15" ht="40.5" hidden="1">
      <c r="A637" s="140" t="str">
        <f t="shared" si="10"/>
        <v>06842-00234-00-L8EV2</v>
      </c>
      <c r="B637" s="162" t="s">
        <v>1119</v>
      </c>
      <c r="C637" s="162" t="s">
        <v>1788</v>
      </c>
      <c r="D637" s="162" t="s">
        <v>1122</v>
      </c>
      <c r="F637" s="171">
        <v>52999</v>
      </c>
      <c r="G637" s="141" t="s">
        <v>228</v>
      </c>
      <c r="H637" s="174">
        <v>0</v>
      </c>
      <c r="I637" s="210" t="s">
        <v>926</v>
      </c>
      <c r="J637" s="174">
        <v>197</v>
      </c>
      <c r="K637" s="174">
        <v>197</v>
      </c>
      <c r="L637" s="149"/>
      <c r="M637" s="185" t="s">
        <v>433</v>
      </c>
      <c r="N637" s="183" t="s">
        <v>1934</v>
      </c>
      <c r="O637" s="156" t="s">
        <v>927</v>
      </c>
    </row>
    <row r="638" spans="1:15" ht="40.5" hidden="1">
      <c r="A638" s="140" t="str">
        <f t="shared" si="10"/>
        <v>06842-00234-00-L8EV</v>
      </c>
      <c r="B638" s="162" t="s">
        <v>1119</v>
      </c>
      <c r="C638" s="162" t="s">
        <v>1788</v>
      </c>
      <c r="D638" s="162" t="s">
        <v>1122</v>
      </c>
      <c r="F638" s="171">
        <v>52999</v>
      </c>
      <c r="G638" s="141" t="s">
        <v>228</v>
      </c>
      <c r="H638" s="174">
        <v>0</v>
      </c>
      <c r="I638" s="210" t="s">
        <v>225</v>
      </c>
      <c r="J638" s="174">
        <v>5239</v>
      </c>
      <c r="K638" s="174">
        <v>5239</v>
      </c>
      <c r="L638" s="149"/>
      <c r="M638" s="185" t="s">
        <v>433</v>
      </c>
      <c r="N638" s="183" t="s">
        <v>1934</v>
      </c>
      <c r="O638" s="156" t="s">
        <v>927</v>
      </c>
    </row>
    <row r="639" spans="1:15" ht="27" hidden="1">
      <c r="A639" s="140" t="str">
        <f t="shared" si="10"/>
        <v>06842-00234-01-L8EV</v>
      </c>
      <c r="B639" s="162" t="s">
        <v>1119</v>
      </c>
      <c r="C639" s="162" t="s">
        <v>1788</v>
      </c>
      <c r="D639" s="162" t="s">
        <v>1122</v>
      </c>
      <c r="F639" s="171">
        <v>63345</v>
      </c>
      <c r="G639" s="141" t="s">
        <v>228</v>
      </c>
      <c r="H639" s="174">
        <v>1</v>
      </c>
      <c r="I639" s="186" t="s">
        <v>1082</v>
      </c>
      <c r="M639" s="217" t="s">
        <v>1073</v>
      </c>
      <c r="N639" s="183" t="s">
        <v>1930</v>
      </c>
    </row>
    <row r="640" spans="1:15" ht="27" hidden="1">
      <c r="A640" s="140" t="str">
        <f t="shared" si="10"/>
        <v>06842-00234-01-L8EV2</v>
      </c>
      <c r="B640" s="162" t="s">
        <v>1119</v>
      </c>
      <c r="C640" s="162" t="s">
        <v>1788</v>
      </c>
      <c r="D640" s="162" t="s">
        <v>1122</v>
      </c>
      <c r="F640" s="171">
        <v>63345</v>
      </c>
      <c r="G640" s="141" t="s">
        <v>228</v>
      </c>
      <c r="H640" s="174">
        <v>1</v>
      </c>
      <c r="I640" s="186" t="s">
        <v>1090</v>
      </c>
      <c r="M640" s="217" t="s">
        <v>1073</v>
      </c>
      <c r="N640" s="183" t="s">
        <v>1930</v>
      </c>
    </row>
    <row r="641" spans="1:20" hidden="1">
      <c r="A641" s="140" t="str">
        <f t="shared" si="10"/>
        <v>06842-00258-00-L85G</v>
      </c>
      <c r="B641" s="162" t="s">
        <v>1119</v>
      </c>
      <c r="C641" s="162" t="s">
        <v>1787</v>
      </c>
      <c r="D641" s="162" t="s">
        <v>1122</v>
      </c>
      <c r="F641" s="171">
        <v>54332</v>
      </c>
      <c r="G641" s="141" t="s">
        <v>233</v>
      </c>
      <c r="H641" s="174">
        <v>0</v>
      </c>
      <c r="I641" s="186" t="s">
        <v>232</v>
      </c>
    </row>
    <row r="642" spans="1:20" hidden="1">
      <c r="A642" s="140" t="str">
        <f t="shared" si="10"/>
        <v>06842-00258-01-L85G</v>
      </c>
      <c r="B642" s="162" t="s">
        <v>1119</v>
      </c>
      <c r="C642" s="162" t="s">
        <v>1787</v>
      </c>
      <c r="D642" s="162" t="s">
        <v>1122</v>
      </c>
      <c r="F642" s="171">
        <v>61086</v>
      </c>
      <c r="G642" s="142" t="s">
        <v>233</v>
      </c>
      <c r="H642" s="174">
        <v>1</v>
      </c>
      <c r="I642" s="186" t="s">
        <v>965</v>
      </c>
      <c r="J642" s="174">
        <v>6</v>
      </c>
      <c r="K642" s="174">
        <v>6</v>
      </c>
      <c r="L642" s="187" t="s">
        <v>950</v>
      </c>
    </row>
    <row r="643" spans="1:20" hidden="1">
      <c r="A643" s="140" t="str">
        <f t="shared" si="10"/>
        <v>06842-00258-02-L85G</v>
      </c>
      <c r="B643" s="162" t="s">
        <v>1119</v>
      </c>
      <c r="C643" s="162" t="s">
        <v>1787</v>
      </c>
      <c r="D643" s="162" t="s">
        <v>1122</v>
      </c>
      <c r="F643" s="171">
        <v>61179</v>
      </c>
      <c r="G643" s="142" t="s">
        <v>233</v>
      </c>
      <c r="H643" s="174">
        <v>2</v>
      </c>
      <c r="I643" s="186" t="s">
        <v>232</v>
      </c>
      <c r="J643" s="174">
        <v>12</v>
      </c>
      <c r="K643" s="174">
        <v>12</v>
      </c>
      <c r="L643" s="187" t="s">
        <v>950</v>
      </c>
    </row>
    <row r="644" spans="1:20" hidden="1">
      <c r="A644" s="140" t="str">
        <f t="shared" si="10"/>
        <v>06842-00258-03-L85G</v>
      </c>
      <c r="B644" s="162" t="s">
        <v>1119</v>
      </c>
      <c r="C644" s="162" t="s">
        <v>1787</v>
      </c>
      <c r="D644" s="162" t="s">
        <v>1122</v>
      </c>
      <c r="F644" s="171">
        <v>61807</v>
      </c>
      <c r="G644" s="142" t="s">
        <v>233</v>
      </c>
      <c r="H644" s="174">
        <v>3</v>
      </c>
      <c r="I644" s="186" t="s">
        <v>232</v>
      </c>
      <c r="J644" s="174">
        <v>6</v>
      </c>
      <c r="K644" s="174">
        <v>6</v>
      </c>
      <c r="L644" s="187" t="s">
        <v>969</v>
      </c>
    </row>
    <row r="645" spans="1:20" hidden="1">
      <c r="A645" s="140" t="str">
        <f t="shared" si="10"/>
        <v>06842-00258-04-L85G</v>
      </c>
      <c r="B645" s="162" t="s">
        <v>1119</v>
      </c>
      <c r="C645" s="162" t="s">
        <v>1787</v>
      </c>
      <c r="D645" s="162" t="s">
        <v>1122</v>
      </c>
      <c r="F645" s="171">
        <v>62268</v>
      </c>
      <c r="G645" s="142" t="s">
        <v>233</v>
      </c>
      <c r="H645" s="174">
        <v>4</v>
      </c>
      <c r="I645" s="186" t="s">
        <v>232</v>
      </c>
      <c r="J645" s="174">
        <v>17</v>
      </c>
      <c r="K645" s="174">
        <v>17</v>
      </c>
    </row>
    <row r="646" spans="1:20" hidden="1">
      <c r="A646" s="140" t="str">
        <f t="shared" si="10"/>
        <v>06842-00258-05-L85G</v>
      </c>
      <c r="B646" s="162" t="s">
        <v>1119</v>
      </c>
      <c r="C646" s="162" t="s">
        <v>1787</v>
      </c>
      <c r="D646" s="162" t="s">
        <v>1122</v>
      </c>
      <c r="F646" s="171">
        <v>62729</v>
      </c>
      <c r="G646" s="142" t="s">
        <v>233</v>
      </c>
      <c r="H646" s="174">
        <v>5</v>
      </c>
      <c r="I646" s="186" t="s">
        <v>232</v>
      </c>
    </row>
    <row r="647" spans="1:20" ht="27" hidden="1">
      <c r="A647" s="140" t="str">
        <f t="shared" si="10"/>
        <v>06842-00488-01-L85G</v>
      </c>
      <c r="B647" s="162" t="s">
        <v>1119</v>
      </c>
      <c r="C647" s="162" t="s">
        <v>1787</v>
      </c>
      <c r="D647" s="162" t="s">
        <v>1122</v>
      </c>
      <c r="F647" s="171">
        <v>63345</v>
      </c>
      <c r="G647" s="141" t="s">
        <v>1070</v>
      </c>
      <c r="H647" s="174">
        <v>1</v>
      </c>
      <c r="I647" s="186" t="s">
        <v>1091</v>
      </c>
      <c r="K647" s="174">
        <v>649</v>
      </c>
      <c r="M647" s="217" t="s">
        <v>1073</v>
      </c>
      <c r="N647" s="183" t="s">
        <v>1930</v>
      </c>
    </row>
    <row r="648" spans="1:20" hidden="1">
      <c r="A648" s="140" t="str">
        <f t="shared" si="10"/>
        <v>06942-00019-01-L8EV</v>
      </c>
      <c r="B648" s="162" t="s">
        <v>1119</v>
      </c>
      <c r="C648" s="162" t="s">
        <v>1787</v>
      </c>
      <c r="D648" s="162" t="s">
        <v>1122</v>
      </c>
      <c r="F648" s="171">
        <v>45058</v>
      </c>
      <c r="G648" s="141" t="s">
        <v>530</v>
      </c>
      <c r="H648" s="174">
        <v>1</v>
      </c>
      <c r="I648" s="188" t="s">
        <v>531</v>
      </c>
      <c r="J648" s="174">
        <v>3</v>
      </c>
      <c r="M648" s="217" t="s">
        <v>47</v>
      </c>
      <c r="P648" s="155"/>
      <c r="Q648" s="150"/>
      <c r="R648" s="151"/>
      <c r="S648" s="147"/>
      <c r="T648" s="148"/>
    </row>
    <row r="649" spans="1:20" hidden="1">
      <c r="A649" s="140" t="str">
        <f t="shared" si="10"/>
        <v>06942-00019-01-L9ER</v>
      </c>
      <c r="B649" s="162" t="s">
        <v>1119</v>
      </c>
      <c r="C649" s="162" t="s">
        <v>1787</v>
      </c>
      <c r="D649" s="162" t="s">
        <v>1122</v>
      </c>
      <c r="F649" s="171">
        <v>45058</v>
      </c>
      <c r="G649" s="141" t="s">
        <v>530</v>
      </c>
      <c r="H649" s="174">
        <v>1</v>
      </c>
      <c r="I649" s="188" t="s">
        <v>532</v>
      </c>
      <c r="J649" s="174">
        <v>2</v>
      </c>
      <c r="M649" s="217" t="s">
        <v>47</v>
      </c>
      <c r="P649" s="155"/>
    </row>
    <row r="650" spans="1:20" hidden="1">
      <c r="A650" s="140" t="str">
        <f t="shared" si="10"/>
        <v>06942-00019-01-L9EV</v>
      </c>
      <c r="B650" s="162" t="s">
        <v>1119</v>
      </c>
      <c r="C650" s="162" t="s">
        <v>1787</v>
      </c>
      <c r="D650" s="162" t="s">
        <v>1122</v>
      </c>
      <c r="F650" s="171">
        <v>45058</v>
      </c>
      <c r="G650" s="141" t="s">
        <v>530</v>
      </c>
      <c r="H650" s="174">
        <v>1</v>
      </c>
      <c r="I650" s="188" t="s">
        <v>510</v>
      </c>
      <c r="J650" s="174">
        <v>6</v>
      </c>
      <c r="M650" s="217" t="s">
        <v>47</v>
      </c>
      <c r="P650" s="150"/>
      <c r="R650" s="151"/>
      <c r="S650" s="147"/>
      <c r="T650" s="148"/>
    </row>
    <row r="651" spans="1:20" hidden="1">
      <c r="A651" s="140" t="str">
        <f t="shared" si="10"/>
        <v>06942-00019-02-L8EV</v>
      </c>
      <c r="B651" s="162" t="s">
        <v>1119</v>
      </c>
      <c r="C651" s="162" t="s">
        <v>1787</v>
      </c>
      <c r="D651" s="162" t="s">
        <v>1122</v>
      </c>
      <c r="F651" s="171">
        <v>45244</v>
      </c>
      <c r="G651" s="141" t="s">
        <v>530</v>
      </c>
      <c r="H651" s="174">
        <v>2</v>
      </c>
      <c r="I651" s="188" t="s">
        <v>531</v>
      </c>
      <c r="J651" s="174">
        <v>3</v>
      </c>
      <c r="M651" s="217" t="s">
        <v>47</v>
      </c>
      <c r="O651" s="156"/>
      <c r="P651" s="155"/>
      <c r="Q651" s="150"/>
      <c r="R651" s="146"/>
      <c r="S651" s="147"/>
      <c r="T651" s="148"/>
    </row>
    <row r="652" spans="1:20" hidden="1">
      <c r="A652" s="140" t="str">
        <f t="shared" si="10"/>
        <v>06942-00019-02-L9ER</v>
      </c>
      <c r="B652" s="162" t="s">
        <v>1119</v>
      </c>
      <c r="C652" s="162" t="s">
        <v>1787</v>
      </c>
      <c r="D652" s="162" t="s">
        <v>1122</v>
      </c>
      <c r="F652" s="171">
        <v>45244</v>
      </c>
      <c r="G652" s="141" t="s">
        <v>530</v>
      </c>
      <c r="H652" s="174">
        <v>2</v>
      </c>
      <c r="I652" s="188" t="s">
        <v>532</v>
      </c>
      <c r="J652" s="174">
        <v>2</v>
      </c>
      <c r="M652" s="217" t="s">
        <v>47</v>
      </c>
      <c r="O652" s="156"/>
      <c r="P652" s="155"/>
      <c r="Q652" s="150"/>
      <c r="R652" s="146"/>
      <c r="S652" s="147"/>
      <c r="T652" s="148"/>
    </row>
    <row r="653" spans="1:20" hidden="1">
      <c r="A653" s="140" t="str">
        <f t="shared" si="10"/>
        <v>06942-00019-02-L9EV</v>
      </c>
      <c r="B653" s="162" t="s">
        <v>1119</v>
      </c>
      <c r="C653" s="162" t="s">
        <v>1787</v>
      </c>
      <c r="D653" s="162" t="s">
        <v>1122</v>
      </c>
      <c r="F653" s="171">
        <v>45244</v>
      </c>
      <c r="G653" s="141" t="s">
        <v>530</v>
      </c>
      <c r="H653" s="174">
        <v>2</v>
      </c>
      <c r="I653" s="188" t="s">
        <v>510</v>
      </c>
      <c r="J653" s="174" t="s">
        <v>512</v>
      </c>
      <c r="M653" s="217" t="s">
        <v>47</v>
      </c>
      <c r="O653" s="156"/>
      <c r="P653" s="155"/>
      <c r="T653" s="148"/>
    </row>
    <row r="654" spans="1:20" hidden="1">
      <c r="A654" s="140" t="str">
        <f t="shared" si="10"/>
        <v>06942-00019-03-L8EV</v>
      </c>
      <c r="B654" s="162" t="s">
        <v>1119</v>
      </c>
      <c r="C654" s="162" t="s">
        <v>1787</v>
      </c>
      <c r="D654" s="162" t="s">
        <v>1122</v>
      </c>
      <c r="F654" s="171">
        <v>45342</v>
      </c>
      <c r="G654" s="141" t="s">
        <v>530</v>
      </c>
      <c r="H654" s="174">
        <v>3</v>
      </c>
      <c r="I654" s="188" t="s">
        <v>531</v>
      </c>
      <c r="J654" s="174" t="s">
        <v>512</v>
      </c>
      <c r="M654" s="217" t="s">
        <v>47</v>
      </c>
      <c r="O654" s="156"/>
      <c r="P654" s="155"/>
      <c r="Q654" s="150"/>
      <c r="R654" s="157"/>
      <c r="S654" s="147"/>
      <c r="T654" s="148"/>
    </row>
    <row r="655" spans="1:20" hidden="1">
      <c r="A655" s="140" t="str">
        <f t="shared" si="10"/>
        <v>06942-00019-03-L9ER</v>
      </c>
      <c r="B655" s="162" t="s">
        <v>1119</v>
      </c>
      <c r="C655" s="162" t="s">
        <v>1787</v>
      </c>
      <c r="D655" s="162" t="s">
        <v>1122</v>
      </c>
      <c r="F655" s="171">
        <v>45342</v>
      </c>
      <c r="G655" s="141" t="s">
        <v>530</v>
      </c>
      <c r="H655" s="174">
        <v>3</v>
      </c>
      <c r="I655" s="188" t="s">
        <v>532</v>
      </c>
      <c r="J655" s="174" t="s">
        <v>512</v>
      </c>
      <c r="M655" s="217" t="s">
        <v>47</v>
      </c>
      <c r="O655" s="156"/>
      <c r="P655" s="155"/>
      <c r="Q655" s="150"/>
      <c r="R655" s="157"/>
      <c r="S655" s="147"/>
      <c r="T655" s="148"/>
    </row>
    <row r="656" spans="1:20" hidden="1">
      <c r="A656" s="140" t="str">
        <f t="shared" si="10"/>
        <v>06942-00019-03-L9EV</v>
      </c>
      <c r="B656" s="162" t="s">
        <v>1119</v>
      </c>
      <c r="C656" s="162" t="s">
        <v>1787</v>
      </c>
      <c r="D656" s="162" t="s">
        <v>1122</v>
      </c>
      <c r="F656" s="171">
        <v>45342</v>
      </c>
      <c r="G656" s="141" t="s">
        <v>530</v>
      </c>
      <c r="H656" s="174">
        <v>3</v>
      </c>
      <c r="I656" s="188" t="s">
        <v>510</v>
      </c>
      <c r="J656" s="174" t="s">
        <v>512</v>
      </c>
      <c r="M656" s="217" t="s">
        <v>47</v>
      </c>
      <c r="O656" s="156"/>
      <c r="P656" s="155"/>
      <c r="Q656" s="150"/>
      <c r="R656" s="157"/>
      <c r="S656" s="147"/>
      <c r="T656" s="148"/>
    </row>
    <row r="657" spans="1:24" hidden="1">
      <c r="A657" s="140" t="str">
        <f t="shared" si="10"/>
        <v>06942-00019-04-L8EV</v>
      </c>
      <c r="B657" s="162" t="s">
        <v>1119</v>
      </c>
      <c r="C657" s="162" t="s">
        <v>1787</v>
      </c>
      <c r="D657" s="162" t="s">
        <v>1122</v>
      </c>
      <c r="F657" s="171">
        <v>45444</v>
      </c>
      <c r="G657" s="141" t="s">
        <v>530</v>
      </c>
      <c r="H657" s="174">
        <v>4</v>
      </c>
      <c r="I657" s="188" t="s">
        <v>531</v>
      </c>
      <c r="M657" s="217" t="s">
        <v>47</v>
      </c>
      <c r="O657" s="156"/>
      <c r="P657" s="155"/>
      <c r="T657" s="148"/>
    </row>
    <row r="658" spans="1:24" hidden="1">
      <c r="A658" s="140" t="str">
        <f t="shared" si="10"/>
        <v>06942-00019-04-L9ER</v>
      </c>
      <c r="B658" s="162" t="s">
        <v>1119</v>
      </c>
      <c r="C658" s="162" t="s">
        <v>1787</v>
      </c>
      <c r="D658" s="162" t="s">
        <v>1122</v>
      </c>
      <c r="F658" s="171">
        <v>45444</v>
      </c>
      <c r="G658" s="141" t="s">
        <v>530</v>
      </c>
      <c r="H658" s="174">
        <v>4</v>
      </c>
      <c r="I658" s="188" t="s">
        <v>532</v>
      </c>
      <c r="M658" s="217" t="s">
        <v>47</v>
      </c>
      <c r="O658" s="156"/>
      <c r="P658" s="155"/>
      <c r="Q658" s="150"/>
      <c r="R658" s="157"/>
      <c r="S658" s="147"/>
      <c r="T658" s="148"/>
    </row>
    <row r="659" spans="1:24" hidden="1">
      <c r="A659" s="140" t="str">
        <f t="shared" si="10"/>
        <v>06942-00019-04-L9EV</v>
      </c>
      <c r="B659" s="162" t="s">
        <v>1119</v>
      </c>
      <c r="C659" s="162" t="s">
        <v>1787</v>
      </c>
      <c r="D659" s="162" t="s">
        <v>1122</v>
      </c>
      <c r="F659" s="171">
        <v>45444</v>
      </c>
      <c r="G659" s="141" t="s">
        <v>530</v>
      </c>
      <c r="H659" s="174">
        <v>4</v>
      </c>
      <c r="I659" s="188" t="s">
        <v>510</v>
      </c>
      <c r="M659" s="217" t="s">
        <v>47</v>
      </c>
      <c r="O659" s="156"/>
      <c r="P659" s="155"/>
      <c r="Q659" s="150"/>
      <c r="R659" s="157"/>
      <c r="S659" s="147"/>
      <c r="T659" s="148"/>
    </row>
    <row r="660" spans="1:24" hidden="1">
      <c r="A660" s="140" t="str">
        <f t="shared" si="10"/>
        <v>06942-00019-05-L9EV</v>
      </c>
      <c r="B660" s="162" t="s">
        <v>1119</v>
      </c>
      <c r="C660" s="162" t="s">
        <v>1787</v>
      </c>
      <c r="D660" s="162" t="s">
        <v>1122</v>
      </c>
      <c r="F660" s="171">
        <v>45719</v>
      </c>
      <c r="G660" s="141" t="s">
        <v>530</v>
      </c>
      <c r="H660" s="174">
        <v>5</v>
      </c>
      <c r="I660" s="190" t="s">
        <v>537</v>
      </c>
      <c r="J660" s="174">
        <v>417</v>
      </c>
      <c r="M660" s="217" t="s">
        <v>47</v>
      </c>
      <c r="O660" s="156"/>
      <c r="P660" s="155"/>
      <c r="R660" s="157"/>
      <c r="S660" s="147"/>
      <c r="T660" s="148"/>
    </row>
    <row r="661" spans="1:24" hidden="1">
      <c r="A661" s="140" t="str">
        <f t="shared" si="10"/>
        <v>06942-00019-05-L8EV</v>
      </c>
      <c r="B661" s="162" t="s">
        <v>1119</v>
      </c>
      <c r="C661" s="162" t="s">
        <v>1787</v>
      </c>
      <c r="D661" s="162" t="s">
        <v>1122</v>
      </c>
      <c r="F661" s="171">
        <v>45719</v>
      </c>
      <c r="G661" s="141" t="s">
        <v>530</v>
      </c>
      <c r="H661" s="174">
        <v>5</v>
      </c>
      <c r="I661" s="190" t="s">
        <v>225</v>
      </c>
      <c r="M661" s="217" t="s">
        <v>47</v>
      </c>
      <c r="O661" s="156"/>
      <c r="P661" s="155"/>
      <c r="R661" s="151"/>
      <c r="S661" s="147"/>
      <c r="T661" s="148"/>
    </row>
    <row r="662" spans="1:24" hidden="1">
      <c r="A662" s="140" t="str">
        <f t="shared" si="10"/>
        <v>06942-00019-05-L9ER</v>
      </c>
      <c r="B662" s="162" t="s">
        <v>1119</v>
      </c>
      <c r="C662" s="162" t="s">
        <v>1787</v>
      </c>
      <c r="D662" s="162" t="s">
        <v>1122</v>
      </c>
      <c r="F662" s="171">
        <v>45719</v>
      </c>
      <c r="G662" s="141" t="s">
        <v>530</v>
      </c>
      <c r="H662" s="174">
        <v>5</v>
      </c>
      <c r="I662" s="188" t="s">
        <v>532</v>
      </c>
      <c r="J662" s="174">
        <v>2</v>
      </c>
      <c r="M662" s="217" t="s">
        <v>47</v>
      </c>
      <c r="O662" s="156"/>
      <c r="P662" s="155"/>
      <c r="R662" s="157"/>
      <c r="S662" s="147"/>
      <c r="T662" s="148"/>
    </row>
    <row r="663" spans="1:24" ht="40.5" hidden="1">
      <c r="A663" s="140" t="str">
        <f t="shared" si="10"/>
        <v>06942-00019-06-L9EV</v>
      </c>
      <c r="B663" s="162" t="s">
        <v>1119</v>
      </c>
      <c r="C663" s="162" t="s">
        <v>1787</v>
      </c>
      <c r="D663" s="162" t="s">
        <v>1122</v>
      </c>
      <c r="F663" s="171">
        <v>46316</v>
      </c>
      <c r="G663" s="141" t="s">
        <v>218</v>
      </c>
      <c r="H663" s="174">
        <v>6</v>
      </c>
      <c r="I663" s="214" t="s">
        <v>510</v>
      </c>
      <c r="J663" s="174">
        <v>872</v>
      </c>
      <c r="K663" s="174">
        <v>872</v>
      </c>
      <c r="L663" s="149"/>
      <c r="M663" s="185" t="s">
        <v>47</v>
      </c>
      <c r="O663" s="156" t="s">
        <v>824</v>
      </c>
      <c r="P663" s="155"/>
      <c r="R663" s="151"/>
      <c r="S663" s="147"/>
      <c r="T663" s="148"/>
      <c r="X663" s="150"/>
    </row>
    <row r="664" spans="1:24" ht="40.5" hidden="1">
      <c r="A664" s="140" t="str">
        <f t="shared" si="10"/>
        <v>06942-00019-06-L8EV</v>
      </c>
      <c r="B664" s="162" t="s">
        <v>1119</v>
      </c>
      <c r="C664" s="162" t="s">
        <v>1787</v>
      </c>
      <c r="D664" s="162" t="s">
        <v>1122</v>
      </c>
      <c r="F664" s="171">
        <v>46316</v>
      </c>
      <c r="G664" s="141" t="s">
        <v>218</v>
      </c>
      <c r="H664" s="174">
        <v>6</v>
      </c>
      <c r="I664" s="214" t="s">
        <v>531</v>
      </c>
      <c r="J664" s="174">
        <v>721</v>
      </c>
      <c r="K664" s="174">
        <v>721</v>
      </c>
      <c r="L664" s="149"/>
      <c r="M664" s="185" t="s">
        <v>47</v>
      </c>
      <c r="O664" s="156" t="s">
        <v>824</v>
      </c>
      <c r="P664" s="155"/>
      <c r="R664" s="151"/>
      <c r="S664" s="147"/>
      <c r="T664" s="148"/>
      <c r="X664" s="150"/>
    </row>
    <row r="665" spans="1:24" ht="40.5" hidden="1">
      <c r="A665" s="140" t="str">
        <f t="shared" si="10"/>
        <v>06942-00019-06-L9ER</v>
      </c>
      <c r="B665" s="162" t="s">
        <v>1119</v>
      </c>
      <c r="C665" s="162" t="s">
        <v>1787</v>
      </c>
      <c r="D665" s="162" t="s">
        <v>1122</v>
      </c>
      <c r="F665" s="171">
        <v>46316</v>
      </c>
      <c r="G665" s="141" t="s">
        <v>218</v>
      </c>
      <c r="H665" s="174">
        <v>6</v>
      </c>
      <c r="I665" s="188" t="s">
        <v>532</v>
      </c>
      <c r="J665" s="174">
        <v>575</v>
      </c>
      <c r="K665" s="174">
        <v>575</v>
      </c>
      <c r="L665" s="149"/>
      <c r="M665" s="185" t="s">
        <v>47</v>
      </c>
      <c r="O665" s="156" t="s">
        <v>824</v>
      </c>
      <c r="P665" s="155"/>
      <c r="R665" s="151"/>
      <c r="S665" s="147"/>
      <c r="T665" s="148"/>
      <c r="X665" s="150"/>
    </row>
    <row r="666" spans="1:24" hidden="1">
      <c r="A666" s="140" t="str">
        <f t="shared" si="10"/>
        <v>06942-00019-07-L8EV</v>
      </c>
      <c r="B666" s="162" t="s">
        <v>1119</v>
      </c>
      <c r="C666" s="162" t="s">
        <v>1787</v>
      </c>
      <c r="D666" s="162" t="s">
        <v>1122</v>
      </c>
      <c r="F666" s="171">
        <v>46947</v>
      </c>
      <c r="G666" s="141" t="s">
        <v>218</v>
      </c>
      <c r="H666" s="174">
        <v>7</v>
      </c>
      <c r="I666" s="198" t="s">
        <v>531</v>
      </c>
      <c r="M666" s="217" t="s">
        <v>47</v>
      </c>
      <c r="R666" s="151"/>
      <c r="S666" s="147"/>
      <c r="T666" s="148"/>
    </row>
    <row r="667" spans="1:24" hidden="1">
      <c r="A667" s="140" t="str">
        <f t="shared" si="10"/>
        <v>06942-00019-07-L9EV</v>
      </c>
      <c r="B667" s="162" t="s">
        <v>1119</v>
      </c>
      <c r="C667" s="162" t="s">
        <v>1787</v>
      </c>
      <c r="D667" s="162" t="s">
        <v>1122</v>
      </c>
      <c r="F667" s="171">
        <v>46947</v>
      </c>
      <c r="G667" s="141" t="s">
        <v>218</v>
      </c>
      <c r="H667" s="174">
        <v>7</v>
      </c>
      <c r="I667" s="198" t="s">
        <v>811</v>
      </c>
      <c r="M667" s="217" t="s">
        <v>47</v>
      </c>
      <c r="R667" s="151"/>
      <c r="S667" s="147"/>
      <c r="T667" s="148"/>
    </row>
    <row r="668" spans="1:24" hidden="1">
      <c r="A668" s="140" t="str">
        <f t="shared" si="10"/>
        <v>06942-00019-07-L9ER</v>
      </c>
      <c r="B668" s="162" t="s">
        <v>1119</v>
      </c>
      <c r="C668" s="162" t="s">
        <v>1787</v>
      </c>
      <c r="D668" s="162" t="s">
        <v>1122</v>
      </c>
      <c r="F668" s="171">
        <v>46947</v>
      </c>
      <c r="G668" s="141" t="s">
        <v>218</v>
      </c>
      <c r="H668" s="174">
        <v>7</v>
      </c>
      <c r="I668" s="188" t="s">
        <v>532</v>
      </c>
      <c r="M668" s="217" t="s">
        <v>47</v>
      </c>
      <c r="R668" s="151"/>
      <c r="S668" s="147"/>
      <c r="T668" s="148"/>
    </row>
    <row r="669" spans="1:24" hidden="1">
      <c r="A669" s="140" t="str">
        <f t="shared" si="10"/>
        <v>06942-00019-08-L8EV</v>
      </c>
      <c r="B669" s="162" t="s">
        <v>1119</v>
      </c>
      <c r="C669" s="162" t="s">
        <v>1787</v>
      </c>
      <c r="D669" s="162" t="s">
        <v>1122</v>
      </c>
      <c r="F669" s="171">
        <v>47097</v>
      </c>
      <c r="G669" s="141" t="s">
        <v>218</v>
      </c>
      <c r="H669" s="174">
        <v>8</v>
      </c>
      <c r="I669" s="198" t="s">
        <v>531</v>
      </c>
      <c r="M669" s="217" t="s">
        <v>47</v>
      </c>
      <c r="N669" s="184"/>
      <c r="R669" s="151"/>
      <c r="S669" s="147"/>
      <c r="T669" s="148"/>
      <c r="V669" s="150"/>
    </row>
    <row r="670" spans="1:24" hidden="1">
      <c r="A670" s="140" t="str">
        <f t="shared" si="10"/>
        <v>06942-00019-08-L9EV</v>
      </c>
      <c r="B670" s="162" t="s">
        <v>1119</v>
      </c>
      <c r="C670" s="162" t="s">
        <v>1787</v>
      </c>
      <c r="D670" s="162" t="s">
        <v>1122</v>
      </c>
      <c r="F670" s="171">
        <v>47097</v>
      </c>
      <c r="G670" s="141" t="s">
        <v>218</v>
      </c>
      <c r="H670" s="174">
        <v>8</v>
      </c>
      <c r="I670" s="198" t="s">
        <v>510</v>
      </c>
      <c r="M670" s="217" t="s">
        <v>47</v>
      </c>
      <c r="N670" s="184"/>
      <c r="R670" s="146"/>
      <c r="S670" s="147"/>
      <c r="T670" s="148"/>
      <c r="V670" s="148"/>
    </row>
    <row r="671" spans="1:24" hidden="1">
      <c r="A671" s="140" t="str">
        <f t="shared" si="10"/>
        <v>06942-00019-08-L9ER</v>
      </c>
      <c r="B671" s="162" t="s">
        <v>1119</v>
      </c>
      <c r="C671" s="162" t="s">
        <v>1787</v>
      </c>
      <c r="D671" s="162" t="s">
        <v>1122</v>
      </c>
      <c r="F671" s="171">
        <v>47097</v>
      </c>
      <c r="G671" s="141" t="s">
        <v>218</v>
      </c>
      <c r="H671" s="174">
        <v>8</v>
      </c>
      <c r="I671" s="188" t="s">
        <v>532</v>
      </c>
      <c r="M671" s="217" t="s">
        <v>47</v>
      </c>
      <c r="N671" s="184"/>
      <c r="R671" s="146"/>
      <c r="S671" s="147"/>
      <c r="T671" s="148"/>
      <c r="V671" s="148"/>
    </row>
    <row r="672" spans="1:24" hidden="1">
      <c r="A672" s="140" t="str">
        <f t="shared" si="10"/>
        <v>06942-00019-10-L8EV</v>
      </c>
      <c r="B672" s="162" t="s">
        <v>1119</v>
      </c>
      <c r="C672" s="162" t="s">
        <v>1787</v>
      </c>
      <c r="D672" s="162" t="s">
        <v>1122</v>
      </c>
      <c r="F672" s="171">
        <v>48774</v>
      </c>
      <c r="G672" s="141" t="s">
        <v>218</v>
      </c>
      <c r="H672" s="174">
        <v>10</v>
      </c>
      <c r="I672" s="186" t="s">
        <v>225</v>
      </c>
      <c r="M672" s="217" t="s">
        <v>1163</v>
      </c>
      <c r="N672" s="185"/>
      <c r="P672" s="155"/>
      <c r="Q672" s="143"/>
      <c r="R672" s="141"/>
      <c r="S672" s="145"/>
    </row>
    <row r="673" spans="1:20" ht="40.5" hidden="1">
      <c r="A673" s="140" t="str">
        <f t="shared" si="10"/>
        <v>06942-00019-10-L9EV</v>
      </c>
      <c r="B673" s="162" t="s">
        <v>1119</v>
      </c>
      <c r="C673" s="162" t="s">
        <v>1787</v>
      </c>
      <c r="D673" s="162" t="s">
        <v>1122</v>
      </c>
      <c r="F673" s="171">
        <v>48774</v>
      </c>
      <c r="G673" s="141" t="s">
        <v>218</v>
      </c>
      <c r="H673" s="174">
        <v>10</v>
      </c>
      <c r="I673" s="210" t="s">
        <v>537</v>
      </c>
      <c r="J673" s="174">
        <v>1701</v>
      </c>
      <c r="K673" s="174">
        <v>1701</v>
      </c>
      <c r="L673" s="149"/>
      <c r="M673" s="185" t="s">
        <v>1163</v>
      </c>
      <c r="N673" s="184"/>
      <c r="O673" s="156" t="s">
        <v>859</v>
      </c>
      <c r="P673" s="155"/>
    </row>
    <row r="674" spans="1:20" ht="40.5" hidden="1">
      <c r="A674" s="140" t="str">
        <f t="shared" si="10"/>
        <v>06942-00019-10-L9ER</v>
      </c>
      <c r="B674" s="162" t="s">
        <v>1119</v>
      </c>
      <c r="C674" s="162" t="s">
        <v>1787</v>
      </c>
      <c r="D674" s="162" t="s">
        <v>1122</v>
      </c>
      <c r="F674" s="171">
        <v>48774</v>
      </c>
      <c r="G674" s="141" t="s">
        <v>218</v>
      </c>
      <c r="H674" s="174">
        <v>10</v>
      </c>
      <c r="I674" s="188" t="s">
        <v>532</v>
      </c>
      <c r="J674" s="174">
        <v>1380</v>
      </c>
      <c r="K674" s="174">
        <v>1380</v>
      </c>
      <c r="L674" s="149"/>
      <c r="M674" s="185" t="s">
        <v>1163</v>
      </c>
      <c r="O674" s="156" t="s">
        <v>859</v>
      </c>
    </row>
    <row r="675" spans="1:20" ht="27" hidden="1">
      <c r="A675" s="140" t="str">
        <f t="shared" si="10"/>
        <v>06942-00019-11-L9EV</v>
      </c>
      <c r="B675" s="162" t="s">
        <v>1119</v>
      </c>
      <c r="C675" s="162" t="s">
        <v>1787</v>
      </c>
      <c r="D675" s="162" t="s">
        <v>1122</v>
      </c>
      <c r="F675" s="171">
        <v>51842</v>
      </c>
      <c r="G675" s="141" t="s">
        <v>218</v>
      </c>
      <c r="H675" s="174">
        <v>11</v>
      </c>
      <c r="I675" s="210" t="s">
        <v>537</v>
      </c>
      <c r="J675" s="174">
        <v>3618</v>
      </c>
      <c r="K675" s="174">
        <v>3618</v>
      </c>
      <c r="L675" s="149"/>
      <c r="M675" s="185" t="s">
        <v>1164</v>
      </c>
      <c r="O675" s="156" t="s">
        <v>916</v>
      </c>
    </row>
    <row r="676" spans="1:20" ht="27" hidden="1">
      <c r="A676" s="140" t="str">
        <f t="shared" si="10"/>
        <v>06942-00019-11-L8EV</v>
      </c>
      <c r="B676" s="162" t="s">
        <v>1119</v>
      </c>
      <c r="C676" s="162" t="s">
        <v>1787</v>
      </c>
      <c r="D676" s="162" t="s">
        <v>1122</v>
      </c>
      <c r="F676" s="171">
        <v>51842</v>
      </c>
      <c r="G676" s="141" t="s">
        <v>218</v>
      </c>
      <c r="H676" s="174">
        <v>11</v>
      </c>
      <c r="I676" s="210" t="s">
        <v>225</v>
      </c>
      <c r="J676" s="174">
        <v>4375</v>
      </c>
      <c r="K676" s="174">
        <v>4375</v>
      </c>
      <c r="L676" s="149"/>
      <c r="M676" s="185" t="s">
        <v>1164</v>
      </c>
      <c r="O676" s="156" t="s">
        <v>916</v>
      </c>
    </row>
    <row r="677" spans="1:20" ht="27" hidden="1">
      <c r="A677" s="140" t="str">
        <f t="shared" si="10"/>
        <v>06942-00019-11-L9ER</v>
      </c>
      <c r="B677" s="162" t="s">
        <v>1119</v>
      </c>
      <c r="C677" s="162" t="s">
        <v>1787</v>
      </c>
      <c r="D677" s="162" t="s">
        <v>1122</v>
      </c>
      <c r="F677" s="171">
        <v>51842</v>
      </c>
      <c r="G677" s="141" t="s">
        <v>218</v>
      </c>
      <c r="H677" s="174">
        <v>11</v>
      </c>
      <c r="I677" s="188" t="s">
        <v>532</v>
      </c>
      <c r="J677" s="174">
        <v>3276</v>
      </c>
      <c r="K677" s="174">
        <v>3276</v>
      </c>
      <c r="L677" s="149"/>
      <c r="M677" s="185" t="s">
        <v>1164</v>
      </c>
      <c r="O677" s="156" t="s">
        <v>916</v>
      </c>
    </row>
    <row r="678" spans="1:20" hidden="1">
      <c r="A678" s="140" t="str">
        <f t="shared" si="10"/>
        <v>06942-00019-12-L9EV</v>
      </c>
      <c r="B678" s="162" t="s">
        <v>1119</v>
      </c>
      <c r="C678" s="162" t="s">
        <v>1787</v>
      </c>
      <c r="D678" s="162" t="s">
        <v>1122</v>
      </c>
      <c r="F678" s="171">
        <v>55511</v>
      </c>
      <c r="G678" s="141" t="s">
        <v>218</v>
      </c>
      <c r="H678" s="174">
        <v>12</v>
      </c>
      <c r="I678" s="186" t="s">
        <v>942</v>
      </c>
      <c r="M678" s="217" t="s">
        <v>453</v>
      </c>
    </row>
    <row r="679" spans="1:20" hidden="1">
      <c r="A679" s="140" t="str">
        <f t="shared" si="10"/>
        <v>06942-00019-12-L8EV</v>
      </c>
      <c r="B679" s="162" t="s">
        <v>1119</v>
      </c>
      <c r="C679" s="162" t="s">
        <v>1787</v>
      </c>
      <c r="D679" s="162" t="s">
        <v>1122</v>
      </c>
      <c r="F679" s="171">
        <v>55511</v>
      </c>
      <c r="G679" s="141" t="s">
        <v>218</v>
      </c>
      <c r="H679" s="174">
        <v>12</v>
      </c>
      <c r="I679" s="186" t="s">
        <v>225</v>
      </c>
      <c r="M679" s="217" t="s">
        <v>453</v>
      </c>
    </row>
    <row r="680" spans="1:20" hidden="1">
      <c r="A680" s="140" t="str">
        <f t="shared" si="10"/>
        <v>06942-00019-12-L9ER</v>
      </c>
      <c r="B680" s="162" t="s">
        <v>1119</v>
      </c>
      <c r="C680" s="162" t="s">
        <v>1787</v>
      </c>
      <c r="D680" s="162" t="s">
        <v>1122</v>
      </c>
      <c r="F680" s="171">
        <v>55511</v>
      </c>
      <c r="G680" s="141" t="s">
        <v>218</v>
      </c>
      <c r="H680" s="174">
        <v>12</v>
      </c>
      <c r="I680" s="188" t="s">
        <v>532</v>
      </c>
      <c r="M680" s="217" t="s">
        <v>453</v>
      </c>
    </row>
    <row r="681" spans="1:20" hidden="1">
      <c r="A681" s="140" t="str">
        <f t="shared" si="10"/>
        <v>06942-00021-01-L8EV</v>
      </c>
      <c r="B681" s="162" t="s">
        <v>1119</v>
      </c>
      <c r="C681" s="162" t="s">
        <v>1788</v>
      </c>
      <c r="D681" s="162" t="s">
        <v>1122</v>
      </c>
      <c r="F681" s="171">
        <v>45611</v>
      </c>
      <c r="G681" s="141" t="s">
        <v>538</v>
      </c>
      <c r="H681" s="174">
        <v>1</v>
      </c>
      <c r="I681" s="191" t="s">
        <v>531</v>
      </c>
      <c r="J681" s="174">
        <v>3</v>
      </c>
      <c r="M681" s="217" t="s">
        <v>360</v>
      </c>
      <c r="O681" s="156"/>
      <c r="P681" s="155"/>
      <c r="Q681" s="150"/>
      <c r="R681" s="157"/>
      <c r="S681" s="147"/>
      <c r="T681" s="148"/>
    </row>
    <row r="682" spans="1:20" hidden="1">
      <c r="A682" s="140" t="str">
        <f t="shared" si="10"/>
        <v>06942-00021-01-L8EV2</v>
      </c>
      <c r="B682" s="162" t="s">
        <v>1119</v>
      </c>
      <c r="C682" s="162" t="s">
        <v>1788</v>
      </c>
      <c r="D682" s="162" t="s">
        <v>1122</v>
      </c>
      <c r="F682" s="171">
        <v>45611</v>
      </c>
      <c r="G682" s="141" t="s">
        <v>538</v>
      </c>
      <c r="H682" s="174">
        <v>1</v>
      </c>
      <c r="I682" s="191" t="s">
        <v>539</v>
      </c>
      <c r="M682" s="217" t="s">
        <v>360</v>
      </c>
      <c r="O682" s="156"/>
      <c r="P682" s="155"/>
    </row>
    <row r="683" spans="1:20" hidden="1">
      <c r="A683" s="140" t="str">
        <f t="shared" si="10"/>
        <v>06942-00021-01-L9ER</v>
      </c>
      <c r="B683" s="162" t="s">
        <v>1119</v>
      </c>
      <c r="C683" s="162" t="s">
        <v>1788</v>
      </c>
      <c r="D683" s="162" t="s">
        <v>1122</v>
      </c>
      <c r="F683" s="171">
        <v>45611</v>
      </c>
      <c r="G683" s="141" t="s">
        <v>538</v>
      </c>
      <c r="H683" s="174">
        <v>1</v>
      </c>
      <c r="I683" s="188" t="s">
        <v>532</v>
      </c>
      <c r="M683" s="217" t="s">
        <v>360</v>
      </c>
      <c r="O683" s="156"/>
      <c r="P683" s="155"/>
      <c r="R683" s="157"/>
      <c r="S683" s="147"/>
      <c r="T683" s="148"/>
    </row>
    <row r="684" spans="1:20" hidden="1">
      <c r="A684" s="140" t="str">
        <f t="shared" si="10"/>
        <v>06942-00021-01-L9EV</v>
      </c>
      <c r="B684" s="162" t="s">
        <v>1119</v>
      </c>
      <c r="C684" s="162" t="s">
        <v>1788</v>
      </c>
      <c r="D684" s="162" t="s">
        <v>1122</v>
      </c>
      <c r="F684" s="171">
        <v>45611</v>
      </c>
      <c r="G684" s="141" t="s">
        <v>538</v>
      </c>
      <c r="H684" s="174">
        <v>1</v>
      </c>
      <c r="I684" s="191" t="s">
        <v>510</v>
      </c>
      <c r="M684" s="217" t="s">
        <v>360</v>
      </c>
      <c r="O684" s="156"/>
      <c r="P684" s="155"/>
      <c r="Q684" s="150"/>
      <c r="R684" s="157"/>
      <c r="S684" s="147"/>
      <c r="T684" s="148"/>
    </row>
    <row r="685" spans="1:20" hidden="1">
      <c r="A685" s="140" t="str">
        <f t="shared" si="10"/>
        <v>06942-00021-01-L9ER2</v>
      </c>
      <c r="B685" s="162" t="s">
        <v>1119</v>
      </c>
      <c r="C685" s="162" t="s">
        <v>1788</v>
      </c>
      <c r="D685" s="162" t="s">
        <v>1122</v>
      </c>
      <c r="F685" s="171">
        <v>45611</v>
      </c>
      <c r="G685" s="141" t="s">
        <v>538</v>
      </c>
      <c r="H685" s="174">
        <v>1</v>
      </c>
      <c r="I685" s="191" t="s">
        <v>540</v>
      </c>
      <c r="M685" s="217" t="s">
        <v>360</v>
      </c>
      <c r="O685" s="156"/>
      <c r="P685" s="155"/>
      <c r="Q685" s="150"/>
      <c r="R685" s="157"/>
      <c r="S685" s="147"/>
      <c r="T685" s="148"/>
    </row>
    <row r="686" spans="1:20" hidden="1">
      <c r="A686" s="140" t="str">
        <f t="shared" si="10"/>
        <v>06942-00021-01-L9EV2</v>
      </c>
      <c r="B686" s="162" t="s">
        <v>1119</v>
      </c>
      <c r="C686" s="162" t="s">
        <v>1788</v>
      </c>
      <c r="D686" s="162" t="s">
        <v>1122</v>
      </c>
      <c r="F686" s="171">
        <v>45611</v>
      </c>
      <c r="G686" s="141" t="s">
        <v>538</v>
      </c>
      <c r="H686" s="174">
        <v>1</v>
      </c>
      <c r="I686" s="191" t="s">
        <v>541</v>
      </c>
      <c r="M686" s="217" t="s">
        <v>360</v>
      </c>
      <c r="O686" s="156"/>
      <c r="P686" s="155"/>
      <c r="Q686" s="150"/>
      <c r="R686" s="157"/>
      <c r="S686" s="147"/>
      <c r="T686" s="148"/>
    </row>
    <row r="687" spans="1:20" ht="27" hidden="1">
      <c r="A687" s="140" t="str">
        <f t="shared" si="10"/>
        <v>06942-00234-00-L9C</v>
      </c>
      <c r="B687" s="162" t="s">
        <v>1119</v>
      </c>
      <c r="C687" s="162" t="s">
        <v>1787</v>
      </c>
      <c r="D687" s="162" t="s">
        <v>1122</v>
      </c>
      <c r="F687" s="171">
        <v>45048</v>
      </c>
      <c r="G687" s="141" t="s">
        <v>529</v>
      </c>
      <c r="H687" s="174">
        <v>0</v>
      </c>
      <c r="I687" s="188" t="s">
        <v>501</v>
      </c>
      <c r="J687" s="174">
        <v>2501</v>
      </c>
      <c r="N687" s="183" t="s">
        <v>1935</v>
      </c>
      <c r="O687" s="156"/>
      <c r="P687" s="155"/>
      <c r="Q687" s="150"/>
      <c r="R687" s="151"/>
      <c r="S687" s="147"/>
      <c r="T687" s="148"/>
    </row>
    <row r="688" spans="1:20" ht="27" hidden="1">
      <c r="A688" s="140" t="str">
        <f t="shared" si="10"/>
        <v>06942-00290-00-L8EV</v>
      </c>
      <c r="B688" s="162" t="s">
        <v>1119</v>
      </c>
      <c r="C688" s="162" t="s">
        <v>1787</v>
      </c>
      <c r="D688" s="162" t="s">
        <v>1122</v>
      </c>
      <c r="F688" s="171">
        <v>45102</v>
      </c>
      <c r="G688" s="141" t="s">
        <v>533</v>
      </c>
      <c r="H688" s="174">
        <v>0</v>
      </c>
      <c r="I688" s="188" t="s">
        <v>531</v>
      </c>
      <c r="J688" s="174" t="s">
        <v>512</v>
      </c>
      <c r="N688" s="183" t="s">
        <v>1936</v>
      </c>
      <c r="P688" s="155"/>
      <c r="R688" s="151"/>
      <c r="S688" s="147"/>
      <c r="T688" s="148"/>
    </row>
    <row r="689" spans="1:24" ht="27" hidden="1">
      <c r="A689" s="140" t="str">
        <f t="shared" si="10"/>
        <v>06942-00290-00-L9ER</v>
      </c>
      <c r="B689" s="162" t="s">
        <v>1119</v>
      </c>
      <c r="C689" s="162" t="s">
        <v>1787</v>
      </c>
      <c r="D689" s="162" t="s">
        <v>1122</v>
      </c>
      <c r="F689" s="171">
        <v>45102</v>
      </c>
      <c r="G689" s="141" t="s">
        <v>533</v>
      </c>
      <c r="H689" s="174">
        <v>0</v>
      </c>
      <c r="I689" s="188" t="s">
        <v>532</v>
      </c>
      <c r="J689" s="174">
        <v>2</v>
      </c>
      <c r="N689" s="183" t="s">
        <v>1936</v>
      </c>
      <c r="P689" s="155"/>
    </row>
    <row r="690" spans="1:24" ht="27" hidden="1">
      <c r="A690" s="140" t="str">
        <f t="shared" si="10"/>
        <v>06942-00290-00-L9EV</v>
      </c>
      <c r="B690" s="162" t="s">
        <v>1119</v>
      </c>
      <c r="C690" s="162" t="s">
        <v>1787</v>
      </c>
      <c r="D690" s="162" t="s">
        <v>1122</v>
      </c>
      <c r="F690" s="171">
        <v>45102</v>
      </c>
      <c r="G690" s="141" t="s">
        <v>533</v>
      </c>
      <c r="H690" s="174">
        <v>0</v>
      </c>
      <c r="I690" s="188" t="s">
        <v>510</v>
      </c>
      <c r="J690" s="174" t="s">
        <v>512</v>
      </c>
      <c r="N690" s="183" t="s">
        <v>1936</v>
      </c>
      <c r="P690" s="155"/>
      <c r="Q690" s="150"/>
      <c r="R690" s="146"/>
      <c r="S690" s="147"/>
      <c r="T690" s="148"/>
    </row>
    <row r="691" spans="1:24" hidden="1">
      <c r="A691" s="140" t="str">
        <f t="shared" si="10"/>
        <v>06942-00290-01-L8EV</v>
      </c>
      <c r="B691" s="162" t="s">
        <v>1119</v>
      </c>
      <c r="C691" s="162" t="s">
        <v>1787</v>
      </c>
      <c r="D691" s="162" t="s">
        <v>1122</v>
      </c>
      <c r="F691" s="171">
        <v>45611</v>
      </c>
      <c r="G691" s="141" t="s">
        <v>533</v>
      </c>
      <c r="H691" s="174">
        <v>1</v>
      </c>
      <c r="I691" s="190" t="s">
        <v>225</v>
      </c>
      <c r="O691" s="156"/>
      <c r="P691" s="155"/>
      <c r="Q691" s="150"/>
      <c r="R691" s="157"/>
      <c r="S691" s="147"/>
      <c r="T691" s="148"/>
    </row>
    <row r="692" spans="1:24" hidden="1">
      <c r="A692" s="140" t="str">
        <f t="shared" si="10"/>
        <v>06942-00290-01-L9ER</v>
      </c>
      <c r="B692" s="162" t="s">
        <v>1119</v>
      </c>
      <c r="C692" s="162" t="s">
        <v>1787</v>
      </c>
      <c r="D692" s="162" t="s">
        <v>1122</v>
      </c>
      <c r="F692" s="171">
        <v>45611</v>
      </c>
      <c r="G692" s="141" t="s">
        <v>533</v>
      </c>
      <c r="H692" s="174">
        <v>1</v>
      </c>
      <c r="I692" s="188" t="s">
        <v>532</v>
      </c>
      <c r="O692" s="156"/>
      <c r="P692" s="155"/>
      <c r="Q692" s="150"/>
      <c r="R692" s="157"/>
      <c r="S692" s="147"/>
      <c r="T692" s="148"/>
    </row>
    <row r="693" spans="1:24" hidden="1">
      <c r="A693" s="140" t="str">
        <f t="shared" si="10"/>
        <v>06942-00290-01-L9EV</v>
      </c>
      <c r="B693" s="162" t="s">
        <v>1119</v>
      </c>
      <c r="C693" s="162" t="s">
        <v>1787</v>
      </c>
      <c r="D693" s="162" t="s">
        <v>1122</v>
      </c>
      <c r="F693" s="171">
        <v>45611</v>
      </c>
      <c r="G693" s="141" t="s">
        <v>533</v>
      </c>
      <c r="H693" s="174">
        <v>1</v>
      </c>
      <c r="I693" s="190" t="s">
        <v>537</v>
      </c>
      <c r="O693" s="156"/>
      <c r="P693" s="155"/>
      <c r="Q693" s="150"/>
      <c r="R693" s="157"/>
      <c r="S693" s="147"/>
      <c r="T693" s="148"/>
    </row>
    <row r="694" spans="1:24" hidden="1">
      <c r="A694" s="140" t="str">
        <f t="shared" si="10"/>
        <v>06942-00290-02-L8EV</v>
      </c>
      <c r="B694" s="162" t="s">
        <v>1119</v>
      </c>
      <c r="C694" s="162" t="s">
        <v>1787</v>
      </c>
      <c r="D694" s="162" t="s">
        <v>1122</v>
      </c>
      <c r="F694" s="171">
        <v>45814</v>
      </c>
      <c r="G694" s="141" t="s">
        <v>220</v>
      </c>
      <c r="H694" s="174">
        <v>2</v>
      </c>
      <c r="I694" s="190" t="s">
        <v>810</v>
      </c>
      <c r="O694" s="156"/>
      <c r="P694" s="155"/>
      <c r="R694" s="157"/>
      <c r="S694" s="147"/>
      <c r="T694" s="148"/>
    </row>
    <row r="695" spans="1:24" hidden="1">
      <c r="A695" s="140" t="str">
        <f t="shared" si="10"/>
        <v>06942-00290-02-L9EV</v>
      </c>
      <c r="B695" s="162" t="s">
        <v>1119</v>
      </c>
      <c r="C695" s="162" t="s">
        <v>1787</v>
      </c>
      <c r="D695" s="162" t="s">
        <v>1122</v>
      </c>
      <c r="F695" s="171">
        <v>45814</v>
      </c>
      <c r="G695" s="141" t="s">
        <v>220</v>
      </c>
      <c r="H695" s="174">
        <v>2</v>
      </c>
      <c r="I695" s="190" t="s">
        <v>811</v>
      </c>
      <c r="P695" s="155"/>
    </row>
    <row r="696" spans="1:24" hidden="1">
      <c r="A696" s="140" t="str">
        <f t="shared" si="10"/>
        <v>06942-00290-02-L9ER</v>
      </c>
      <c r="B696" s="162" t="s">
        <v>1119</v>
      </c>
      <c r="C696" s="162" t="s">
        <v>1787</v>
      </c>
      <c r="D696" s="162" t="s">
        <v>1122</v>
      </c>
      <c r="F696" s="171">
        <v>45814</v>
      </c>
      <c r="G696" s="141" t="s">
        <v>220</v>
      </c>
      <c r="H696" s="174">
        <v>2</v>
      </c>
      <c r="I696" s="188" t="s">
        <v>532</v>
      </c>
      <c r="P696" s="155"/>
      <c r="R696" s="151"/>
      <c r="S696" s="147"/>
      <c r="T696" s="148"/>
    </row>
    <row r="697" spans="1:24" ht="40.5" hidden="1">
      <c r="A697" s="140" t="str">
        <f t="shared" si="10"/>
        <v>06942-00290-03-L9EV</v>
      </c>
      <c r="B697" s="162" t="s">
        <v>1119</v>
      </c>
      <c r="C697" s="162" t="s">
        <v>1787</v>
      </c>
      <c r="D697" s="162" t="s">
        <v>1122</v>
      </c>
      <c r="F697" s="171">
        <v>46316</v>
      </c>
      <c r="G697" s="141" t="s">
        <v>220</v>
      </c>
      <c r="H697" s="174">
        <v>3</v>
      </c>
      <c r="I697" s="214" t="s">
        <v>510</v>
      </c>
      <c r="J697" s="174">
        <v>872</v>
      </c>
      <c r="K697" s="174">
        <v>872</v>
      </c>
      <c r="L697" s="149"/>
      <c r="M697" s="185"/>
      <c r="O697" s="156" t="s">
        <v>824</v>
      </c>
      <c r="P697" s="155"/>
      <c r="R697" s="151"/>
      <c r="S697" s="147"/>
      <c r="T697" s="148"/>
      <c r="X697" s="150"/>
    </row>
    <row r="698" spans="1:24" ht="40.5" hidden="1">
      <c r="A698" s="140" t="str">
        <f t="shared" ref="A698:A761" si="11">G698&amp;"-"&amp;TEXT(H698,"00")&amp;"-"&amp;I698</f>
        <v>06942-00290-03-L8EV</v>
      </c>
      <c r="B698" s="162" t="s">
        <v>1119</v>
      </c>
      <c r="C698" s="162" t="s">
        <v>1787</v>
      </c>
      <c r="D698" s="162" t="s">
        <v>1122</v>
      </c>
      <c r="F698" s="171">
        <v>46316</v>
      </c>
      <c r="G698" s="141" t="s">
        <v>220</v>
      </c>
      <c r="H698" s="174">
        <v>3</v>
      </c>
      <c r="I698" s="214" t="s">
        <v>531</v>
      </c>
      <c r="J698" s="174">
        <v>721</v>
      </c>
      <c r="K698" s="174">
        <v>721</v>
      </c>
      <c r="L698" s="149"/>
      <c r="M698" s="185"/>
      <c r="O698" s="156" t="s">
        <v>824</v>
      </c>
      <c r="P698" s="155"/>
      <c r="R698" s="151"/>
      <c r="S698" s="147"/>
      <c r="T698" s="148"/>
      <c r="X698" s="150"/>
    </row>
    <row r="699" spans="1:24" ht="40.5" hidden="1">
      <c r="A699" s="140" t="str">
        <f t="shared" si="11"/>
        <v>06942-00290-03-L9ER</v>
      </c>
      <c r="B699" s="162" t="s">
        <v>1119</v>
      </c>
      <c r="C699" s="162" t="s">
        <v>1787</v>
      </c>
      <c r="D699" s="162" t="s">
        <v>1122</v>
      </c>
      <c r="F699" s="171">
        <v>46316</v>
      </c>
      <c r="G699" s="141" t="s">
        <v>220</v>
      </c>
      <c r="H699" s="174">
        <v>3</v>
      </c>
      <c r="I699" s="188" t="s">
        <v>532</v>
      </c>
      <c r="J699" s="174">
        <v>575</v>
      </c>
      <c r="K699" s="174">
        <v>575</v>
      </c>
      <c r="L699" s="149"/>
      <c r="M699" s="185"/>
      <c r="O699" s="156" t="s">
        <v>824</v>
      </c>
      <c r="P699" s="155"/>
      <c r="R699" s="151"/>
      <c r="S699" s="147"/>
      <c r="T699" s="148"/>
      <c r="X699" s="150"/>
    </row>
    <row r="700" spans="1:24" hidden="1">
      <c r="A700" s="140" t="str">
        <f t="shared" si="11"/>
        <v>06942-00290-04-L8EV</v>
      </c>
      <c r="B700" s="162" t="s">
        <v>1119</v>
      </c>
      <c r="C700" s="162" t="s">
        <v>1787</v>
      </c>
      <c r="D700" s="162" t="s">
        <v>1122</v>
      </c>
      <c r="F700" s="171">
        <v>46947</v>
      </c>
      <c r="G700" s="141" t="s">
        <v>220</v>
      </c>
      <c r="H700" s="174">
        <v>4</v>
      </c>
      <c r="I700" s="198" t="s">
        <v>531</v>
      </c>
      <c r="L700" s="197"/>
      <c r="M700" s="219"/>
    </row>
    <row r="701" spans="1:24" hidden="1">
      <c r="A701" s="140" t="str">
        <f t="shared" si="11"/>
        <v>06942-00290-04-L9EV</v>
      </c>
      <c r="B701" s="162" t="s">
        <v>1119</v>
      </c>
      <c r="C701" s="162" t="s">
        <v>1787</v>
      </c>
      <c r="D701" s="162" t="s">
        <v>1122</v>
      </c>
      <c r="F701" s="171">
        <v>46947</v>
      </c>
      <c r="G701" s="141" t="s">
        <v>220</v>
      </c>
      <c r="H701" s="174">
        <v>4</v>
      </c>
      <c r="I701" s="198" t="s">
        <v>510</v>
      </c>
      <c r="L701" s="197"/>
      <c r="M701" s="219"/>
      <c r="R701" s="151"/>
      <c r="S701" s="147"/>
      <c r="T701" s="148"/>
    </row>
    <row r="702" spans="1:24" hidden="1">
      <c r="A702" s="140" t="str">
        <f t="shared" si="11"/>
        <v>06942-00290-04-L9ER</v>
      </c>
      <c r="B702" s="162" t="s">
        <v>1119</v>
      </c>
      <c r="C702" s="162" t="s">
        <v>1787</v>
      </c>
      <c r="D702" s="162" t="s">
        <v>1122</v>
      </c>
      <c r="F702" s="171">
        <v>46947</v>
      </c>
      <c r="G702" s="141" t="s">
        <v>220</v>
      </c>
      <c r="H702" s="174">
        <v>4</v>
      </c>
      <c r="I702" s="188" t="s">
        <v>532</v>
      </c>
      <c r="L702" s="197"/>
      <c r="M702" s="219"/>
      <c r="R702" s="151"/>
      <c r="S702" s="147"/>
      <c r="T702" s="148"/>
    </row>
    <row r="703" spans="1:24" hidden="1">
      <c r="A703" s="140" t="str">
        <f t="shared" si="11"/>
        <v>06942-00290-05-L8EV</v>
      </c>
      <c r="B703" s="162" t="s">
        <v>1119</v>
      </c>
      <c r="C703" s="162" t="s">
        <v>1787</v>
      </c>
      <c r="D703" s="162" t="s">
        <v>1122</v>
      </c>
      <c r="F703" s="171">
        <v>47097</v>
      </c>
      <c r="G703" s="141" t="s">
        <v>220</v>
      </c>
      <c r="H703" s="174">
        <v>5</v>
      </c>
      <c r="I703" s="198" t="s">
        <v>531</v>
      </c>
      <c r="R703" s="146"/>
      <c r="S703" s="147"/>
      <c r="T703" s="148"/>
      <c r="U703" s="150"/>
      <c r="V703" s="148"/>
      <c r="X703" s="150"/>
    </row>
    <row r="704" spans="1:24" hidden="1">
      <c r="A704" s="140" t="str">
        <f t="shared" si="11"/>
        <v>06942-00290-05-L9EV</v>
      </c>
      <c r="B704" s="162" t="s">
        <v>1119</v>
      </c>
      <c r="C704" s="162" t="s">
        <v>1787</v>
      </c>
      <c r="D704" s="162" t="s">
        <v>1122</v>
      </c>
      <c r="F704" s="171">
        <v>47097</v>
      </c>
      <c r="G704" s="141" t="s">
        <v>220</v>
      </c>
      <c r="H704" s="174">
        <v>5</v>
      </c>
      <c r="I704" s="198" t="s">
        <v>510</v>
      </c>
      <c r="R704" s="151"/>
      <c r="S704" s="147"/>
      <c r="T704" s="148"/>
      <c r="U704" s="150"/>
      <c r="V704" s="148"/>
      <c r="X704" s="150"/>
    </row>
    <row r="705" spans="1:24" hidden="1">
      <c r="A705" s="140" t="str">
        <f t="shared" si="11"/>
        <v>06942-00290-05-L9ER</v>
      </c>
      <c r="B705" s="162" t="s">
        <v>1119</v>
      </c>
      <c r="C705" s="162" t="s">
        <v>1787</v>
      </c>
      <c r="D705" s="162" t="s">
        <v>1122</v>
      </c>
      <c r="F705" s="171">
        <v>47097</v>
      </c>
      <c r="G705" s="141" t="s">
        <v>220</v>
      </c>
      <c r="H705" s="174">
        <v>5</v>
      </c>
      <c r="I705" s="188" t="s">
        <v>532</v>
      </c>
      <c r="R705" s="146"/>
      <c r="S705" s="147"/>
      <c r="T705" s="148"/>
      <c r="U705" s="150"/>
      <c r="V705" s="148"/>
      <c r="X705" s="150"/>
    </row>
    <row r="706" spans="1:24" hidden="1">
      <c r="A706" s="140" t="str">
        <f t="shared" si="11"/>
        <v>06942-00290-07-L8EV</v>
      </c>
      <c r="B706" s="162" t="s">
        <v>1119</v>
      </c>
      <c r="C706" s="162" t="s">
        <v>1787</v>
      </c>
      <c r="D706" s="162" t="s">
        <v>1122</v>
      </c>
      <c r="F706" s="171">
        <v>48774</v>
      </c>
      <c r="G706" s="141" t="s">
        <v>220</v>
      </c>
      <c r="H706" s="174">
        <v>7</v>
      </c>
      <c r="I706" s="186" t="s">
        <v>225</v>
      </c>
    </row>
    <row r="707" spans="1:24" ht="40.5" hidden="1">
      <c r="A707" s="140" t="str">
        <f t="shared" si="11"/>
        <v>06942-00290-07-L9EV</v>
      </c>
      <c r="B707" s="162" t="s">
        <v>1119</v>
      </c>
      <c r="C707" s="162" t="s">
        <v>1787</v>
      </c>
      <c r="D707" s="162" t="s">
        <v>1122</v>
      </c>
      <c r="F707" s="171">
        <v>48774</v>
      </c>
      <c r="G707" s="141" t="s">
        <v>220</v>
      </c>
      <c r="H707" s="174">
        <v>7</v>
      </c>
      <c r="I707" s="210" t="s">
        <v>537</v>
      </c>
      <c r="J707" s="174">
        <v>1701</v>
      </c>
      <c r="K707" s="174">
        <v>1701</v>
      </c>
      <c r="L707" s="149"/>
      <c r="M707" s="185"/>
      <c r="N707" s="184"/>
      <c r="O707" s="156" t="s">
        <v>859</v>
      </c>
      <c r="P707" s="155"/>
      <c r="Q707" s="143"/>
      <c r="R707" s="141"/>
      <c r="S707" s="145"/>
    </row>
    <row r="708" spans="1:24" ht="40.5" hidden="1">
      <c r="A708" s="140" t="str">
        <f t="shared" si="11"/>
        <v>06942-00290-07-L9ER</v>
      </c>
      <c r="B708" s="162" t="s">
        <v>1119</v>
      </c>
      <c r="C708" s="162" t="s">
        <v>1787</v>
      </c>
      <c r="D708" s="162" t="s">
        <v>1122</v>
      </c>
      <c r="F708" s="171">
        <v>48774</v>
      </c>
      <c r="G708" s="141" t="s">
        <v>220</v>
      </c>
      <c r="H708" s="174">
        <v>7</v>
      </c>
      <c r="I708" s="188" t="s">
        <v>532</v>
      </c>
      <c r="J708" s="174">
        <v>1380</v>
      </c>
      <c r="K708" s="174">
        <v>1380</v>
      </c>
      <c r="L708" s="149"/>
      <c r="M708" s="185"/>
      <c r="N708" s="184"/>
      <c r="O708" s="156" t="s">
        <v>859</v>
      </c>
      <c r="P708" s="155"/>
      <c r="Q708" s="143"/>
      <c r="R708" s="141"/>
      <c r="S708" s="145"/>
    </row>
    <row r="709" spans="1:24" ht="27" hidden="1">
      <c r="A709" s="140" t="str">
        <f t="shared" si="11"/>
        <v>06942-00290-08-L9ER</v>
      </c>
      <c r="B709" s="162" t="s">
        <v>1119</v>
      </c>
      <c r="C709" s="162" t="s">
        <v>1787</v>
      </c>
      <c r="D709" s="162" t="s">
        <v>1122</v>
      </c>
      <c r="F709" s="171">
        <v>51842</v>
      </c>
      <c r="G709" s="141" t="s">
        <v>220</v>
      </c>
      <c r="H709" s="174">
        <v>8</v>
      </c>
      <c r="I709" s="188" t="s">
        <v>532</v>
      </c>
      <c r="J709" s="174">
        <v>3276</v>
      </c>
      <c r="K709" s="174">
        <v>3276</v>
      </c>
      <c r="L709" s="149"/>
      <c r="M709" s="185"/>
      <c r="O709" s="156" t="s">
        <v>916</v>
      </c>
    </row>
    <row r="710" spans="1:24" ht="27" hidden="1">
      <c r="A710" s="140" t="str">
        <f t="shared" si="11"/>
        <v>06942-00290-08-L9EV</v>
      </c>
      <c r="B710" s="162" t="s">
        <v>1119</v>
      </c>
      <c r="C710" s="162" t="s">
        <v>1787</v>
      </c>
      <c r="D710" s="162" t="s">
        <v>1122</v>
      </c>
      <c r="F710" s="171">
        <v>51842</v>
      </c>
      <c r="G710" s="141" t="s">
        <v>220</v>
      </c>
      <c r="H710" s="174">
        <v>8</v>
      </c>
      <c r="I710" s="210" t="s">
        <v>537</v>
      </c>
      <c r="J710" s="174">
        <v>3618</v>
      </c>
      <c r="K710" s="174">
        <v>3618</v>
      </c>
      <c r="L710" s="149"/>
      <c r="M710" s="185"/>
      <c r="O710" s="156" t="s">
        <v>916</v>
      </c>
    </row>
    <row r="711" spans="1:24" hidden="1">
      <c r="A711" s="140" t="str">
        <f t="shared" si="11"/>
        <v>06942-00290-09-L9ER</v>
      </c>
      <c r="B711" s="162" t="s">
        <v>1119</v>
      </c>
      <c r="C711" s="162" t="s">
        <v>1787</v>
      </c>
      <c r="D711" s="162" t="s">
        <v>1122</v>
      </c>
      <c r="F711" s="171">
        <v>55511</v>
      </c>
      <c r="G711" s="141" t="s">
        <v>220</v>
      </c>
      <c r="H711" s="174">
        <v>9</v>
      </c>
      <c r="I711" s="188" t="s">
        <v>532</v>
      </c>
      <c r="M711" s="217" t="s">
        <v>2002</v>
      </c>
    </row>
    <row r="712" spans="1:24" hidden="1">
      <c r="A712" s="140" t="str">
        <f t="shared" si="11"/>
        <v>06942-00290-09-L9EV</v>
      </c>
      <c r="B712" s="162" t="s">
        <v>1119</v>
      </c>
      <c r="C712" s="162" t="s">
        <v>1787</v>
      </c>
      <c r="D712" s="162" t="s">
        <v>1122</v>
      </c>
      <c r="F712" s="171">
        <v>55511</v>
      </c>
      <c r="G712" s="141" t="s">
        <v>220</v>
      </c>
      <c r="H712" s="174">
        <v>9</v>
      </c>
      <c r="I712" s="186" t="s">
        <v>537</v>
      </c>
      <c r="M712" s="217" t="s">
        <v>2002</v>
      </c>
    </row>
    <row r="713" spans="1:24" hidden="1">
      <c r="A713" s="140" t="str">
        <f t="shared" si="11"/>
        <v>06942-00365-00-L9C</v>
      </c>
      <c r="B713" s="162" t="s">
        <v>1119</v>
      </c>
      <c r="C713" s="162" t="s">
        <v>1787</v>
      </c>
      <c r="D713" s="162" t="s">
        <v>1122</v>
      </c>
      <c r="F713" s="171">
        <v>47627</v>
      </c>
      <c r="G713" s="141" t="s">
        <v>214</v>
      </c>
      <c r="H713" s="174">
        <v>0</v>
      </c>
      <c r="I713" s="186" t="s">
        <v>850</v>
      </c>
      <c r="S713" s="147"/>
      <c r="T713" s="148"/>
    </row>
    <row r="714" spans="1:24" hidden="1">
      <c r="A714" s="140" t="str">
        <f t="shared" si="11"/>
        <v>06942-00365-01-L9C</v>
      </c>
      <c r="B714" s="162" t="s">
        <v>1119</v>
      </c>
      <c r="C714" s="162" t="s">
        <v>1787</v>
      </c>
      <c r="D714" s="162" t="s">
        <v>1122</v>
      </c>
      <c r="F714" s="171">
        <v>55511</v>
      </c>
      <c r="G714" s="142" t="s">
        <v>214</v>
      </c>
      <c r="H714" s="174">
        <v>1</v>
      </c>
      <c r="I714" s="186" t="s">
        <v>211</v>
      </c>
      <c r="M714" s="217" t="s">
        <v>448</v>
      </c>
    </row>
    <row r="715" spans="1:24" ht="40.5" hidden="1">
      <c r="A715" s="140" t="str">
        <f t="shared" si="11"/>
        <v>06942-00371-00-L8EV2</v>
      </c>
      <c r="B715" s="162" t="s">
        <v>1119</v>
      </c>
      <c r="C715" s="162" t="s">
        <v>1787</v>
      </c>
      <c r="D715" s="162" t="s">
        <v>1122</v>
      </c>
      <c r="F715" s="171">
        <v>49170</v>
      </c>
      <c r="G715" s="141" t="s">
        <v>221</v>
      </c>
      <c r="H715" s="174">
        <v>0</v>
      </c>
      <c r="I715" s="186" t="s">
        <v>867</v>
      </c>
      <c r="N715" s="183" t="s">
        <v>1937</v>
      </c>
    </row>
    <row r="716" spans="1:24" ht="40.5" hidden="1">
      <c r="A716" s="140" t="str">
        <f t="shared" si="11"/>
        <v>06942-00371-00-L8EV</v>
      </c>
      <c r="B716" s="162" t="s">
        <v>1119</v>
      </c>
      <c r="C716" s="162" t="s">
        <v>1787</v>
      </c>
      <c r="D716" s="162" t="s">
        <v>1122</v>
      </c>
      <c r="F716" s="171">
        <v>49170</v>
      </c>
      <c r="G716" s="141" t="s">
        <v>221</v>
      </c>
      <c r="H716" s="174">
        <v>0</v>
      </c>
      <c r="I716" s="186" t="s">
        <v>865</v>
      </c>
      <c r="N716" s="183" t="s">
        <v>1937</v>
      </c>
    </row>
    <row r="717" spans="1:24" ht="40.5" hidden="1">
      <c r="A717" s="140" t="str">
        <f t="shared" si="11"/>
        <v>06942-00371-00-L9ER</v>
      </c>
      <c r="B717" s="162" t="s">
        <v>1119</v>
      </c>
      <c r="C717" s="162" t="s">
        <v>1787</v>
      </c>
      <c r="D717" s="162" t="s">
        <v>1122</v>
      </c>
      <c r="F717" s="171">
        <v>49170</v>
      </c>
      <c r="G717" s="141" t="s">
        <v>221</v>
      </c>
      <c r="H717" s="174">
        <v>0</v>
      </c>
      <c r="I717" s="188" t="s">
        <v>532</v>
      </c>
      <c r="J717" s="174">
        <v>1746</v>
      </c>
      <c r="K717" s="174">
        <v>1746</v>
      </c>
      <c r="L717" s="149"/>
      <c r="M717" s="185"/>
      <c r="N717" s="183" t="s">
        <v>1937</v>
      </c>
    </row>
    <row r="718" spans="1:24" ht="40.5" hidden="1">
      <c r="A718" s="140" t="str">
        <f t="shared" si="11"/>
        <v>06942-00371-00-L9EV</v>
      </c>
      <c r="B718" s="162" t="s">
        <v>1119</v>
      </c>
      <c r="C718" s="162" t="s">
        <v>1787</v>
      </c>
      <c r="D718" s="162" t="s">
        <v>1122</v>
      </c>
      <c r="F718" s="171">
        <v>49170</v>
      </c>
      <c r="G718" s="141" t="s">
        <v>221</v>
      </c>
      <c r="H718" s="174">
        <v>0</v>
      </c>
      <c r="I718" s="186" t="s">
        <v>537</v>
      </c>
      <c r="J718" s="174">
        <v>2049</v>
      </c>
      <c r="K718" s="174">
        <v>2049</v>
      </c>
      <c r="L718" s="149"/>
      <c r="M718" s="185"/>
      <c r="N718" s="183" t="s">
        <v>1937</v>
      </c>
    </row>
    <row r="719" spans="1:24" ht="40.5" hidden="1">
      <c r="A719" s="140" t="str">
        <f t="shared" si="11"/>
        <v>06942-00371-00-L9ER2</v>
      </c>
      <c r="B719" s="162" t="s">
        <v>1119</v>
      </c>
      <c r="C719" s="162" t="s">
        <v>1787</v>
      </c>
      <c r="D719" s="162" t="s">
        <v>1122</v>
      </c>
      <c r="F719" s="171">
        <v>49170</v>
      </c>
      <c r="G719" s="141" t="s">
        <v>221</v>
      </c>
      <c r="H719" s="174">
        <v>0</v>
      </c>
      <c r="I719" s="186" t="s">
        <v>941</v>
      </c>
      <c r="N719" s="183" t="s">
        <v>1937</v>
      </c>
    </row>
    <row r="720" spans="1:24" ht="40.5" hidden="1">
      <c r="A720" s="140" t="str">
        <f t="shared" si="11"/>
        <v>06942-00371-00-L9EV2</v>
      </c>
      <c r="B720" s="162" t="s">
        <v>1119</v>
      </c>
      <c r="C720" s="162" t="s">
        <v>1787</v>
      </c>
      <c r="D720" s="162" t="s">
        <v>1122</v>
      </c>
      <c r="F720" s="171">
        <v>49170</v>
      </c>
      <c r="G720" s="141" t="s">
        <v>221</v>
      </c>
      <c r="H720" s="174">
        <v>0</v>
      </c>
      <c r="I720" s="186" t="s">
        <v>846</v>
      </c>
      <c r="N720" s="183" t="s">
        <v>1937</v>
      </c>
    </row>
    <row r="721" spans="1:15" hidden="1">
      <c r="A721" s="140" t="str">
        <f t="shared" si="11"/>
        <v>06942-00371-01-L8EV2</v>
      </c>
      <c r="B721" s="162" t="s">
        <v>1119</v>
      </c>
      <c r="C721" s="162" t="s">
        <v>1787</v>
      </c>
      <c r="D721" s="162" t="s">
        <v>1122</v>
      </c>
      <c r="F721" s="171">
        <v>50895</v>
      </c>
      <c r="G721" s="141" t="s">
        <v>221</v>
      </c>
      <c r="H721" s="174">
        <v>1</v>
      </c>
      <c r="I721" s="186" t="s">
        <v>867</v>
      </c>
      <c r="J721" s="174">
        <v>76</v>
      </c>
      <c r="K721" s="174">
        <v>76</v>
      </c>
      <c r="L721" s="149"/>
      <c r="M721" s="185"/>
    </row>
    <row r="722" spans="1:15" hidden="1">
      <c r="A722" s="140" t="str">
        <f t="shared" si="11"/>
        <v>06942-00371-01-L8EV</v>
      </c>
      <c r="B722" s="162" t="s">
        <v>1119</v>
      </c>
      <c r="C722" s="162" t="s">
        <v>1787</v>
      </c>
      <c r="D722" s="162" t="s">
        <v>1122</v>
      </c>
      <c r="F722" s="171">
        <v>50895</v>
      </c>
      <c r="G722" s="141" t="s">
        <v>221</v>
      </c>
      <c r="H722" s="174">
        <v>1</v>
      </c>
      <c r="I722" s="186" t="s">
        <v>886</v>
      </c>
      <c r="J722" s="174">
        <v>4129</v>
      </c>
      <c r="K722" s="174">
        <v>4129</v>
      </c>
      <c r="L722" s="149"/>
      <c r="M722" s="185"/>
    </row>
    <row r="723" spans="1:15" hidden="1">
      <c r="A723" s="140" t="str">
        <f t="shared" si="11"/>
        <v>06942-00371-01-L9ER</v>
      </c>
      <c r="B723" s="162" t="s">
        <v>1119</v>
      </c>
      <c r="C723" s="162" t="s">
        <v>1787</v>
      </c>
      <c r="D723" s="162" t="s">
        <v>1122</v>
      </c>
      <c r="F723" s="171">
        <v>50895</v>
      </c>
      <c r="G723" s="141" t="s">
        <v>221</v>
      </c>
      <c r="H723" s="174">
        <v>1</v>
      </c>
      <c r="I723" s="188" t="s">
        <v>532</v>
      </c>
      <c r="J723" s="174">
        <v>2856</v>
      </c>
      <c r="K723" s="174">
        <v>2859</v>
      </c>
      <c r="L723" s="149"/>
      <c r="M723" s="185"/>
    </row>
    <row r="724" spans="1:15" hidden="1">
      <c r="A724" s="140" t="str">
        <f t="shared" si="11"/>
        <v>06942-00371-01-L9ER2</v>
      </c>
      <c r="B724" s="162" t="s">
        <v>1119</v>
      </c>
      <c r="C724" s="162" t="s">
        <v>1787</v>
      </c>
      <c r="D724" s="162" t="s">
        <v>1122</v>
      </c>
      <c r="F724" s="171">
        <v>50895</v>
      </c>
      <c r="G724" s="141" t="s">
        <v>221</v>
      </c>
      <c r="H724" s="174">
        <v>1</v>
      </c>
      <c r="I724" s="186" t="s">
        <v>941</v>
      </c>
      <c r="J724" s="174">
        <v>1</v>
      </c>
      <c r="K724" s="174">
        <v>1</v>
      </c>
      <c r="L724" s="149"/>
      <c r="M724" s="185"/>
    </row>
    <row r="725" spans="1:15" hidden="1">
      <c r="A725" s="140" t="str">
        <f t="shared" si="11"/>
        <v>06942-00371-01-L9EV</v>
      </c>
      <c r="B725" s="162" t="s">
        <v>1119</v>
      </c>
      <c r="C725" s="162" t="s">
        <v>1787</v>
      </c>
      <c r="D725" s="162" t="s">
        <v>1122</v>
      </c>
      <c r="F725" s="171">
        <v>50895</v>
      </c>
      <c r="G725" s="141" t="s">
        <v>221</v>
      </c>
      <c r="H725" s="174">
        <v>1</v>
      </c>
      <c r="I725" s="186" t="s">
        <v>902</v>
      </c>
      <c r="J725" s="174">
        <v>3219</v>
      </c>
      <c r="K725" s="174">
        <v>3219</v>
      </c>
      <c r="L725" s="149"/>
      <c r="M725" s="185"/>
    </row>
    <row r="726" spans="1:15" hidden="1">
      <c r="A726" s="140" t="str">
        <f t="shared" si="11"/>
        <v>06942-00371-01-L9EV2</v>
      </c>
      <c r="B726" s="162" t="s">
        <v>1119</v>
      </c>
      <c r="C726" s="162" t="s">
        <v>1787</v>
      </c>
      <c r="D726" s="162" t="s">
        <v>1122</v>
      </c>
      <c r="F726" s="171">
        <v>50895</v>
      </c>
      <c r="G726" s="141" t="s">
        <v>221</v>
      </c>
      <c r="H726" s="174">
        <v>1</v>
      </c>
      <c r="I726" s="186" t="s">
        <v>889</v>
      </c>
      <c r="J726" s="174">
        <v>1</v>
      </c>
      <c r="K726" s="174">
        <v>1</v>
      </c>
      <c r="L726" s="149"/>
      <c r="M726" s="185"/>
    </row>
    <row r="727" spans="1:15" hidden="1">
      <c r="A727" s="140" t="str">
        <f t="shared" si="11"/>
        <v>06942-00371-02-L8EV2</v>
      </c>
      <c r="B727" s="162" t="s">
        <v>1119</v>
      </c>
      <c r="C727" s="162" t="s">
        <v>1787</v>
      </c>
      <c r="D727" s="162" t="s">
        <v>1122</v>
      </c>
      <c r="F727" s="171">
        <v>51842</v>
      </c>
      <c r="G727" s="141" t="s">
        <v>221</v>
      </c>
      <c r="H727" s="174">
        <v>2</v>
      </c>
      <c r="I727" s="186" t="s">
        <v>867</v>
      </c>
      <c r="J727" s="174">
        <v>101</v>
      </c>
      <c r="K727" s="174">
        <v>101</v>
      </c>
      <c r="L727" s="149"/>
      <c r="M727" s="185"/>
    </row>
    <row r="728" spans="1:15" ht="27" hidden="1">
      <c r="A728" s="140" t="str">
        <f t="shared" si="11"/>
        <v>06942-00371-02-L8EV</v>
      </c>
      <c r="B728" s="162" t="s">
        <v>1119</v>
      </c>
      <c r="C728" s="162" t="s">
        <v>1787</v>
      </c>
      <c r="D728" s="162" t="s">
        <v>1122</v>
      </c>
      <c r="F728" s="171">
        <v>51842</v>
      </c>
      <c r="G728" s="141" t="s">
        <v>221</v>
      </c>
      <c r="H728" s="174">
        <v>2</v>
      </c>
      <c r="I728" s="210" t="s">
        <v>225</v>
      </c>
      <c r="J728" s="174">
        <v>4375</v>
      </c>
      <c r="K728" s="174">
        <v>4375</v>
      </c>
      <c r="L728" s="149"/>
      <c r="M728" s="185"/>
      <c r="O728" s="156" t="s">
        <v>916</v>
      </c>
    </row>
    <row r="729" spans="1:15" ht="27" hidden="1">
      <c r="A729" s="140" t="str">
        <f t="shared" si="11"/>
        <v>06942-00371-02-L9ER</v>
      </c>
      <c r="B729" s="162" t="s">
        <v>1119</v>
      </c>
      <c r="C729" s="162" t="s">
        <v>1787</v>
      </c>
      <c r="D729" s="162" t="s">
        <v>1122</v>
      </c>
      <c r="F729" s="171">
        <v>51842</v>
      </c>
      <c r="G729" s="141" t="s">
        <v>221</v>
      </c>
      <c r="H729" s="174">
        <v>2</v>
      </c>
      <c r="I729" s="188" t="s">
        <v>532</v>
      </c>
      <c r="J729" s="174">
        <v>3276</v>
      </c>
      <c r="K729" s="174">
        <v>3276</v>
      </c>
      <c r="L729" s="149"/>
      <c r="M729" s="185"/>
      <c r="O729" s="156" t="s">
        <v>916</v>
      </c>
    </row>
    <row r="730" spans="1:15" hidden="1">
      <c r="A730" s="140" t="str">
        <f t="shared" si="11"/>
        <v>06942-00371-02-L9ER2</v>
      </c>
      <c r="B730" s="162" t="s">
        <v>1119</v>
      </c>
      <c r="C730" s="162" t="s">
        <v>1787</v>
      </c>
      <c r="D730" s="162" t="s">
        <v>1122</v>
      </c>
      <c r="F730" s="171">
        <v>51842</v>
      </c>
      <c r="G730" s="141" t="s">
        <v>221</v>
      </c>
      <c r="H730" s="174">
        <v>2</v>
      </c>
      <c r="I730" s="186" t="s">
        <v>941</v>
      </c>
      <c r="J730" s="174">
        <v>6</v>
      </c>
      <c r="K730" s="174">
        <v>6</v>
      </c>
      <c r="L730" s="149"/>
      <c r="M730" s="185"/>
    </row>
    <row r="731" spans="1:15" ht="27" hidden="1">
      <c r="A731" s="140" t="str">
        <f t="shared" si="11"/>
        <v>06942-00371-02-L9EV</v>
      </c>
      <c r="B731" s="162" t="s">
        <v>1119</v>
      </c>
      <c r="C731" s="162" t="s">
        <v>1787</v>
      </c>
      <c r="D731" s="162" t="s">
        <v>1122</v>
      </c>
      <c r="F731" s="171">
        <v>51842</v>
      </c>
      <c r="G731" s="141" t="s">
        <v>221</v>
      </c>
      <c r="H731" s="174">
        <v>2</v>
      </c>
      <c r="I731" s="210" t="s">
        <v>914</v>
      </c>
      <c r="J731" s="174">
        <v>3618</v>
      </c>
      <c r="K731" s="174">
        <v>3618</v>
      </c>
      <c r="L731" s="149"/>
      <c r="M731" s="185"/>
      <c r="O731" s="156" t="s">
        <v>916</v>
      </c>
    </row>
    <row r="732" spans="1:15" hidden="1">
      <c r="A732" s="140" t="str">
        <f t="shared" si="11"/>
        <v>06942-00371-02-L9EV2</v>
      </c>
      <c r="B732" s="162" t="s">
        <v>1119</v>
      </c>
      <c r="C732" s="162" t="s">
        <v>1787</v>
      </c>
      <c r="D732" s="162" t="s">
        <v>1122</v>
      </c>
      <c r="F732" s="171">
        <v>51842</v>
      </c>
      <c r="G732" s="141" t="s">
        <v>221</v>
      </c>
      <c r="H732" s="174">
        <v>2</v>
      </c>
      <c r="I732" s="186" t="s">
        <v>915</v>
      </c>
      <c r="J732" s="174">
        <v>49</v>
      </c>
      <c r="K732" s="174">
        <v>49</v>
      </c>
      <c r="L732" s="149"/>
      <c r="M732" s="185"/>
    </row>
    <row r="733" spans="1:15" ht="40.5" hidden="1">
      <c r="A733" s="140" t="str">
        <f t="shared" si="11"/>
        <v>06942-00371-03-L8EV2</v>
      </c>
      <c r="B733" s="162" t="s">
        <v>1119</v>
      </c>
      <c r="C733" s="162" t="s">
        <v>1787</v>
      </c>
      <c r="D733" s="162" t="s">
        <v>1122</v>
      </c>
      <c r="F733" s="171">
        <v>53228</v>
      </c>
      <c r="G733" s="141" t="s">
        <v>221</v>
      </c>
      <c r="H733" s="174">
        <v>3</v>
      </c>
      <c r="I733" s="210" t="s">
        <v>867</v>
      </c>
      <c r="J733" s="174">
        <v>248</v>
      </c>
      <c r="K733" s="174">
        <v>248</v>
      </c>
      <c r="L733" s="149"/>
      <c r="M733" s="185"/>
      <c r="O733" s="156" t="s">
        <v>930</v>
      </c>
    </row>
    <row r="734" spans="1:15" ht="40.5" hidden="1">
      <c r="A734" s="140" t="str">
        <f t="shared" si="11"/>
        <v>06942-00371-03-L8EV</v>
      </c>
      <c r="B734" s="162" t="s">
        <v>1119</v>
      </c>
      <c r="C734" s="162" t="s">
        <v>1787</v>
      </c>
      <c r="D734" s="162" t="s">
        <v>1122</v>
      </c>
      <c r="F734" s="171">
        <v>53228</v>
      </c>
      <c r="G734" s="141" t="s">
        <v>221</v>
      </c>
      <c r="H734" s="174">
        <v>3</v>
      </c>
      <c r="I734" s="210" t="s">
        <v>225</v>
      </c>
      <c r="J734" s="174">
        <v>5518</v>
      </c>
      <c r="K734" s="174">
        <v>5518</v>
      </c>
      <c r="L734" s="149"/>
      <c r="M734" s="185"/>
      <c r="O734" s="156" t="s">
        <v>930</v>
      </c>
    </row>
    <row r="735" spans="1:15" hidden="1">
      <c r="A735" s="140" t="str">
        <f t="shared" si="11"/>
        <v>06942-00371-03-L9ER</v>
      </c>
      <c r="B735" s="162" t="s">
        <v>1119</v>
      </c>
      <c r="C735" s="162" t="s">
        <v>1787</v>
      </c>
      <c r="D735" s="162" t="s">
        <v>1122</v>
      </c>
      <c r="F735" s="171">
        <v>53228</v>
      </c>
      <c r="G735" s="141" t="s">
        <v>221</v>
      </c>
      <c r="H735" s="174">
        <v>3</v>
      </c>
      <c r="I735" s="188" t="s">
        <v>532</v>
      </c>
      <c r="J735" s="174">
        <v>4532</v>
      </c>
      <c r="K735" s="174">
        <v>4532</v>
      </c>
      <c r="L735" s="149"/>
      <c r="M735" s="185"/>
    </row>
    <row r="736" spans="1:15" hidden="1">
      <c r="A736" s="140" t="str">
        <f t="shared" si="11"/>
        <v>06942-00371-03-L9ER2</v>
      </c>
      <c r="B736" s="162" t="s">
        <v>1119</v>
      </c>
      <c r="C736" s="162" t="s">
        <v>1787</v>
      </c>
      <c r="D736" s="162" t="s">
        <v>1122</v>
      </c>
      <c r="F736" s="171">
        <v>53228</v>
      </c>
      <c r="G736" s="141" t="s">
        <v>221</v>
      </c>
      <c r="H736" s="174">
        <v>3</v>
      </c>
      <c r="I736" s="186" t="s">
        <v>941</v>
      </c>
      <c r="J736" s="174">
        <v>54</v>
      </c>
      <c r="K736" s="174">
        <v>54</v>
      </c>
      <c r="L736" s="149"/>
      <c r="M736" s="185"/>
    </row>
    <row r="737" spans="1:20" hidden="1">
      <c r="A737" s="140" t="str">
        <f t="shared" si="11"/>
        <v>06942-00371-03-L9EV</v>
      </c>
      <c r="B737" s="162" t="s">
        <v>1119</v>
      </c>
      <c r="C737" s="162" t="s">
        <v>1787</v>
      </c>
      <c r="D737" s="162" t="s">
        <v>1122</v>
      </c>
      <c r="F737" s="171">
        <v>53228</v>
      </c>
      <c r="G737" s="141" t="s">
        <v>221</v>
      </c>
      <c r="H737" s="174">
        <v>3</v>
      </c>
      <c r="I737" s="186" t="s">
        <v>929</v>
      </c>
      <c r="J737" s="174">
        <v>4930</v>
      </c>
      <c r="K737" s="174">
        <v>4930</v>
      </c>
      <c r="L737" s="149"/>
      <c r="M737" s="185"/>
    </row>
    <row r="738" spans="1:20" hidden="1">
      <c r="A738" s="140" t="str">
        <f t="shared" si="11"/>
        <v>06942-00371-03-L9EV2</v>
      </c>
      <c r="B738" s="162" t="s">
        <v>1119</v>
      </c>
      <c r="C738" s="162" t="s">
        <v>1787</v>
      </c>
      <c r="D738" s="162" t="s">
        <v>1122</v>
      </c>
      <c r="F738" s="171">
        <v>53228</v>
      </c>
      <c r="G738" s="141" t="s">
        <v>221</v>
      </c>
      <c r="H738" s="174">
        <v>3</v>
      </c>
      <c r="I738" s="186" t="s">
        <v>846</v>
      </c>
      <c r="J738" s="174">
        <v>180</v>
      </c>
      <c r="K738" s="174">
        <v>180</v>
      </c>
      <c r="L738" s="149"/>
      <c r="M738" s="185"/>
    </row>
    <row r="739" spans="1:20" hidden="1">
      <c r="A739" s="140" t="str">
        <f t="shared" si="11"/>
        <v>06942-00371-04-L9ER</v>
      </c>
      <c r="B739" s="162" t="s">
        <v>1119</v>
      </c>
      <c r="C739" s="162" t="s">
        <v>1787</v>
      </c>
      <c r="D739" s="162" t="s">
        <v>1122</v>
      </c>
      <c r="F739" s="171">
        <v>54790</v>
      </c>
      <c r="G739" s="141" t="s">
        <v>221</v>
      </c>
      <c r="H739" s="174">
        <v>4</v>
      </c>
      <c r="I739" s="188" t="s">
        <v>532</v>
      </c>
    </row>
    <row r="740" spans="1:20" hidden="1">
      <c r="A740" s="140" t="str">
        <f t="shared" si="11"/>
        <v>06942-00371-04-L9ER2</v>
      </c>
      <c r="B740" s="162" t="s">
        <v>1119</v>
      </c>
      <c r="C740" s="162" t="s">
        <v>1787</v>
      </c>
      <c r="D740" s="162" t="s">
        <v>1122</v>
      </c>
      <c r="F740" s="171">
        <v>54790</v>
      </c>
      <c r="G740" s="141" t="s">
        <v>221</v>
      </c>
      <c r="H740" s="174">
        <v>4</v>
      </c>
      <c r="I740" s="186" t="s">
        <v>941</v>
      </c>
    </row>
    <row r="741" spans="1:20" hidden="1">
      <c r="A741" s="140" t="str">
        <f t="shared" si="11"/>
        <v>06942-00371-04-L9EV</v>
      </c>
      <c r="B741" s="162" t="s">
        <v>1119</v>
      </c>
      <c r="C741" s="162" t="s">
        <v>1787</v>
      </c>
      <c r="D741" s="162" t="s">
        <v>1122</v>
      </c>
      <c r="F741" s="171">
        <v>54790</v>
      </c>
      <c r="G741" s="141" t="s">
        <v>221</v>
      </c>
      <c r="H741" s="174">
        <v>4</v>
      </c>
      <c r="I741" s="186" t="s">
        <v>942</v>
      </c>
    </row>
    <row r="742" spans="1:20" hidden="1">
      <c r="A742" s="140" t="str">
        <f t="shared" si="11"/>
        <v>06942-00371-04-L9EV2</v>
      </c>
      <c r="B742" s="162" t="s">
        <v>1119</v>
      </c>
      <c r="C742" s="162" t="s">
        <v>1787</v>
      </c>
      <c r="D742" s="162" t="s">
        <v>1122</v>
      </c>
      <c r="F742" s="171">
        <v>54790</v>
      </c>
      <c r="G742" s="141" t="s">
        <v>221</v>
      </c>
      <c r="H742" s="174">
        <v>4</v>
      </c>
      <c r="I742" s="186" t="s">
        <v>846</v>
      </c>
    </row>
    <row r="743" spans="1:20" hidden="1">
      <c r="A743" s="140" t="str">
        <f t="shared" si="11"/>
        <v>06942-00371-05-L9ER</v>
      </c>
      <c r="B743" s="162" t="s">
        <v>1119</v>
      </c>
      <c r="C743" s="162" t="s">
        <v>1787</v>
      </c>
      <c r="D743" s="162" t="s">
        <v>1122</v>
      </c>
      <c r="F743" s="171">
        <v>55535</v>
      </c>
      <c r="G743" s="141" t="s">
        <v>221</v>
      </c>
      <c r="H743" s="174">
        <v>5</v>
      </c>
      <c r="I743" s="188" t="s">
        <v>532</v>
      </c>
      <c r="J743" s="174">
        <v>6262</v>
      </c>
      <c r="K743" s="174">
        <v>6262</v>
      </c>
      <c r="M743" s="217" t="s">
        <v>458</v>
      </c>
    </row>
    <row r="744" spans="1:20" hidden="1">
      <c r="A744" s="140" t="str">
        <f t="shared" si="11"/>
        <v>06942-00371-05-L9ER2</v>
      </c>
      <c r="B744" s="162" t="s">
        <v>1119</v>
      </c>
      <c r="C744" s="162" t="s">
        <v>1787</v>
      </c>
      <c r="D744" s="162" t="s">
        <v>1122</v>
      </c>
      <c r="F744" s="171">
        <v>55535</v>
      </c>
      <c r="G744" s="141" t="s">
        <v>221</v>
      </c>
      <c r="H744" s="174">
        <v>5</v>
      </c>
      <c r="I744" s="186" t="s">
        <v>941</v>
      </c>
      <c r="J744" s="174">
        <v>83</v>
      </c>
      <c r="K744" s="174">
        <v>83</v>
      </c>
      <c r="M744" s="217" t="s">
        <v>458</v>
      </c>
    </row>
    <row r="745" spans="1:20" hidden="1">
      <c r="A745" s="140" t="str">
        <f t="shared" si="11"/>
        <v>06942-00371-05-L9EV</v>
      </c>
      <c r="B745" s="162" t="s">
        <v>1119</v>
      </c>
      <c r="C745" s="162" t="s">
        <v>1787</v>
      </c>
      <c r="D745" s="162" t="s">
        <v>1122</v>
      </c>
      <c r="F745" s="171">
        <v>55535</v>
      </c>
      <c r="G745" s="141" t="s">
        <v>221</v>
      </c>
      <c r="H745" s="174">
        <v>5</v>
      </c>
      <c r="I745" s="186" t="s">
        <v>537</v>
      </c>
      <c r="J745" s="174">
        <v>6475</v>
      </c>
      <c r="K745" s="174">
        <v>6475</v>
      </c>
      <c r="M745" s="217" t="s">
        <v>458</v>
      </c>
    </row>
    <row r="746" spans="1:20" hidden="1">
      <c r="A746" s="140" t="str">
        <f t="shared" si="11"/>
        <v>06942-00371-05-L9EV2</v>
      </c>
      <c r="B746" s="162" t="s">
        <v>1119</v>
      </c>
      <c r="C746" s="162" t="s">
        <v>1787</v>
      </c>
      <c r="D746" s="162" t="s">
        <v>1122</v>
      </c>
      <c r="F746" s="171">
        <v>55535</v>
      </c>
      <c r="G746" s="141" t="s">
        <v>221</v>
      </c>
      <c r="H746" s="174">
        <v>5</v>
      </c>
      <c r="I746" s="186" t="s">
        <v>846</v>
      </c>
      <c r="J746" s="174">
        <v>316</v>
      </c>
      <c r="K746" s="174">
        <v>316</v>
      </c>
      <c r="M746" s="217" t="s">
        <v>458</v>
      </c>
    </row>
    <row r="747" spans="1:20" ht="27" hidden="1">
      <c r="A747" s="140" t="str">
        <f t="shared" si="11"/>
        <v>06942-00371-06-L9ER</v>
      </c>
      <c r="B747" s="162" t="s">
        <v>1119</v>
      </c>
      <c r="C747" s="162" t="s">
        <v>1787</v>
      </c>
      <c r="D747" s="162" t="s">
        <v>1122</v>
      </c>
      <c r="F747" s="171">
        <v>63345</v>
      </c>
      <c r="G747" s="141" t="s">
        <v>1084</v>
      </c>
      <c r="H747" s="174">
        <v>6</v>
      </c>
      <c r="I747" s="188" t="s">
        <v>532</v>
      </c>
      <c r="M747" s="217" t="s">
        <v>1087</v>
      </c>
      <c r="N747" s="183" t="s">
        <v>1930</v>
      </c>
    </row>
    <row r="748" spans="1:20" ht="27" hidden="1">
      <c r="A748" s="140" t="str">
        <f t="shared" si="11"/>
        <v>06942-00371-06-L9ER2</v>
      </c>
      <c r="B748" s="162" t="s">
        <v>1119</v>
      </c>
      <c r="C748" s="162" t="s">
        <v>1787</v>
      </c>
      <c r="D748" s="162" t="s">
        <v>1122</v>
      </c>
      <c r="F748" s="171">
        <v>63345</v>
      </c>
      <c r="G748" s="141" t="s">
        <v>1084</v>
      </c>
      <c r="H748" s="174">
        <v>6</v>
      </c>
      <c r="I748" s="186" t="s">
        <v>1092</v>
      </c>
      <c r="M748" s="217" t="s">
        <v>1087</v>
      </c>
      <c r="N748" s="183" t="s">
        <v>1930</v>
      </c>
    </row>
    <row r="749" spans="1:20" ht="27" hidden="1">
      <c r="A749" s="140" t="str">
        <f t="shared" si="11"/>
        <v>06942-00371-06-L9EV</v>
      </c>
      <c r="B749" s="162" t="s">
        <v>1119</v>
      </c>
      <c r="C749" s="162" t="s">
        <v>1787</v>
      </c>
      <c r="D749" s="162" t="s">
        <v>1122</v>
      </c>
      <c r="F749" s="171">
        <v>63345</v>
      </c>
      <c r="G749" s="141" t="s">
        <v>1084</v>
      </c>
      <c r="H749" s="174">
        <v>6</v>
      </c>
      <c r="I749" s="186" t="s">
        <v>1093</v>
      </c>
      <c r="M749" s="217" t="s">
        <v>1087</v>
      </c>
      <c r="N749" s="183" t="s">
        <v>1930</v>
      </c>
    </row>
    <row r="750" spans="1:20" ht="27" hidden="1">
      <c r="A750" s="140" t="str">
        <f t="shared" si="11"/>
        <v>06942-00371-06-L9EV2</v>
      </c>
      <c r="B750" s="162" t="s">
        <v>1119</v>
      </c>
      <c r="C750" s="162" t="s">
        <v>1787</v>
      </c>
      <c r="D750" s="162" t="s">
        <v>1122</v>
      </c>
      <c r="F750" s="171">
        <v>63345</v>
      </c>
      <c r="G750" s="141" t="s">
        <v>1084</v>
      </c>
      <c r="H750" s="174">
        <v>6</v>
      </c>
      <c r="I750" s="186" t="s">
        <v>1094</v>
      </c>
      <c r="M750" s="217" t="s">
        <v>1087</v>
      </c>
      <c r="N750" s="183" t="s">
        <v>1930</v>
      </c>
    </row>
    <row r="751" spans="1:20" hidden="1">
      <c r="A751" s="140" t="str">
        <f t="shared" si="11"/>
        <v>06942-05320-00-L9C</v>
      </c>
      <c r="B751" s="162" t="s">
        <v>1119</v>
      </c>
      <c r="C751" s="162" t="s">
        <v>1787</v>
      </c>
      <c r="D751" s="162" t="s">
        <v>1122</v>
      </c>
      <c r="F751" s="171">
        <v>33390</v>
      </c>
      <c r="G751" s="141" t="s">
        <v>481</v>
      </c>
      <c r="H751" s="174">
        <v>0</v>
      </c>
      <c r="I751" s="186" t="s">
        <v>211</v>
      </c>
      <c r="J751" s="174">
        <v>3</v>
      </c>
      <c r="K751" s="174">
        <v>0</v>
      </c>
      <c r="N751" s="183" t="s">
        <v>29</v>
      </c>
      <c r="R751" s="146"/>
      <c r="S751" s="147"/>
      <c r="T751" s="148"/>
    </row>
    <row r="752" spans="1:20" hidden="1">
      <c r="A752" s="140" t="str">
        <f t="shared" si="11"/>
        <v>06942-05320-01-L8C</v>
      </c>
      <c r="B752" s="162" t="s">
        <v>1119</v>
      </c>
      <c r="C752" s="162" t="s">
        <v>1787</v>
      </c>
      <c r="D752" s="162" t="s">
        <v>1122</v>
      </c>
      <c r="F752" s="171">
        <v>33631</v>
      </c>
      <c r="G752" s="141" t="s">
        <v>481</v>
      </c>
      <c r="H752" s="174">
        <v>1</v>
      </c>
      <c r="I752" s="186" t="s">
        <v>486</v>
      </c>
      <c r="J752" s="174">
        <v>2</v>
      </c>
      <c r="K752" s="174">
        <v>0</v>
      </c>
      <c r="R752" s="146"/>
      <c r="S752" s="147"/>
      <c r="T752" s="148"/>
    </row>
    <row r="753" spans="1:20" hidden="1">
      <c r="A753" s="140" t="str">
        <f t="shared" si="11"/>
        <v>06942-05320-01-L9C</v>
      </c>
      <c r="B753" s="162" t="s">
        <v>1119</v>
      </c>
      <c r="C753" s="162" t="s">
        <v>1787</v>
      </c>
      <c r="D753" s="162" t="s">
        <v>1122</v>
      </c>
      <c r="F753" s="171">
        <v>33631</v>
      </c>
      <c r="G753" s="141" t="s">
        <v>481</v>
      </c>
      <c r="H753" s="174">
        <v>1</v>
      </c>
      <c r="I753" s="186" t="s">
        <v>211</v>
      </c>
      <c r="J753" s="174">
        <v>3</v>
      </c>
      <c r="K753" s="174">
        <v>0</v>
      </c>
      <c r="R753" s="146"/>
      <c r="S753" s="147"/>
      <c r="T753" s="148"/>
    </row>
    <row r="754" spans="1:20" hidden="1">
      <c r="A754" s="140" t="str">
        <f t="shared" si="11"/>
        <v>06942-05320-02-L8C</v>
      </c>
      <c r="B754" s="162" t="s">
        <v>1119</v>
      </c>
      <c r="C754" s="162" t="s">
        <v>1787</v>
      </c>
      <c r="D754" s="162" t="s">
        <v>1122</v>
      </c>
      <c r="F754" s="171">
        <v>40004</v>
      </c>
      <c r="G754" s="141" t="s">
        <v>481</v>
      </c>
      <c r="H754" s="174">
        <v>2</v>
      </c>
      <c r="I754" s="186" t="s">
        <v>486</v>
      </c>
      <c r="J754" s="174">
        <v>3</v>
      </c>
      <c r="R754" s="146"/>
      <c r="S754" s="147"/>
      <c r="T754" s="148"/>
    </row>
    <row r="755" spans="1:20" hidden="1">
      <c r="A755" s="140" t="str">
        <f t="shared" si="11"/>
        <v>06942-05320-02-L9C</v>
      </c>
      <c r="B755" s="162" t="s">
        <v>1119</v>
      </c>
      <c r="C755" s="162" t="s">
        <v>1787</v>
      </c>
      <c r="D755" s="162" t="s">
        <v>1122</v>
      </c>
      <c r="F755" s="171">
        <v>40004</v>
      </c>
      <c r="G755" s="141" t="s">
        <v>481</v>
      </c>
      <c r="H755" s="174">
        <v>2</v>
      </c>
      <c r="I755" s="186" t="s">
        <v>211</v>
      </c>
      <c r="J755" s="174">
        <v>4</v>
      </c>
      <c r="R755" s="146"/>
      <c r="S755" s="147"/>
      <c r="T755" s="148"/>
    </row>
    <row r="756" spans="1:20" hidden="1">
      <c r="A756" s="140" t="str">
        <f t="shared" si="11"/>
        <v>06942-05320-03-L8C</v>
      </c>
      <c r="B756" s="162" t="s">
        <v>1119</v>
      </c>
      <c r="C756" s="162" t="s">
        <v>1787</v>
      </c>
      <c r="D756" s="162" t="s">
        <v>1122</v>
      </c>
      <c r="F756" s="171">
        <v>40088</v>
      </c>
      <c r="G756" s="141" t="s">
        <v>481</v>
      </c>
      <c r="H756" s="174">
        <v>3</v>
      </c>
      <c r="I756" s="186" t="s">
        <v>486</v>
      </c>
      <c r="J756" s="174" t="s">
        <v>47</v>
      </c>
      <c r="R756" s="146"/>
      <c r="S756" s="147"/>
      <c r="T756" s="148"/>
    </row>
    <row r="757" spans="1:20" hidden="1">
      <c r="A757" s="140" t="str">
        <f t="shared" si="11"/>
        <v>06942-05320-03-L9C</v>
      </c>
      <c r="B757" s="162" t="s">
        <v>1119</v>
      </c>
      <c r="C757" s="162" t="s">
        <v>1787</v>
      </c>
      <c r="D757" s="162" t="s">
        <v>1122</v>
      </c>
      <c r="F757" s="171">
        <v>40088</v>
      </c>
      <c r="G757" s="141" t="s">
        <v>481</v>
      </c>
      <c r="H757" s="174">
        <v>3</v>
      </c>
      <c r="I757" s="186" t="s">
        <v>211</v>
      </c>
      <c r="J757" s="174" t="s">
        <v>47</v>
      </c>
      <c r="R757" s="146"/>
      <c r="S757" s="147"/>
      <c r="T757" s="148"/>
    </row>
    <row r="758" spans="1:20" hidden="1">
      <c r="A758" s="140" t="str">
        <f t="shared" si="11"/>
        <v>06942-05320-04-L8C</v>
      </c>
      <c r="B758" s="162" t="s">
        <v>1119</v>
      </c>
      <c r="C758" s="162" t="s">
        <v>1787</v>
      </c>
      <c r="D758" s="162" t="s">
        <v>1122</v>
      </c>
      <c r="F758" s="171">
        <v>40151</v>
      </c>
      <c r="G758" s="141" t="s">
        <v>481</v>
      </c>
      <c r="H758" s="174">
        <v>4</v>
      </c>
      <c r="I758" s="186" t="s">
        <v>486</v>
      </c>
      <c r="J758" s="174">
        <v>2</v>
      </c>
      <c r="R758" s="146"/>
      <c r="S758" s="147"/>
      <c r="T758" s="148"/>
    </row>
    <row r="759" spans="1:20" hidden="1">
      <c r="A759" s="140" t="str">
        <f t="shared" si="11"/>
        <v>06942-05320-04-L9C</v>
      </c>
      <c r="B759" s="162" t="s">
        <v>1119</v>
      </c>
      <c r="C759" s="162" t="s">
        <v>1787</v>
      </c>
      <c r="D759" s="162" t="s">
        <v>1122</v>
      </c>
      <c r="F759" s="171">
        <v>40151</v>
      </c>
      <c r="G759" s="141" t="s">
        <v>481</v>
      </c>
      <c r="H759" s="174">
        <v>4</v>
      </c>
      <c r="I759" s="186" t="s">
        <v>211</v>
      </c>
      <c r="J759" s="174">
        <v>3</v>
      </c>
      <c r="R759" s="146"/>
      <c r="S759" s="147"/>
      <c r="T759" s="148"/>
    </row>
    <row r="760" spans="1:20" hidden="1">
      <c r="A760" s="140" t="str">
        <f t="shared" si="11"/>
        <v>06942-05320-05-L8C</v>
      </c>
      <c r="B760" s="162" t="s">
        <v>1119</v>
      </c>
      <c r="C760" s="162" t="s">
        <v>1787</v>
      </c>
      <c r="D760" s="162" t="s">
        <v>1122</v>
      </c>
      <c r="F760" s="171">
        <v>40194</v>
      </c>
      <c r="G760" s="141" t="s">
        <v>481</v>
      </c>
      <c r="H760" s="174">
        <v>5</v>
      </c>
      <c r="I760" s="186" t="s">
        <v>486</v>
      </c>
      <c r="J760" s="174">
        <v>87</v>
      </c>
      <c r="R760" s="146"/>
      <c r="S760" s="147"/>
      <c r="T760" s="148"/>
    </row>
    <row r="761" spans="1:20" hidden="1">
      <c r="A761" s="140" t="str">
        <f t="shared" si="11"/>
        <v>06942-05320-05-L9C</v>
      </c>
      <c r="B761" s="162" t="s">
        <v>1119</v>
      </c>
      <c r="C761" s="162" t="s">
        <v>1787</v>
      </c>
      <c r="D761" s="162" t="s">
        <v>1122</v>
      </c>
      <c r="F761" s="171">
        <v>40194</v>
      </c>
      <c r="G761" s="141" t="s">
        <v>481</v>
      </c>
      <c r="H761" s="174">
        <v>5</v>
      </c>
      <c r="I761" s="186" t="s">
        <v>211</v>
      </c>
      <c r="J761" s="174">
        <v>4</v>
      </c>
      <c r="R761" s="146"/>
      <c r="S761" s="147"/>
      <c r="T761" s="148"/>
    </row>
    <row r="762" spans="1:20" hidden="1">
      <c r="A762" s="140" t="str">
        <f t="shared" ref="A762:A825" si="12">G762&amp;"-"&amp;TEXT(H762,"00")&amp;"-"&amp;I762</f>
        <v>06942-05320-06-L6E</v>
      </c>
      <c r="B762" s="162" t="s">
        <v>1119</v>
      </c>
      <c r="C762" s="162" t="s">
        <v>1787</v>
      </c>
      <c r="D762" s="162" t="s">
        <v>1122</v>
      </c>
      <c r="F762" s="171">
        <v>40250</v>
      </c>
      <c r="G762" s="141" t="s">
        <v>481</v>
      </c>
      <c r="H762" s="174">
        <v>6</v>
      </c>
      <c r="I762" s="186" t="s">
        <v>205</v>
      </c>
      <c r="J762" s="174">
        <v>1</v>
      </c>
      <c r="R762" s="146"/>
      <c r="S762" s="147"/>
      <c r="T762" s="148"/>
    </row>
    <row r="763" spans="1:20" hidden="1">
      <c r="A763" s="140" t="str">
        <f t="shared" si="12"/>
        <v>06942-05320-06-L8C</v>
      </c>
      <c r="B763" s="162" t="s">
        <v>1119</v>
      </c>
      <c r="C763" s="162" t="s">
        <v>1787</v>
      </c>
      <c r="D763" s="162" t="s">
        <v>1122</v>
      </c>
      <c r="F763" s="171">
        <v>40250</v>
      </c>
      <c r="G763" s="141" t="s">
        <v>481</v>
      </c>
      <c r="H763" s="174">
        <v>6</v>
      </c>
      <c r="I763" s="186" t="s">
        <v>486</v>
      </c>
      <c r="J763" s="174">
        <v>242</v>
      </c>
      <c r="R763" s="146"/>
      <c r="S763" s="147"/>
      <c r="T763" s="148"/>
    </row>
    <row r="764" spans="1:20" hidden="1">
      <c r="A764" s="140" t="str">
        <f t="shared" si="12"/>
        <v>06942-05320-06-L9C</v>
      </c>
      <c r="B764" s="162" t="s">
        <v>1119</v>
      </c>
      <c r="C764" s="162" t="s">
        <v>1787</v>
      </c>
      <c r="D764" s="162" t="s">
        <v>1122</v>
      </c>
      <c r="F764" s="171">
        <v>40250</v>
      </c>
      <c r="G764" s="141" t="s">
        <v>481</v>
      </c>
      <c r="H764" s="174">
        <v>6</v>
      </c>
      <c r="I764" s="186" t="s">
        <v>211</v>
      </c>
      <c r="J764" s="174">
        <v>100</v>
      </c>
      <c r="R764" s="146"/>
      <c r="S764" s="147"/>
      <c r="T764" s="148"/>
    </row>
    <row r="765" spans="1:20" hidden="1">
      <c r="A765" s="140" t="str">
        <f t="shared" si="12"/>
        <v>06942-05320-07-L6E</v>
      </c>
      <c r="B765" s="162" t="s">
        <v>1119</v>
      </c>
      <c r="C765" s="162" t="s">
        <v>1787</v>
      </c>
      <c r="D765" s="162" t="s">
        <v>1122</v>
      </c>
      <c r="F765" s="171">
        <v>40416</v>
      </c>
      <c r="G765" s="141" t="s">
        <v>481</v>
      </c>
      <c r="H765" s="174">
        <v>7</v>
      </c>
      <c r="I765" s="186" t="s">
        <v>205</v>
      </c>
      <c r="J765" s="174">
        <v>2</v>
      </c>
      <c r="R765" s="146"/>
      <c r="S765" s="147"/>
      <c r="T765" s="148"/>
    </row>
    <row r="766" spans="1:20" hidden="1">
      <c r="A766" s="140" t="str">
        <f t="shared" si="12"/>
        <v>06942-05320-07-L8C</v>
      </c>
      <c r="B766" s="162" t="s">
        <v>1119</v>
      </c>
      <c r="C766" s="162" t="s">
        <v>1787</v>
      </c>
      <c r="D766" s="162" t="s">
        <v>1122</v>
      </c>
      <c r="F766" s="171">
        <v>40416</v>
      </c>
      <c r="G766" s="141" t="s">
        <v>481</v>
      </c>
      <c r="H766" s="174">
        <v>7</v>
      </c>
      <c r="I766" s="186" t="s">
        <v>486</v>
      </c>
      <c r="J766" s="174">
        <v>368</v>
      </c>
      <c r="R766" s="146"/>
      <c r="S766" s="147"/>
      <c r="T766" s="148"/>
    </row>
    <row r="767" spans="1:20" hidden="1">
      <c r="A767" s="140" t="str">
        <f t="shared" si="12"/>
        <v>06942-05320-07-L9C</v>
      </c>
      <c r="B767" s="162" t="s">
        <v>1119</v>
      </c>
      <c r="C767" s="162" t="s">
        <v>1787</v>
      </c>
      <c r="D767" s="162" t="s">
        <v>1122</v>
      </c>
      <c r="F767" s="171">
        <v>40416</v>
      </c>
      <c r="G767" s="141" t="s">
        <v>481</v>
      </c>
      <c r="H767" s="174">
        <v>7</v>
      </c>
      <c r="I767" s="186" t="s">
        <v>211</v>
      </c>
      <c r="J767" s="174">
        <v>192</v>
      </c>
      <c r="R767" s="146"/>
      <c r="S767" s="147"/>
      <c r="T767" s="148"/>
    </row>
    <row r="768" spans="1:20" hidden="1">
      <c r="A768" s="140" t="str">
        <f t="shared" si="12"/>
        <v>06942-05320-08-L6E</v>
      </c>
      <c r="B768" s="162" t="s">
        <v>1119</v>
      </c>
      <c r="C768" s="162" t="s">
        <v>1787</v>
      </c>
      <c r="D768" s="162" t="s">
        <v>1122</v>
      </c>
      <c r="F768" s="171">
        <v>40708</v>
      </c>
      <c r="G768" s="141" t="s">
        <v>481</v>
      </c>
      <c r="H768" s="174">
        <v>8</v>
      </c>
      <c r="I768" s="186" t="s">
        <v>205</v>
      </c>
      <c r="J768" s="174" t="s">
        <v>47</v>
      </c>
      <c r="R768" s="146"/>
      <c r="S768" s="147"/>
      <c r="T768" s="148"/>
    </row>
    <row r="769" spans="1:20" hidden="1">
      <c r="A769" s="140" t="str">
        <f t="shared" si="12"/>
        <v>06942-05320-08-L8C</v>
      </c>
      <c r="B769" s="162" t="s">
        <v>1119</v>
      </c>
      <c r="C769" s="162" t="s">
        <v>1787</v>
      </c>
      <c r="D769" s="162" t="s">
        <v>1122</v>
      </c>
      <c r="F769" s="171">
        <v>40708</v>
      </c>
      <c r="G769" s="141" t="s">
        <v>481</v>
      </c>
      <c r="H769" s="174">
        <v>8</v>
      </c>
      <c r="I769" s="186" t="s">
        <v>486</v>
      </c>
      <c r="J769" s="174" t="s">
        <v>47</v>
      </c>
      <c r="R769" s="146"/>
      <c r="S769" s="147"/>
      <c r="T769" s="148"/>
    </row>
    <row r="770" spans="1:20" hidden="1">
      <c r="A770" s="140" t="str">
        <f t="shared" si="12"/>
        <v>06942-05320-08-L9C</v>
      </c>
      <c r="B770" s="162" t="s">
        <v>1119</v>
      </c>
      <c r="C770" s="162" t="s">
        <v>1787</v>
      </c>
      <c r="D770" s="162" t="s">
        <v>1122</v>
      </c>
      <c r="F770" s="171">
        <v>40708</v>
      </c>
      <c r="G770" s="141" t="s">
        <v>481</v>
      </c>
      <c r="H770" s="174">
        <v>8</v>
      </c>
      <c r="I770" s="186" t="s">
        <v>211</v>
      </c>
      <c r="J770" s="174" t="s">
        <v>47</v>
      </c>
      <c r="R770" s="146"/>
      <c r="S770" s="147"/>
      <c r="T770" s="148"/>
    </row>
    <row r="771" spans="1:20" hidden="1">
      <c r="A771" s="140" t="str">
        <f t="shared" si="12"/>
        <v>06942-05320-09-L6E</v>
      </c>
      <c r="B771" s="162" t="s">
        <v>1119</v>
      </c>
      <c r="C771" s="162" t="s">
        <v>1787</v>
      </c>
      <c r="D771" s="162" t="s">
        <v>1122</v>
      </c>
      <c r="F771" s="171">
        <v>41194</v>
      </c>
      <c r="G771" s="141" t="s">
        <v>481</v>
      </c>
      <c r="H771" s="174">
        <v>9</v>
      </c>
      <c r="I771" s="186" t="s">
        <v>205</v>
      </c>
      <c r="J771" s="174">
        <v>3</v>
      </c>
      <c r="K771" s="174">
        <v>3</v>
      </c>
      <c r="R771" s="146"/>
      <c r="S771" s="147"/>
      <c r="T771" s="148"/>
    </row>
    <row r="772" spans="1:20" hidden="1">
      <c r="A772" s="140" t="str">
        <f t="shared" si="12"/>
        <v>06942-05320-09-L8C</v>
      </c>
      <c r="B772" s="162" t="s">
        <v>1119</v>
      </c>
      <c r="C772" s="162" t="s">
        <v>1787</v>
      </c>
      <c r="D772" s="162" t="s">
        <v>1122</v>
      </c>
      <c r="F772" s="171">
        <v>41194</v>
      </c>
      <c r="G772" s="141" t="s">
        <v>481</v>
      </c>
      <c r="H772" s="174">
        <v>9</v>
      </c>
      <c r="I772" s="186" t="s">
        <v>486</v>
      </c>
      <c r="J772" s="174">
        <v>950</v>
      </c>
      <c r="K772" s="174">
        <v>950</v>
      </c>
      <c r="R772" s="146"/>
      <c r="S772" s="147"/>
      <c r="T772" s="148"/>
    </row>
    <row r="773" spans="1:20" hidden="1">
      <c r="A773" s="140" t="str">
        <f t="shared" si="12"/>
        <v>06942-05320-09-L9C</v>
      </c>
      <c r="B773" s="162" t="s">
        <v>1119</v>
      </c>
      <c r="C773" s="162" t="s">
        <v>1787</v>
      </c>
      <c r="D773" s="162" t="s">
        <v>1122</v>
      </c>
      <c r="F773" s="171">
        <v>41194</v>
      </c>
      <c r="G773" s="141" t="s">
        <v>481</v>
      </c>
      <c r="H773" s="174">
        <v>9</v>
      </c>
      <c r="I773" s="186" t="s">
        <v>211</v>
      </c>
      <c r="J773" s="174">
        <v>881</v>
      </c>
      <c r="K773" s="174">
        <v>881</v>
      </c>
      <c r="R773" s="146"/>
      <c r="S773" s="147"/>
      <c r="T773" s="148"/>
    </row>
    <row r="774" spans="1:20" hidden="1">
      <c r="A774" s="140" t="str">
        <f t="shared" si="12"/>
        <v>06942-05320-10-L6E</v>
      </c>
      <c r="B774" s="162" t="s">
        <v>1119</v>
      </c>
      <c r="C774" s="162" t="s">
        <v>1787</v>
      </c>
      <c r="D774" s="162" t="s">
        <v>1122</v>
      </c>
      <c r="F774" s="171">
        <v>42407</v>
      </c>
      <c r="G774" s="141" t="s">
        <v>481</v>
      </c>
      <c r="H774" s="174">
        <v>10</v>
      </c>
      <c r="I774" s="188" t="s">
        <v>499</v>
      </c>
      <c r="J774" s="174" t="s">
        <v>47</v>
      </c>
      <c r="R774" s="146"/>
      <c r="S774" s="147"/>
      <c r="T774" s="148"/>
    </row>
    <row r="775" spans="1:20" hidden="1">
      <c r="A775" s="140" t="str">
        <f t="shared" si="12"/>
        <v>06942-05320-10-L8C</v>
      </c>
      <c r="B775" s="162" t="s">
        <v>1119</v>
      </c>
      <c r="C775" s="162" t="s">
        <v>1787</v>
      </c>
      <c r="D775" s="162" t="s">
        <v>1122</v>
      </c>
      <c r="F775" s="171">
        <v>42407</v>
      </c>
      <c r="G775" s="141" t="s">
        <v>481</v>
      </c>
      <c r="H775" s="174">
        <v>10</v>
      </c>
      <c r="I775" s="188" t="s">
        <v>500</v>
      </c>
      <c r="J775" s="174" t="s">
        <v>47</v>
      </c>
      <c r="R775" s="146"/>
      <c r="S775" s="147"/>
      <c r="T775" s="148"/>
    </row>
    <row r="776" spans="1:20" hidden="1">
      <c r="A776" s="140" t="str">
        <f t="shared" si="12"/>
        <v>06942-05320-10-L9C</v>
      </c>
      <c r="B776" s="162" t="s">
        <v>1119</v>
      </c>
      <c r="C776" s="162" t="s">
        <v>1787</v>
      </c>
      <c r="D776" s="162" t="s">
        <v>1122</v>
      </c>
      <c r="F776" s="171">
        <v>42407</v>
      </c>
      <c r="G776" s="141" t="s">
        <v>481</v>
      </c>
      <c r="H776" s="174">
        <v>10</v>
      </c>
      <c r="I776" s="188" t="s">
        <v>501</v>
      </c>
      <c r="J776" s="174" t="s">
        <v>47</v>
      </c>
      <c r="R776" s="146"/>
      <c r="S776" s="147"/>
      <c r="T776" s="148"/>
    </row>
    <row r="777" spans="1:20" hidden="1">
      <c r="A777" s="140" t="str">
        <f t="shared" si="12"/>
        <v>06942-05320-11-L6E</v>
      </c>
      <c r="B777" s="162" t="s">
        <v>1119</v>
      </c>
      <c r="C777" s="162" t="s">
        <v>1787</v>
      </c>
      <c r="D777" s="162" t="s">
        <v>1122</v>
      </c>
      <c r="F777" s="171">
        <v>42850</v>
      </c>
      <c r="G777" s="141" t="s">
        <v>210</v>
      </c>
      <c r="H777" s="174">
        <v>11</v>
      </c>
      <c r="I777" s="188" t="s">
        <v>499</v>
      </c>
      <c r="J777" s="174" t="s">
        <v>512</v>
      </c>
      <c r="R777" s="146"/>
      <c r="S777" s="147"/>
      <c r="T777" s="148"/>
    </row>
    <row r="778" spans="1:20" hidden="1">
      <c r="A778" s="140" t="str">
        <f t="shared" si="12"/>
        <v>06942-05320-11-L8C</v>
      </c>
      <c r="B778" s="162" t="s">
        <v>1119</v>
      </c>
      <c r="C778" s="162" t="s">
        <v>1787</v>
      </c>
      <c r="D778" s="162" t="s">
        <v>1122</v>
      </c>
      <c r="F778" s="171">
        <v>42850</v>
      </c>
      <c r="G778" s="141" t="s">
        <v>210</v>
      </c>
      <c r="H778" s="174">
        <v>11</v>
      </c>
      <c r="I778" s="188" t="s">
        <v>500</v>
      </c>
      <c r="J778" s="174" t="s">
        <v>512</v>
      </c>
      <c r="R778" s="146"/>
      <c r="S778" s="147"/>
      <c r="T778" s="148"/>
    </row>
    <row r="779" spans="1:20" hidden="1">
      <c r="A779" s="140" t="str">
        <f t="shared" si="12"/>
        <v>06942-05320-11-L9C</v>
      </c>
      <c r="B779" s="162" t="s">
        <v>1119</v>
      </c>
      <c r="C779" s="162" t="s">
        <v>1787</v>
      </c>
      <c r="D779" s="162" t="s">
        <v>1122</v>
      </c>
      <c r="F779" s="171">
        <v>42850</v>
      </c>
      <c r="G779" s="141" t="s">
        <v>210</v>
      </c>
      <c r="H779" s="174">
        <v>11</v>
      </c>
      <c r="I779" s="188" t="s">
        <v>501</v>
      </c>
      <c r="J779" s="174" t="s">
        <v>512</v>
      </c>
      <c r="R779" s="146"/>
      <c r="S779" s="147"/>
      <c r="T779" s="148"/>
    </row>
    <row r="780" spans="1:20" hidden="1">
      <c r="A780" s="140" t="str">
        <f t="shared" si="12"/>
        <v>06942-05320-12-L6E</v>
      </c>
      <c r="B780" s="162" t="s">
        <v>1119</v>
      </c>
      <c r="C780" s="162" t="s">
        <v>1787</v>
      </c>
      <c r="D780" s="162" t="s">
        <v>1122</v>
      </c>
      <c r="F780" s="171">
        <v>43197</v>
      </c>
      <c r="G780" s="141" t="s">
        <v>481</v>
      </c>
      <c r="H780" s="174">
        <v>12</v>
      </c>
      <c r="I780" s="188" t="s">
        <v>499</v>
      </c>
      <c r="J780" s="174">
        <v>1403</v>
      </c>
      <c r="R780" s="146"/>
      <c r="S780" s="147"/>
      <c r="T780" s="148"/>
    </row>
    <row r="781" spans="1:20" hidden="1">
      <c r="A781" s="140" t="str">
        <f t="shared" si="12"/>
        <v>06942-05320-12-L8C</v>
      </c>
      <c r="B781" s="162" t="s">
        <v>1119</v>
      </c>
      <c r="C781" s="162" t="s">
        <v>1787</v>
      </c>
      <c r="D781" s="162" t="s">
        <v>1122</v>
      </c>
      <c r="F781" s="171">
        <v>43197</v>
      </c>
      <c r="G781" s="141" t="s">
        <v>481</v>
      </c>
      <c r="H781" s="174">
        <v>12</v>
      </c>
      <c r="I781" s="188" t="s">
        <v>500</v>
      </c>
      <c r="J781" s="174">
        <v>1717</v>
      </c>
      <c r="R781" s="146"/>
      <c r="S781" s="147"/>
      <c r="T781" s="148"/>
    </row>
    <row r="782" spans="1:20" hidden="1">
      <c r="A782" s="140" t="str">
        <f t="shared" si="12"/>
        <v>06942-05320-12-L9C</v>
      </c>
      <c r="B782" s="162" t="s">
        <v>1119</v>
      </c>
      <c r="C782" s="162" t="s">
        <v>1787</v>
      </c>
      <c r="D782" s="162" t="s">
        <v>1122</v>
      </c>
      <c r="F782" s="171">
        <v>43197</v>
      </c>
      <c r="G782" s="141" t="s">
        <v>481</v>
      </c>
      <c r="H782" s="174">
        <v>12</v>
      </c>
      <c r="I782" s="188" t="s">
        <v>501</v>
      </c>
      <c r="J782" s="174">
        <v>1481</v>
      </c>
      <c r="P782" s="142"/>
      <c r="R782" s="151"/>
      <c r="S782" s="147"/>
      <c r="T782" s="148"/>
    </row>
    <row r="783" spans="1:20" hidden="1">
      <c r="A783" s="140" t="str">
        <f t="shared" si="12"/>
        <v>06942-05320-13-L6E</v>
      </c>
      <c r="B783" s="162" t="s">
        <v>1119</v>
      </c>
      <c r="C783" s="162" t="s">
        <v>1787</v>
      </c>
      <c r="D783" s="162" t="s">
        <v>1122</v>
      </c>
      <c r="F783" s="171">
        <v>43413</v>
      </c>
      <c r="G783" s="141" t="s">
        <v>481</v>
      </c>
      <c r="H783" s="174">
        <v>13</v>
      </c>
      <c r="I783" s="188" t="s">
        <v>499</v>
      </c>
      <c r="J783" s="174">
        <v>2489</v>
      </c>
      <c r="R783" s="151"/>
      <c r="S783" s="147"/>
      <c r="T783" s="148"/>
    </row>
    <row r="784" spans="1:20" hidden="1">
      <c r="A784" s="140" t="str">
        <f t="shared" si="12"/>
        <v>06942-05320-13-L8C</v>
      </c>
      <c r="B784" s="162" t="s">
        <v>1119</v>
      </c>
      <c r="C784" s="162" t="s">
        <v>1787</v>
      </c>
      <c r="D784" s="162" t="s">
        <v>1122</v>
      </c>
      <c r="F784" s="171">
        <v>43413</v>
      </c>
      <c r="G784" s="141" t="s">
        <v>481</v>
      </c>
      <c r="H784" s="174">
        <v>13</v>
      </c>
      <c r="I784" s="188" t="s">
        <v>500</v>
      </c>
      <c r="J784" s="174" t="s">
        <v>512</v>
      </c>
      <c r="T784" s="148"/>
    </row>
    <row r="785" spans="1:22" hidden="1">
      <c r="A785" s="140" t="str">
        <f t="shared" si="12"/>
        <v>06942-05320-13-L9C</v>
      </c>
      <c r="B785" s="162" t="s">
        <v>1119</v>
      </c>
      <c r="C785" s="162" t="s">
        <v>1787</v>
      </c>
      <c r="D785" s="162" t="s">
        <v>1122</v>
      </c>
      <c r="F785" s="171">
        <v>43413</v>
      </c>
      <c r="G785" s="141" t="s">
        <v>481</v>
      </c>
      <c r="H785" s="174">
        <v>13</v>
      </c>
      <c r="I785" s="188" t="s">
        <v>501</v>
      </c>
      <c r="J785" s="174" t="s">
        <v>512</v>
      </c>
      <c r="T785" s="148"/>
    </row>
    <row r="786" spans="1:22" hidden="1">
      <c r="A786" s="140" t="str">
        <f t="shared" si="12"/>
        <v>06942-05320-14-L6E</v>
      </c>
      <c r="B786" s="162" t="s">
        <v>1119</v>
      </c>
      <c r="C786" s="162" t="s">
        <v>1787</v>
      </c>
      <c r="D786" s="162" t="s">
        <v>1122</v>
      </c>
      <c r="F786" s="171">
        <v>44430</v>
      </c>
      <c r="G786" s="141" t="s">
        <v>481</v>
      </c>
      <c r="H786" s="174">
        <v>14</v>
      </c>
      <c r="I786" s="188" t="s">
        <v>499</v>
      </c>
    </row>
    <row r="787" spans="1:22" hidden="1">
      <c r="A787" s="140" t="str">
        <f t="shared" si="12"/>
        <v>06942-05320-14-L8C</v>
      </c>
      <c r="B787" s="162" t="s">
        <v>1119</v>
      </c>
      <c r="C787" s="162" t="s">
        <v>1787</v>
      </c>
      <c r="D787" s="162" t="s">
        <v>1122</v>
      </c>
      <c r="F787" s="171">
        <v>44430</v>
      </c>
      <c r="G787" s="141" t="s">
        <v>481</v>
      </c>
      <c r="H787" s="174">
        <v>14</v>
      </c>
      <c r="I787" s="188" t="s">
        <v>500</v>
      </c>
    </row>
    <row r="788" spans="1:22" hidden="1">
      <c r="A788" s="140" t="str">
        <f t="shared" si="12"/>
        <v>06942-05320-14-L9C</v>
      </c>
      <c r="B788" s="162" t="s">
        <v>1119</v>
      </c>
      <c r="C788" s="162" t="s">
        <v>1787</v>
      </c>
      <c r="D788" s="162" t="s">
        <v>1122</v>
      </c>
      <c r="F788" s="171">
        <v>44430</v>
      </c>
      <c r="G788" s="141" t="s">
        <v>481</v>
      </c>
      <c r="H788" s="174">
        <v>14</v>
      </c>
      <c r="I788" s="188" t="s">
        <v>501</v>
      </c>
      <c r="N788" s="184"/>
      <c r="V788" s="150"/>
    </row>
    <row r="789" spans="1:22" hidden="1">
      <c r="A789" s="140" t="str">
        <f t="shared" si="12"/>
        <v>06942-05320-15-L6E</v>
      </c>
      <c r="B789" s="162" t="s">
        <v>1119</v>
      </c>
      <c r="C789" s="162" t="s">
        <v>1787</v>
      </c>
      <c r="D789" s="162" t="s">
        <v>1122</v>
      </c>
      <c r="F789" s="171">
        <v>55511</v>
      </c>
      <c r="G789" s="141" t="s">
        <v>210</v>
      </c>
      <c r="H789" s="174">
        <v>15</v>
      </c>
      <c r="I789" s="186" t="s">
        <v>951</v>
      </c>
      <c r="M789" s="217" t="s">
        <v>2003</v>
      </c>
    </row>
    <row r="790" spans="1:22" hidden="1">
      <c r="A790" s="140" t="str">
        <f t="shared" si="12"/>
        <v>06942-05320-15-L8C</v>
      </c>
      <c r="B790" s="162" t="s">
        <v>1119</v>
      </c>
      <c r="C790" s="162" t="s">
        <v>1787</v>
      </c>
      <c r="D790" s="162" t="s">
        <v>1122</v>
      </c>
      <c r="F790" s="171">
        <v>55511</v>
      </c>
      <c r="G790" s="141" t="s">
        <v>210</v>
      </c>
      <c r="H790" s="174">
        <v>15</v>
      </c>
      <c r="I790" s="186" t="s">
        <v>952</v>
      </c>
      <c r="M790" s="217" t="s">
        <v>2003</v>
      </c>
    </row>
    <row r="791" spans="1:22" hidden="1">
      <c r="A791" s="140" t="str">
        <f t="shared" si="12"/>
        <v>07042-00010-01-C10-3</v>
      </c>
      <c r="B791" s="162" t="s">
        <v>1119</v>
      </c>
      <c r="C791" s="162" t="s">
        <v>1787</v>
      </c>
      <c r="D791" s="162" t="s">
        <v>1122</v>
      </c>
      <c r="F791" s="171">
        <v>43925</v>
      </c>
      <c r="G791" s="141" t="s">
        <v>524</v>
      </c>
      <c r="H791" s="174">
        <v>1</v>
      </c>
      <c r="I791" s="188" t="s">
        <v>525</v>
      </c>
      <c r="J791" s="174">
        <v>3</v>
      </c>
    </row>
    <row r="792" spans="1:22" hidden="1">
      <c r="A792" s="140" t="str">
        <f t="shared" si="12"/>
        <v>07042-00010-01-C9-3</v>
      </c>
      <c r="B792" s="162" t="s">
        <v>1119</v>
      </c>
      <c r="C792" s="162" t="s">
        <v>1787</v>
      </c>
      <c r="D792" s="162" t="s">
        <v>1122</v>
      </c>
      <c r="F792" s="171">
        <v>43925</v>
      </c>
      <c r="G792" s="141" t="s">
        <v>524</v>
      </c>
      <c r="H792" s="174">
        <v>1</v>
      </c>
      <c r="I792" s="188" t="s">
        <v>514</v>
      </c>
      <c r="J792" s="174">
        <v>3</v>
      </c>
    </row>
    <row r="793" spans="1:22" hidden="1">
      <c r="A793" s="140" t="str">
        <f t="shared" si="12"/>
        <v>07042-00010-02-C10-3</v>
      </c>
      <c r="B793" s="162" t="s">
        <v>1119</v>
      </c>
      <c r="C793" s="162" t="s">
        <v>1787</v>
      </c>
      <c r="D793" s="162" t="s">
        <v>1122</v>
      </c>
      <c r="F793" s="171">
        <v>44316</v>
      </c>
      <c r="G793" s="141" t="s">
        <v>524</v>
      </c>
      <c r="H793" s="174">
        <v>2</v>
      </c>
      <c r="I793" s="188" t="s">
        <v>525</v>
      </c>
      <c r="J793" s="174">
        <v>3</v>
      </c>
      <c r="L793" s="149"/>
      <c r="M793" s="185"/>
      <c r="R793" s="146"/>
      <c r="S793" s="147"/>
      <c r="T793" s="148"/>
    </row>
    <row r="794" spans="1:22" hidden="1">
      <c r="A794" s="140" t="str">
        <f t="shared" si="12"/>
        <v>07042-00010-02-C9-3</v>
      </c>
      <c r="B794" s="162" t="s">
        <v>1119</v>
      </c>
      <c r="C794" s="162" t="s">
        <v>1787</v>
      </c>
      <c r="D794" s="162" t="s">
        <v>1122</v>
      </c>
      <c r="F794" s="171">
        <v>44316</v>
      </c>
      <c r="G794" s="141" t="s">
        <v>524</v>
      </c>
      <c r="H794" s="174">
        <v>2</v>
      </c>
      <c r="I794" s="188" t="s">
        <v>514</v>
      </c>
      <c r="J794" s="174">
        <v>3</v>
      </c>
      <c r="L794" s="149"/>
      <c r="M794" s="185"/>
    </row>
    <row r="795" spans="1:22" hidden="1">
      <c r="A795" s="140" t="str">
        <f t="shared" si="12"/>
        <v>07042-00010-03-C9-3</v>
      </c>
      <c r="B795" s="162" t="s">
        <v>1119</v>
      </c>
      <c r="C795" s="162" t="s">
        <v>1787</v>
      </c>
      <c r="D795" s="162" t="s">
        <v>1122</v>
      </c>
      <c r="F795" s="171">
        <v>45867</v>
      </c>
      <c r="G795" s="141" t="s">
        <v>161</v>
      </c>
      <c r="H795" s="174">
        <v>3</v>
      </c>
      <c r="I795" s="190" t="s">
        <v>166</v>
      </c>
      <c r="M795" s="217" t="s">
        <v>413</v>
      </c>
      <c r="P795" s="155"/>
      <c r="R795" s="151"/>
      <c r="S795" s="147"/>
      <c r="T795" s="148"/>
    </row>
    <row r="796" spans="1:22" hidden="1">
      <c r="A796" s="140" t="str">
        <f t="shared" si="12"/>
        <v>07042-00010-03-C10-3</v>
      </c>
      <c r="B796" s="162" t="s">
        <v>1119</v>
      </c>
      <c r="C796" s="162" t="s">
        <v>1787</v>
      </c>
      <c r="D796" s="162" t="s">
        <v>1122</v>
      </c>
      <c r="F796" s="171">
        <v>45867</v>
      </c>
      <c r="G796" s="141" t="s">
        <v>161</v>
      </c>
      <c r="H796" s="174">
        <v>3</v>
      </c>
      <c r="I796" s="192" t="s">
        <v>525</v>
      </c>
      <c r="M796" s="217" t="s">
        <v>413</v>
      </c>
      <c r="P796" s="155"/>
      <c r="R796" s="151"/>
      <c r="S796" s="147"/>
      <c r="T796" s="148"/>
    </row>
    <row r="797" spans="1:22" hidden="1">
      <c r="A797" s="140" t="str">
        <f t="shared" si="12"/>
        <v>07042-00026-00-C10-5</v>
      </c>
      <c r="B797" s="162" t="s">
        <v>1119</v>
      </c>
      <c r="C797" s="162" t="s">
        <v>1787</v>
      </c>
      <c r="D797" s="162" t="s">
        <v>1122</v>
      </c>
      <c r="F797" s="171">
        <v>62633</v>
      </c>
      <c r="G797" s="141" t="s">
        <v>165</v>
      </c>
      <c r="H797" s="174">
        <v>0</v>
      </c>
      <c r="I797" s="186" t="s">
        <v>164</v>
      </c>
      <c r="J797" s="174">
        <v>1</v>
      </c>
      <c r="K797" s="174">
        <v>1</v>
      </c>
      <c r="L797" s="187" t="s">
        <v>969</v>
      </c>
    </row>
    <row r="798" spans="1:22" hidden="1">
      <c r="A798" s="140" t="str">
        <f t="shared" si="12"/>
        <v>07042-00059-00-C9-4</v>
      </c>
      <c r="B798" s="162" t="s">
        <v>1119</v>
      </c>
      <c r="C798" s="162" t="s">
        <v>1787</v>
      </c>
      <c r="D798" s="162" t="s">
        <v>1122</v>
      </c>
      <c r="F798" s="171">
        <v>48569</v>
      </c>
      <c r="G798" s="141" t="s">
        <v>163</v>
      </c>
      <c r="H798" s="174">
        <v>0</v>
      </c>
      <c r="I798" s="186" t="s">
        <v>858</v>
      </c>
      <c r="Q798" s="143"/>
      <c r="R798" s="145"/>
      <c r="S798" s="145"/>
    </row>
    <row r="799" spans="1:22" hidden="1">
      <c r="A799" s="140" t="str">
        <f t="shared" si="12"/>
        <v>07042-00059-00-C10-4</v>
      </c>
      <c r="B799" s="162" t="s">
        <v>1119</v>
      </c>
      <c r="C799" s="162" t="s">
        <v>1787</v>
      </c>
      <c r="D799" s="162" t="s">
        <v>1122</v>
      </c>
      <c r="F799" s="171">
        <v>48569</v>
      </c>
      <c r="G799" s="141" t="s">
        <v>163</v>
      </c>
      <c r="H799" s="174">
        <v>0</v>
      </c>
      <c r="I799" s="186" t="s">
        <v>162</v>
      </c>
      <c r="N799" s="185"/>
      <c r="P799" s="155"/>
    </row>
    <row r="800" spans="1:22" hidden="1">
      <c r="A800" s="140" t="str">
        <f t="shared" si="12"/>
        <v>07042-00059-01-C9-4</v>
      </c>
      <c r="B800" s="162" t="s">
        <v>1119</v>
      </c>
      <c r="C800" s="162" t="s">
        <v>1787</v>
      </c>
      <c r="D800" s="162" t="s">
        <v>1122</v>
      </c>
      <c r="F800" s="171">
        <v>50296</v>
      </c>
      <c r="G800" s="141" t="s">
        <v>163</v>
      </c>
      <c r="H800" s="174">
        <v>1</v>
      </c>
      <c r="I800" s="186" t="s">
        <v>894</v>
      </c>
      <c r="J800" s="174">
        <v>2</v>
      </c>
      <c r="L800" s="149"/>
      <c r="M800" s="185"/>
    </row>
    <row r="801" spans="1:22" hidden="1">
      <c r="A801" s="140" t="str">
        <f t="shared" si="12"/>
        <v xml:space="preserve">07042-00059-01-C10-4	</v>
      </c>
      <c r="B801" s="162" t="s">
        <v>1119</v>
      </c>
      <c r="C801" s="162" t="s">
        <v>1787</v>
      </c>
      <c r="D801" s="162" t="s">
        <v>1122</v>
      </c>
      <c r="F801" s="171">
        <v>50296</v>
      </c>
      <c r="G801" s="141" t="s">
        <v>163</v>
      </c>
      <c r="H801" s="174">
        <v>1</v>
      </c>
      <c r="I801" s="186" t="s">
        <v>895</v>
      </c>
      <c r="J801" s="174">
        <v>2</v>
      </c>
      <c r="L801" s="149"/>
      <c r="M801" s="185"/>
    </row>
    <row r="802" spans="1:22" hidden="1">
      <c r="A802" s="140" t="str">
        <f t="shared" si="12"/>
        <v>07042-00059-02-C10-4</v>
      </c>
      <c r="B802" s="162" t="s">
        <v>1119</v>
      </c>
      <c r="C802" s="162" t="s">
        <v>1787</v>
      </c>
      <c r="D802" s="162" t="s">
        <v>1122</v>
      </c>
      <c r="F802" s="171">
        <v>50883</v>
      </c>
      <c r="G802" s="141" t="s">
        <v>163</v>
      </c>
      <c r="H802" s="174">
        <v>2</v>
      </c>
      <c r="I802" s="186" t="s">
        <v>162</v>
      </c>
    </row>
    <row r="803" spans="1:22" hidden="1">
      <c r="A803" s="140" t="str">
        <f t="shared" si="12"/>
        <v>07042-00059-02-C9-4</v>
      </c>
      <c r="B803" s="162" t="s">
        <v>1119</v>
      </c>
      <c r="C803" s="162" t="s">
        <v>1787</v>
      </c>
      <c r="D803" s="162" t="s">
        <v>1122</v>
      </c>
      <c r="F803" s="171">
        <v>50883</v>
      </c>
      <c r="G803" s="141" t="s">
        <v>163</v>
      </c>
      <c r="H803" s="174">
        <v>2</v>
      </c>
      <c r="I803" s="186" t="s">
        <v>168</v>
      </c>
    </row>
    <row r="804" spans="1:22" hidden="1">
      <c r="A804" s="140" t="str">
        <f t="shared" si="12"/>
        <v>07042-00059-03-C10-4</v>
      </c>
      <c r="B804" s="162" t="s">
        <v>1119</v>
      </c>
      <c r="C804" s="162" t="s">
        <v>1787</v>
      </c>
      <c r="D804" s="162" t="s">
        <v>1122</v>
      </c>
      <c r="F804" s="171">
        <v>51908</v>
      </c>
      <c r="G804" s="141" t="s">
        <v>163</v>
      </c>
      <c r="H804" s="174">
        <v>3</v>
      </c>
      <c r="I804" s="186" t="s">
        <v>162</v>
      </c>
      <c r="J804" s="174">
        <v>137</v>
      </c>
      <c r="K804" s="174">
        <v>137</v>
      </c>
      <c r="L804" s="149"/>
      <c r="M804" s="185"/>
    </row>
    <row r="805" spans="1:22" hidden="1">
      <c r="A805" s="140" t="str">
        <f t="shared" si="12"/>
        <v>07042-00059-03-C9-4</v>
      </c>
      <c r="B805" s="162" t="s">
        <v>1119</v>
      </c>
      <c r="C805" s="162" t="s">
        <v>1787</v>
      </c>
      <c r="D805" s="162" t="s">
        <v>1122</v>
      </c>
      <c r="F805" s="171">
        <v>51908</v>
      </c>
      <c r="G805" s="141" t="s">
        <v>163</v>
      </c>
      <c r="H805" s="174">
        <v>3</v>
      </c>
      <c r="I805" s="186" t="s">
        <v>168</v>
      </c>
    </row>
    <row r="806" spans="1:22" hidden="1">
      <c r="A806" s="140" t="str">
        <f t="shared" si="12"/>
        <v>07042-00059-04-C9-4</v>
      </c>
      <c r="B806" s="162" t="s">
        <v>1119</v>
      </c>
      <c r="C806" s="162" t="s">
        <v>1787</v>
      </c>
      <c r="D806" s="162" t="s">
        <v>1122</v>
      </c>
      <c r="F806" s="171">
        <v>54378</v>
      </c>
      <c r="G806" s="141" t="s">
        <v>163</v>
      </c>
      <c r="H806" s="174">
        <v>4</v>
      </c>
      <c r="I806" s="186" t="s">
        <v>168</v>
      </c>
      <c r="M806" s="217" t="s">
        <v>298</v>
      </c>
    </row>
    <row r="807" spans="1:22" hidden="1">
      <c r="A807" s="140" t="str">
        <f t="shared" si="12"/>
        <v>07042-00059-04-C10-4</v>
      </c>
      <c r="B807" s="162" t="s">
        <v>1119</v>
      </c>
      <c r="C807" s="162" t="s">
        <v>1787</v>
      </c>
      <c r="D807" s="162" t="s">
        <v>1122</v>
      </c>
      <c r="F807" s="171">
        <v>54378</v>
      </c>
      <c r="G807" s="141" t="s">
        <v>163</v>
      </c>
      <c r="H807" s="174">
        <v>4</v>
      </c>
      <c r="I807" s="186" t="s">
        <v>162</v>
      </c>
      <c r="J807" s="174">
        <v>690</v>
      </c>
      <c r="K807" s="174">
        <v>690</v>
      </c>
      <c r="L807" s="149"/>
      <c r="M807" s="185" t="s">
        <v>298</v>
      </c>
    </row>
    <row r="808" spans="1:22" hidden="1">
      <c r="A808" s="140" t="str">
        <f t="shared" si="12"/>
        <v>07142-00010-00-C9-3</v>
      </c>
      <c r="B808" s="162" t="s">
        <v>1119</v>
      </c>
      <c r="C808" s="162" t="s">
        <v>1787</v>
      </c>
      <c r="D808" s="162" t="s">
        <v>1122</v>
      </c>
      <c r="F808" s="171">
        <v>43950</v>
      </c>
      <c r="G808" s="141" t="s">
        <v>526</v>
      </c>
      <c r="H808" s="174">
        <v>0</v>
      </c>
      <c r="I808" s="188" t="s">
        <v>514</v>
      </c>
      <c r="N808" s="184"/>
      <c r="T808" s="148"/>
      <c r="V808" s="150"/>
    </row>
    <row r="809" spans="1:22" hidden="1">
      <c r="A809" s="140" t="str">
        <f t="shared" si="12"/>
        <v>07142-00010-01-C9-3</v>
      </c>
      <c r="B809" s="162" t="s">
        <v>1119</v>
      </c>
      <c r="C809" s="162" t="s">
        <v>1787</v>
      </c>
      <c r="D809" s="162" t="s">
        <v>1122</v>
      </c>
      <c r="F809" s="171">
        <v>44470</v>
      </c>
      <c r="G809" s="141" t="s">
        <v>526</v>
      </c>
      <c r="H809" s="174">
        <v>1</v>
      </c>
      <c r="I809" s="188" t="s">
        <v>514</v>
      </c>
      <c r="J809" s="174">
        <v>3</v>
      </c>
      <c r="M809" s="217" t="s">
        <v>418</v>
      </c>
      <c r="P809" s="155"/>
    </row>
    <row r="810" spans="1:22" hidden="1">
      <c r="A810" s="140" t="str">
        <f t="shared" si="12"/>
        <v>07142-00040-00-C9-5</v>
      </c>
      <c r="B810" s="162" t="s">
        <v>1119</v>
      </c>
      <c r="C810" s="162" t="s">
        <v>1787</v>
      </c>
      <c r="D810" s="162" t="s">
        <v>1122</v>
      </c>
      <c r="F810" s="171">
        <v>61666</v>
      </c>
      <c r="G810" s="141" t="s">
        <v>171</v>
      </c>
      <c r="H810" s="174">
        <v>0</v>
      </c>
      <c r="I810" s="186" t="s">
        <v>170</v>
      </c>
      <c r="J810" s="174">
        <v>2</v>
      </c>
      <c r="L810" s="187" t="s">
        <v>969</v>
      </c>
    </row>
    <row r="811" spans="1:22" hidden="1">
      <c r="A811" s="140" t="str">
        <f t="shared" si="12"/>
        <v>07142-00040-01-C9-5</v>
      </c>
      <c r="B811" s="162" t="s">
        <v>1119</v>
      </c>
      <c r="C811" s="162" t="s">
        <v>1787</v>
      </c>
      <c r="D811" s="162" t="s">
        <v>1122</v>
      </c>
      <c r="F811" s="171">
        <v>62633</v>
      </c>
      <c r="G811" s="141" t="s">
        <v>171</v>
      </c>
      <c r="H811" s="174">
        <v>1</v>
      </c>
      <c r="I811" s="186" t="s">
        <v>170</v>
      </c>
      <c r="J811" s="174">
        <v>1</v>
      </c>
      <c r="K811" s="174">
        <v>1</v>
      </c>
      <c r="L811" s="187" t="s">
        <v>969</v>
      </c>
    </row>
    <row r="812" spans="1:22" hidden="1">
      <c r="A812" s="140" t="str">
        <f t="shared" si="12"/>
        <v>07142-00057-00-C9-4</v>
      </c>
      <c r="B812" s="162" t="s">
        <v>1119</v>
      </c>
      <c r="C812" s="162" t="s">
        <v>1787</v>
      </c>
      <c r="D812" s="162" t="s">
        <v>1122</v>
      </c>
      <c r="F812" s="171">
        <v>50567</v>
      </c>
      <c r="G812" s="141" t="s">
        <v>169</v>
      </c>
      <c r="H812" s="174">
        <v>0</v>
      </c>
      <c r="I812" s="186" t="s">
        <v>894</v>
      </c>
      <c r="J812" s="174">
        <v>2</v>
      </c>
      <c r="L812" s="149"/>
      <c r="M812" s="185"/>
      <c r="N812" s="183" t="s">
        <v>29</v>
      </c>
    </row>
    <row r="813" spans="1:22" hidden="1">
      <c r="A813" s="140" t="str">
        <f t="shared" si="12"/>
        <v>07142-00057-01-C9-4</v>
      </c>
      <c r="B813" s="162" t="s">
        <v>1119</v>
      </c>
      <c r="C813" s="162" t="s">
        <v>1787</v>
      </c>
      <c r="D813" s="162" t="s">
        <v>1122</v>
      </c>
      <c r="F813" s="171">
        <v>50883</v>
      </c>
      <c r="G813" s="141" t="s">
        <v>169</v>
      </c>
      <c r="H813" s="174">
        <v>1</v>
      </c>
      <c r="I813" s="186" t="s">
        <v>168</v>
      </c>
    </row>
    <row r="814" spans="1:22" hidden="1">
      <c r="A814" s="140" t="str">
        <f t="shared" si="12"/>
        <v>07142-00057-02-C9-4</v>
      </c>
      <c r="B814" s="162" t="s">
        <v>1119</v>
      </c>
      <c r="C814" s="162" t="s">
        <v>1787</v>
      </c>
      <c r="D814" s="162" t="s">
        <v>1122</v>
      </c>
      <c r="F814" s="171">
        <v>53196</v>
      </c>
      <c r="G814" s="141" t="s">
        <v>169</v>
      </c>
      <c r="H814" s="174">
        <v>2</v>
      </c>
      <c r="I814" s="186" t="s">
        <v>168</v>
      </c>
      <c r="J814" s="174">
        <v>202</v>
      </c>
      <c r="L814" s="149"/>
      <c r="M814" s="185"/>
    </row>
    <row r="815" spans="1:22" hidden="1">
      <c r="A815" s="140" t="str">
        <f t="shared" si="12"/>
        <v>07142-00057-03-C10-5</v>
      </c>
      <c r="B815" s="162" t="s">
        <v>1119</v>
      </c>
      <c r="C815" s="162" t="s">
        <v>1787</v>
      </c>
      <c r="D815" s="162" t="s">
        <v>1122</v>
      </c>
      <c r="F815" s="171">
        <v>53624</v>
      </c>
      <c r="G815" s="141" t="s">
        <v>169</v>
      </c>
      <c r="H815" s="174">
        <v>3</v>
      </c>
      <c r="I815" s="186" t="s">
        <v>164</v>
      </c>
      <c r="M815" s="217" t="s">
        <v>312</v>
      </c>
    </row>
    <row r="816" spans="1:22" hidden="1">
      <c r="A816" s="140" t="str">
        <f t="shared" si="12"/>
        <v>07142-00057-03-C9-4</v>
      </c>
      <c r="B816" s="162" t="s">
        <v>1119</v>
      </c>
      <c r="C816" s="162" t="s">
        <v>1787</v>
      </c>
      <c r="D816" s="162" t="s">
        <v>1122</v>
      </c>
      <c r="F816" s="171">
        <v>53624</v>
      </c>
      <c r="G816" s="141" t="s">
        <v>169</v>
      </c>
      <c r="H816" s="174">
        <v>3</v>
      </c>
      <c r="I816" s="186" t="s">
        <v>168</v>
      </c>
      <c r="J816" s="174">
        <v>202</v>
      </c>
      <c r="K816" s="174">
        <v>202</v>
      </c>
      <c r="L816" s="149"/>
      <c r="M816" s="185" t="s">
        <v>312</v>
      </c>
    </row>
    <row r="817" spans="1:20" hidden="1">
      <c r="A817" s="140" t="str">
        <f t="shared" si="12"/>
        <v>07143-00044-00-C9-4</v>
      </c>
      <c r="B817" s="162" t="s">
        <v>1118</v>
      </c>
      <c r="D817" s="162" t="s">
        <v>1122</v>
      </c>
      <c r="E817" s="162" t="s">
        <v>1561</v>
      </c>
      <c r="F817" s="171">
        <v>48731</v>
      </c>
      <c r="G817" s="141" t="s">
        <v>25</v>
      </c>
      <c r="H817" s="174">
        <v>0</v>
      </c>
      <c r="I817" s="186" t="s">
        <v>168</v>
      </c>
      <c r="N817" s="185"/>
      <c r="P817" s="155"/>
    </row>
    <row r="818" spans="1:20" hidden="1">
      <c r="A818" s="140" t="str">
        <f t="shared" si="12"/>
        <v>07143-00044-01-C9-4</v>
      </c>
      <c r="B818" s="162" t="s">
        <v>1118</v>
      </c>
      <c r="D818" s="162" t="s">
        <v>1122</v>
      </c>
      <c r="E818" s="162" t="s">
        <v>1561</v>
      </c>
      <c r="F818" s="171">
        <v>50851</v>
      </c>
      <c r="G818" s="141" t="s">
        <v>25</v>
      </c>
      <c r="H818" s="174">
        <v>1</v>
      </c>
      <c r="I818" s="186" t="s">
        <v>168</v>
      </c>
    </row>
    <row r="819" spans="1:20" hidden="1">
      <c r="A819" s="140" t="str">
        <f t="shared" si="12"/>
        <v>07143-00044-02-C9-4</v>
      </c>
      <c r="B819" s="162" t="s">
        <v>1118</v>
      </c>
      <c r="D819" s="162" t="s">
        <v>1122</v>
      </c>
      <c r="E819" s="162" t="s">
        <v>1561</v>
      </c>
      <c r="F819" s="171">
        <v>47167</v>
      </c>
      <c r="G819" s="141" t="s">
        <v>25</v>
      </c>
      <c r="H819" s="174">
        <v>2</v>
      </c>
      <c r="I819" s="186" t="s">
        <v>839</v>
      </c>
      <c r="R819" s="151"/>
      <c r="S819" s="147"/>
      <c r="T819" s="148"/>
    </row>
    <row r="820" spans="1:20" ht="27" hidden="1">
      <c r="A820" s="140" t="str">
        <f t="shared" si="12"/>
        <v>07143-00044-03-C9-4</v>
      </c>
      <c r="B820" s="162" t="s">
        <v>1118</v>
      </c>
      <c r="D820" s="162" t="s">
        <v>1122</v>
      </c>
      <c r="E820" s="162" t="s">
        <v>1561</v>
      </c>
      <c r="F820" s="171">
        <v>62604</v>
      </c>
      <c r="G820" s="141" t="s">
        <v>25</v>
      </c>
      <c r="H820" s="174">
        <v>3</v>
      </c>
      <c r="I820" s="186" t="s">
        <v>168</v>
      </c>
      <c r="N820" s="183" t="s">
        <v>1938</v>
      </c>
    </row>
    <row r="821" spans="1:20" hidden="1">
      <c r="A821" s="140" t="str">
        <f t="shared" si="12"/>
        <v>16502-06460-00-A14IW</v>
      </c>
      <c r="B821" s="162" t="s">
        <v>1786</v>
      </c>
      <c r="C821" s="162" t="s">
        <v>1861</v>
      </c>
      <c r="D821" s="162" t="s">
        <v>1728</v>
      </c>
      <c r="F821" s="171" t="s">
        <v>1736</v>
      </c>
      <c r="G821" s="141" t="s">
        <v>1730</v>
      </c>
      <c r="H821" s="174">
        <v>0</v>
      </c>
      <c r="I821" s="186" t="s">
        <v>1741</v>
      </c>
      <c r="K821" s="174">
        <v>1</v>
      </c>
      <c r="M821" s="217" t="s">
        <v>47</v>
      </c>
      <c r="N821" s="183" t="s">
        <v>1939</v>
      </c>
    </row>
    <row r="822" spans="1:20" hidden="1">
      <c r="A822" s="140" t="str">
        <f t="shared" si="12"/>
        <v>16502-06460-00-A13AW</v>
      </c>
      <c r="B822" s="162" t="s">
        <v>1786</v>
      </c>
      <c r="C822" s="162" t="s">
        <v>1861</v>
      </c>
      <c r="D822" s="162" t="s">
        <v>1728</v>
      </c>
      <c r="F822" s="171" t="s">
        <v>1736</v>
      </c>
      <c r="G822" s="141" t="s">
        <v>1730</v>
      </c>
      <c r="H822" s="174">
        <v>0</v>
      </c>
      <c r="I822" s="186" t="s">
        <v>245</v>
      </c>
      <c r="K822" s="174">
        <v>1</v>
      </c>
      <c r="M822" s="217" t="s">
        <v>47</v>
      </c>
      <c r="N822" s="183" t="s">
        <v>1939</v>
      </c>
    </row>
    <row r="823" spans="1:20" hidden="1">
      <c r="A823" s="140" t="str">
        <f t="shared" si="12"/>
        <v>16502-06470-01-A14IW</v>
      </c>
      <c r="B823" s="162" t="s">
        <v>1786</v>
      </c>
      <c r="C823" s="162" t="s">
        <v>1862</v>
      </c>
      <c r="D823" s="162" t="s">
        <v>1728</v>
      </c>
      <c r="F823" s="171">
        <v>55653</v>
      </c>
      <c r="G823" s="141" t="s">
        <v>1732</v>
      </c>
      <c r="H823" s="174">
        <v>1</v>
      </c>
      <c r="I823" s="186" t="s">
        <v>1741</v>
      </c>
      <c r="K823" s="174">
        <v>104</v>
      </c>
      <c r="M823" s="217" t="s">
        <v>47</v>
      </c>
      <c r="N823" s="183" t="s">
        <v>1940</v>
      </c>
    </row>
    <row r="824" spans="1:20" hidden="1">
      <c r="A824" s="140" t="str">
        <f t="shared" si="12"/>
        <v>16502-06470-01-A13AW</v>
      </c>
      <c r="B824" s="162" t="s">
        <v>1786</v>
      </c>
      <c r="C824" s="162" t="s">
        <v>1862</v>
      </c>
      <c r="D824" s="162" t="s">
        <v>1728</v>
      </c>
      <c r="F824" s="171">
        <v>55653</v>
      </c>
      <c r="G824" s="141" t="s">
        <v>1732</v>
      </c>
      <c r="H824" s="174">
        <v>1</v>
      </c>
      <c r="I824" s="186" t="s">
        <v>245</v>
      </c>
      <c r="K824" s="174">
        <v>6</v>
      </c>
      <c r="M824" s="217" t="s">
        <v>47</v>
      </c>
      <c r="N824" s="183" t="s">
        <v>1940</v>
      </c>
    </row>
    <row r="825" spans="1:20" hidden="1">
      <c r="A825" s="140" t="str">
        <f t="shared" si="12"/>
        <v>16502-06470-02-A14IW</v>
      </c>
      <c r="B825" s="162" t="s">
        <v>1786</v>
      </c>
      <c r="C825" s="162" t="s">
        <v>1862</v>
      </c>
      <c r="D825" s="162" t="s">
        <v>1728</v>
      </c>
      <c r="F825" s="171">
        <v>62290</v>
      </c>
      <c r="G825" s="141" t="s">
        <v>1732</v>
      </c>
      <c r="H825" s="174">
        <v>2</v>
      </c>
      <c r="I825" s="186" t="s">
        <v>1741</v>
      </c>
      <c r="M825" s="217" t="s">
        <v>47</v>
      </c>
      <c r="N825" s="183" t="s">
        <v>1941</v>
      </c>
    </row>
    <row r="826" spans="1:20" hidden="1">
      <c r="A826" s="140" t="str">
        <f t="shared" ref="A826:A889" si="13">G826&amp;"-"&amp;TEXT(H826,"00")&amp;"-"&amp;I826</f>
        <v>16502-06470-02-A13AW</v>
      </c>
      <c r="B826" s="162" t="s">
        <v>1786</v>
      </c>
      <c r="C826" s="162" t="s">
        <v>1862</v>
      </c>
      <c r="D826" s="162" t="s">
        <v>1728</v>
      </c>
      <c r="F826" s="171">
        <v>62290</v>
      </c>
      <c r="G826" s="141" t="s">
        <v>1732</v>
      </c>
      <c r="H826" s="174">
        <v>2</v>
      </c>
      <c r="I826" s="186" t="s">
        <v>245</v>
      </c>
      <c r="M826" s="217" t="s">
        <v>47</v>
      </c>
      <c r="N826" s="183" t="s">
        <v>1941</v>
      </c>
    </row>
    <row r="827" spans="1:20" ht="27" hidden="1">
      <c r="A827" s="140" t="str">
        <f t="shared" si="13"/>
        <v>17050-05220-01-A13A</v>
      </c>
      <c r="B827" s="162" t="s">
        <v>1312</v>
      </c>
      <c r="D827" s="162" t="s">
        <v>1866</v>
      </c>
      <c r="F827" s="171">
        <v>55368</v>
      </c>
      <c r="G827" s="141" t="s">
        <v>1314</v>
      </c>
      <c r="H827" s="174">
        <v>1</v>
      </c>
      <c r="I827" s="186" t="s">
        <v>1320</v>
      </c>
      <c r="K827" s="174">
        <v>2156</v>
      </c>
      <c r="N827" s="183" t="s">
        <v>1942</v>
      </c>
    </row>
    <row r="828" spans="1:20" ht="27" hidden="1">
      <c r="A828" s="140" t="str">
        <f t="shared" si="13"/>
        <v>17050-05220-01-A13AW</v>
      </c>
      <c r="B828" s="162" t="s">
        <v>1312</v>
      </c>
      <c r="D828" s="162" t="s">
        <v>1866</v>
      </c>
      <c r="F828" s="171">
        <v>55368</v>
      </c>
      <c r="G828" s="141" t="s">
        <v>1314</v>
      </c>
      <c r="H828" s="174">
        <v>1</v>
      </c>
      <c r="I828" s="186" t="s">
        <v>1321</v>
      </c>
      <c r="K828" s="174">
        <v>6</v>
      </c>
      <c r="N828" s="183" t="s">
        <v>1942</v>
      </c>
    </row>
    <row r="829" spans="1:20" ht="27" hidden="1">
      <c r="A829" s="140" t="str">
        <f t="shared" si="13"/>
        <v>17050-05220-01-A14IW</v>
      </c>
      <c r="B829" s="162" t="s">
        <v>1312</v>
      </c>
      <c r="D829" s="162" t="s">
        <v>1866</v>
      </c>
      <c r="F829" s="171">
        <v>55368</v>
      </c>
      <c r="G829" s="141" t="s">
        <v>1314</v>
      </c>
      <c r="H829" s="174">
        <v>1</v>
      </c>
      <c r="I829" s="186" t="s">
        <v>1322</v>
      </c>
      <c r="K829" s="174">
        <v>22</v>
      </c>
      <c r="N829" s="183" t="s">
        <v>1942</v>
      </c>
    </row>
    <row r="830" spans="1:20" ht="27" hidden="1">
      <c r="A830" s="140" t="str">
        <f t="shared" si="13"/>
        <v>17050-05220-01-J10B</v>
      </c>
      <c r="B830" s="162" t="s">
        <v>1312</v>
      </c>
      <c r="D830" s="162" t="s">
        <v>1866</v>
      </c>
      <c r="F830" s="171">
        <v>55368</v>
      </c>
      <c r="G830" s="141" t="s">
        <v>1314</v>
      </c>
      <c r="H830" s="174">
        <v>1</v>
      </c>
      <c r="I830" s="186" t="s">
        <v>1323</v>
      </c>
      <c r="K830" s="174">
        <v>48</v>
      </c>
      <c r="N830" s="183" t="s">
        <v>1942</v>
      </c>
    </row>
    <row r="831" spans="1:20" ht="27" hidden="1">
      <c r="A831" s="140" t="str">
        <f t="shared" si="13"/>
        <v>17050-05220-01-J7B</v>
      </c>
      <c r="B831" s="162" t="s">
        <v>1312</v>
      </c>
      <c r="D831" s="162" t="s">
        <v>1866</v>
      </c>
      <c r="F831" s="171">
        <v>55368</v>
      </c>
      <c r="G831" s="141" t="s">
        <v>1314</v>
      </c>
      <c r="H831" s="174">
        <v>1</v>
      </c>
      <c r="I831" s="186" t="s">
        <v>1324</v>
      </c>
      <c r="K831" s="174">
        <v>587</v>
      </c>
      <c r="N831" s="183" t="s">
        <v>1942</v>
      </c>
    </row>
    <row r="832" spans="1:20" ht="27" hidden="1">
      <c r="A832" s="140" t="str">
        <f t="shared" si="13"/>
        <v>17050-05220-02-A13A</v>
      </c>
      <c r="B832" s="162" t="s">
        <v>1312</v>
      </c>
      <c r="D832" s="162" t="s">
        <v>1866</v>
      </c>
      <c r="F832" s="171">
        <v>60263</v>
      </c>
      <c r="G832" s="141" t="s">
        <v>1314</v>
      </c>
      <c r="H832" s="174">
        <v>2</v>
      </c>
      <c r="I832" s="186" t="s">
        <v>1320</v>
      </c>
      <c r="K832" s="174">
        <v>2740</v>
      </c>
      <c r="M832" s="217" t="s">
        <v>1299</v>
      </c>
      <c r="N832" s="183" t="s">
        <v>1943</v>
      </c>
    </row>
    <row r="833" spans="1:20" ht="27" hidden="1">
      <c r="A833" s="140" t="str">
        <f t="shared" si="13"/>
        <v>17050-05220-02-A13AW</v>
      </c>
      <c r="B833" s="162" t="s">
        <v>1312</v>
      </c>
      <c r="D833" s="162" t="s">
        <v>1866</v>
      </c>
      <c r="F833" s="171">
        <v>60263</v>
      </c>
      <c r="G833" s="141" t="s">
        <v>1314</v>
      </c>
      <c r="H833" s="174">
        <v>2</v>
      </c>
      <c r="I833" s="186" t="s">
        <v>245</v>
      </c>
      <c r="K833" s="174">
        <v>6</v>
      </c>
      <c r="M833" s="217" t="s">
        <v>1299</v>
      </c>
      <c r="N833" s="183" t="s">
        <v>1943</v>
      </c>
    </row>
    <row r="834" spans="1:20" ht="27" hidden="1">
      <c r="A834" s="140" t="str">
        <f t="shared" si="13"/>
        <v>17050-05220-02-A14IW</v>
      </c>
      <c r="B834" s="162" t="s">
        <v>1312</v>
      </c>
      <c r="D834" s="162" t="s">
        <v>1866</v>
      </c>
      <c r="F834" s="171">
        <v>60263</v>
      </c>
      <c r="G834" s="141" t="s">
        <v>1314</v>
      </c>
      <c r="H834" s="174">
        <v>2</v>
      </c>
      <c r="I834" s="186" t="s">
        <v>234</v>
      </c>
      <c r="K834" s="174">
        <v>633</v>
      </c>
      <c r="M834" s="217" t="s">
        <v>1299</v>
      </c>
      <c r="N834" s="183" t="s">
        <v>1943</v>
      </c>
    </row>
    <row r="835" spans="1:20" hidden="1">
      <c r="A835" s="140" t="str">
        <f t="shared" si="13"/>
        <v>17050-05227-00-L85G</v>
      </c>
      <c r="B835" s="162" t="s">
        <v>1312</v>
      </c>
      <c r="D835" s="162" t="s">
        <v>1866</v>
      </c>
      <c r="F835" s="171" t="s">
        <v>1330</v>
      </c>
      <c r="G835" s="141" t="s">
        <v>1328</v>
      </c>
      <c r="H835" s="174">
        <v>0</v>
      </c>
      <c r="I835" s="186" t="s">
        <v>232</v>
      </c>
      <c r="N835" s="183" t="s">
        <v>29</v>
      </c>
    </row>
    <row r="836" spans="1:20" ht="27" hidden="1">
      <c r="A836" s="140" t="str">
        <f t="shared" si="13"/>
        <v>17050-05227-01-A25H</v>
      </c>
      <c r="B836" s="162" t="s">
        <v>1312</v>
      </c>
      <c r="D836" s="162" t="s">
        <v>1866</v>
      </c>
      <c r="F836" s="171">
        <v>60393</v>
      </c>
      <c r="G836" s="141" t="s">
        <v>1328</v>
      </c>
      <c r="H836" s="174">
        <v>1</v>
      </c>
      <c r="I836" s="186" t="s">
        <v>1138</v>
      </c>
      <c r="K836" s="174">
        <v>3</v>
      </c>
      <c r="N836" s="183" t="s">
        <v>1944</v>
      </c>
    </row>
    <row r="837" spans="1:20" ht="27" hidden="1">
      <c r="A837" s="140" t="str">
        <f t="shared" si="13"/>
        <v>17050-05227-01-A27C</v>
      </c>
      <c r="B837" s="162" t="s">
        <v>1312</v>
      </c>
      <c r="D837" s="162" t="s">
        <v>1866</v>
      </c>
      <c r="F837" s="171">
        <v>60393</v>
      </c>
      <c r="G837" s="141" t="s">
        <v>1328</v>
      </c>
      <c r="H837" s="174">
        <v>1</v>
      </c>
      <c r="I837" s="186" t="s">
        <v>1133</v>
      </c>
      <c r="K837" s="174">
        <v>4</v>
      </c>
      <c r="N837" s="183" t="s">
        <v>1944</v>
      </c>
    </row>
    <row r="838" spans="1:20" ht="27" hidden="1">
      <c r="A838" s="140" t="str">
        <f t="shared" si="13"/>
        <v>17050-05227-01-E7F</v>
      </c>
      <c r="B838" s="162" t="s">
        <v>1312</v>
      </c>
      <c r="D838" s="162" t="s">
        <v>1866</v>
      </c>
      <c r="F838" s="171">
        <v>60393</v>
      </c>
      <c r="G838" s="141" t="s">
        <v>1328</v>
      </c>
      <c r="H838" s="174">
        <v>1</v>
      </c>
      <c r="I838" s="186" t="s">
        <v>1333</v>
      </c>
      <c r="K838" s="174">
        <v>8</v>
      </c>
      <c r="N838" s="183" t="s">
        <v>1944</v>
      </c>
    </row>
    <row r="839" spans="1:20" ht="27" hidden="1">
      <c r="A839" s="140" t="str">
        <f t="shared" si="13"/>
        <v>17050-05227-01-J10B</v>
      </c>
      <c r="B839" s="162" t="s">
        <v>1312</v>
      </c>
      <c r="D839" s="162" t="s">
        <v>1866</v>
      </c>
      <c r="F839" s="171">
        <v>60393</v>
      </c>
      <c r="G839" s="141" t="s">
        <v>1328</v>
      </c>
      <c r="H839" s="174">
        <v>1</v>
      </c>
      <c r="I839" s="186" t="s">
        <v>943</v>
      </c>
      <c r="K839" s="174">
        <v>708</v>
      </c>
      <c r="N839" s="183" t="s">
        <v>1944</v>
      </c>
    </row>
    <row r="840" spans="1:20" ht="27" hidden="1">
      <c r="A840" s="140" t="str">
        <f t="shared" si="13"/>
        <v>17050-05227-01-J7B</v>
      </c>
      <c r="B840" s="162" t="s">
        <v>1312</v>
      </c>
      <c r="D840" s="162" t="s">
        <v>1866</v>
      </c>
      <c r="F840" s="171">
        <v>60393</v>
      </c>
      <c r="G840" s="141" t="s">
        <v>1328</v>
      </c>
      <c r="H840" s="174">
        <v>1</v>
      </c>
      <c r="I840" s="186" t="s">
        <v>1324</v>
      </c>
      <c r="K840" s="174">
        <v>1497</v>
      </c>
      <c r="N840" s="183" t="s">
        <v>1944</v>
      </c>
    </row>
    <row r="841" spans="1:20" ht="27" hidden="1">
      <c r="A841" s="140" t="str">
        <f t="shared" si="13"/>
        <v>17050-05227-01-L85G</v>
      </c>
      <c r="B841" s="162" t="s">
        <v>1312</v>
      </c>
      <c r="D841" s="162" t="s">
        <v>1866</v>
      </c>
      <c r="F841" s="171">
        <v>60393</v>
      </c>
      <c r="G841" s="141" t="s">
        <v>1336</v>
      </c>
      <c r="H841" s="174">
        <v>1</v>
      </c>
      <c r="I841" s="186" t="s">
        <v>232</v>
      </c>
      <c r="K841" s="174">
        <v>6</v>
      </c>
      <c r="N841" s="183" t="s">
        <v>1944</v>
      </c>
    </row>
    <row r="842" spans="1:20" ht="27" hidden="1">
      <c r="A842" s="140" t="str">
        <f t="shared" si="13"/>
        <v>17050-05227-01-A13A</v>
      </c>
      <c r="B842" s="162" t="s">
        <v>1312</v>
      </c>
      <c r="D842" s="162" t="s">
        <v>1866</v>
      </c>
      <c r="F842" s="171">
        <v>60393</v>
      </c>
      <c r="G842" s="141" t="s">
        <v>1336</v>
      </c>
      <c r="H842" s="174">
        <v>1</v>
      </c>
      <c r="I842" s="186" t="s">
        <v>1320</v>
      </c>
      <c r="K842" s="174">
        <v>2780</v>
      </c>
      <c r="N842" s="183" t="s">
        <v>1944</v>
      </c>
    </row>
    <row r="843" spans="1:20" ht="27" hidden="1">
      <c r="A843" s="140" t="str">
        <f t="shared" si="13"/>
        <v>17050-05227-01-A13AW</v>
      </c>
      <c r="B843" s="162" t="s">
        <v>1312</v>
      </c>
      <c r="D843" s="162" t="s">
        <v>1866</v>
      </c>
      <c r="F843" s="171">
        <v>60393</v>
      </c>
      <c r="G843" s="141" t="s">
        <v>1336</v>
      </c>
      <c r="H843" s="174">
        <v>1</v>
      </c>
      <c r="I843" s="186" t="s">
        <v>245</v>
      </c>
      <c r="K843" s="174">
        <v>6</v>
      </c>
      <c r="N843" s="183" t="s">
        <v>1944</v>
      </c>
    </row>
    <row r="844" spans="1:20" ht="27" hidden="1">
      <c r="A844" s="140" t="str">
        <f t="shared" si="13"/>
        <v>17050-05227-01-A14IW</v>
      </c>
      <c r="B844" s="162" t="s">
        <v>1312</v>
      </c>
      <c r="D844" s="162" t="s">
        <v>1866</v>
      </c>
      <c r="F844" s="171">
        <v>60393</v>
      </c>
      <c r="G844" s="141" t="s">
        <v>1336</v>
      </c>
      <c r="H844" s="174">
        <v>1</v>
      </c>
      <c r="I844" s="186" t="s">
        <v>234</v>
      </c>
      <c r="K844" s="174">
        <v>665</v>
      </c>
      <c r="N844" s="183" t="s">
        <v>1944</v>
      </c>
    </row>
    <row r="845" spans="1:20" hidden="1">
      <c r="A845" s="140" t="str">
        <f t="shared" si="13"/>
        <v>17301-43650-00-A12A</v>
      </c>
      <c r="B845" s="162" t="s">
        <v>1118</v>
      </c>
      <c r="D845" s="162" t="s">
        <v>1122</v>
      </c>
      <c r="E845" s="162" t="s">
        <v>1560</v>
      </c>
      <c r="F845" s="171">
        <v>33457</v>
      </c>
      <c r="G845" s="141" t="s">
        <v>485</v>
      </c>
      <c r="H845" s="174">
        <v>0</v>
      </c>
      <c r="I845" s="186" t="s">
        <v>27</v>
      </c>
      <c r="J845" s="174">
        <v>1</v>
      </c>
      <c r="K845" s="174">
        <v>0</v>
      </c>
      <c r="R845" s="146"/>
      <c r="S845" s="147"/>
      <c r="T845" s="148"/>
    </row>
    <row r="846" spans="1:20" hidden="1">
      <c r="A846" s="140" t="str">
        <f t="shared" si="13"/>
        <v>17301-43650-00-A12B</v>
      </c>
      <c r="B846" s="162" t="s">
        <v>1118</v>
      </c>
      <c r="D846" s="162" t="s">
        <v>1122</v>
      </c>
      <c r="E846" s="162" t="s">
        <v>1560</v>
      </c>
      <c r="F846" s="171">
        <v>33457</v>
      </c>
      <c r="G846" s="141" t="s">
        <v>485</v>
      </c>
      <c r="H846" s="174">
        <v>0</v>
      </c>
      <c r="I846" s="186" t="s">
        <v>147</v>
      </c>
      <c r="J846" s="174">
        <v>1</v>
      </c>
      <c r="K846" s="174">
        <v>0</v>
      </c>
      <c r="R846" s="146"/>
      <c r="S846" s="147"/>
      <c r="T846" s="148"/>
    </row>
    <row r="847" spans="1:20" hidden="1">
      <c r="A847" s="140" t="str">
        <f t="shared" si="13"/>
        <v>17301-43650-01-A12A</v>
      </c>
      <c r="B847" s="162" t="s">
        <v>1118</v>
      </c>
      <c r="D847" s="162" t="s">
        <v>1122</v>
      </c>
      <c r="E847" s="162" t="s">
        <v>1560</v>
      </c>
      <c r="F847" s="171">
        <v>42659</v>
      </c>
      <c r="G847" s="141" t="s">
        <v>12</v>
      </c>
      <c r="H847" s="174">
        <v>1</v>
      </c>
      <c r="I847" s="188" t="s">
        <v>262</v>
      </c>
      <c r="J847" s="174" t="s">
        <v>47</v>
      </c>
      <c r="R847" s="146"/>
      <c r="S847" s="147"/>
      <c r="T847" s="148"/>
    </row>
    <row r="848" spans="1:20" hidden="1">
      <c r="A848" s="140" t="str">
        <f t="shared" si="13"/>
        <v>17301-43650-01-A12B</v>
      </c>
      <c r="B848" s="162" t="s">
        <v>1118</v>
      </c>
      <c r="D848" s="162" t="s">
        <v>1122</v>
      </c>
      <c r="E848" s="162" t="s">
        <v>1560</v>
      </c>
      <c r="F848" s="171">
        <v>42659</v>
      </c>
      <c r="G848" s="141" t="s">
        <v>12</v>
      </c>
      <c r="H848" s="174">
        <v>1</v>
      </c>
      <c r="I848" s="188" t="s">
        <v>503</v>
      </c>
      <c r="J848" s="174" t="s">
        <v>47</v>
      </c>
      <c r="R848" s="146"/>
      <c r="S848" s="147"/>
      <c r="T848" s="148"/>
    </row>
    <row r="849" spans="1:20" hidden="1">
      <c r="A849" s="140" t="str">
        <f t="shared" si="13"/>
        <v>17301-43650-01-A14I</v>
      </c>
      <c r="B849" s="162" t="s">
        <v>1118</v>
      </c>
      <c r="D849" s="162" t="s">
        <v>1122</v>
      </c>
      <c r="E849" s="162" t="s">
        <v>1560</v>
      </c>
      <c r="F849" s="171">
        <v>42659</v>
      </c>
      <c r="G849" s="141" t="s">
        <v>12</v>
      </c>
      <c r="H849" s="174">
        <v>1</v>
      </c>
      <c r="I849" s="188" t="s">
        <v>505</v>
      </c>
      <c r="J849" s="174" t="s">
        <v>47</v>
      </c>
      <c r="R849" s="146"/>
      <c r="S849" s="147"/>
      <c r="T849" s="148"/>
    </row>
    <row r="850" spans="1:20" hidden="1">
      <c r="A850" s="140" t="str">
        <f t="shared" si="13"/>
        <v>17301-43650-01-A5F</v>
      </c>
      <c r="B850" s="162" t="s">
        <v>1118</v>
      </c>
      <c r="D850" s="162" t="s">
        <v>1122</v>
      </c>
      <c r="E850" s="162" t="s">
        <v>1560</v>
      </c>
      <c r="F850" s="171">
        <v>42659</v>
      </c>
      <c r="G850" s="141" t="s">
        <v>12</v>
      </c>
      <c r="H850" s="174">
        <v>1</v>
      </c>
      <c r="I850" s="188" t="s">
        <v>506</v>
      </c>
      <c r="J850" s="174">
        <v>3</v>
      </c>
      <c r="R850" s="146"/>
      <c r="S850" s="147"/>
      <c r="T850" s="148"/>
    </row>
    <row r="851" spans="1:20" hidden="1">
      <c r="A851" s="140" t="str">
        <f t="shared" si="13"/>
        <v>17301-43650-01-A7F</v>
      </c>
      <c r="B851" s="162" t="s">
        <v>1118</v>
      </c>
      <c r="D851" s="162" t="s">
        <v>1122</v>
      </c>
      <c r="E851" s="162" t="s">
        <v>1560</v>
      </c>
      <c r="F851" s="171">
        <v>42659</v>
      </c>
      <c r="G851" s="141" t="s">
        <v>12</v>
      </c>
      <c r="H851" s="174">
        <v>1</v>
      </c>
      <c r="I851" s="188" t="s">
        <v>507</v>
      </c>
      <c r="J851" s="174">
        <v>1</v>
      </c>
      <c r="R851" s="146"/>
      <c r="S851" s="147"/>
      <c r="T851" s="148"/>
    </row>
    <row r="852" spans="1:20" hidden="1">
      <c r="A852" s="140" t="str">
        <f t="shared" si="13"/>
        <v>17301-43650-01-A7G</v>
      </c>
      <c r="B852" s="162" t="s">
        <v>1118</v>
      </c>
      <c r="D852" s="162" t="s">
        <v>1122</v>
      </c>
      <c r="E852" s="162" t="s">
        <v>1560</v>
      </c>
      <c r="F852" s="171">
        <v>42659</v>
      </c>
      <c r="G852" s="141" t="s">
        <v>12</v>
      </c>
      <c r="H852" s="174">
        <v>1</v>
      </c>
      <c r="I852" s="188" t="s">
        <v>508</v>
      </c>
      <c r="J852" s="174">
        <v>3</v>
      </c>
      <c r="R852" s="146"/>
      <c r="S852" s="147"/>
      <c r="T852" s="148"/>
    </row>
    <row r="853" spans="1:20" hidden="1">
      <c r="A853" s="140" t="str">
        <f t="shared" si="13"/>
        <v>17301-43650-01-F14F</v>
      </c>
      <c r="B853" s="162" t="s">
        <v>1118</v>
      </c>
      <c r="D853" s="162" t="s">
        <v>1122</v>
      </c>
      <c r="E853" s="162" t="s">
        <v>1560</v>
      </c>
      <c r="F853" s="171">
        <v>42659</v>
      </c>
      <c r="G853" s="141" t="s">
        <v>12</v>
      </c>
      <c r="H853" s="174">
        <v>1</v>
      </c>
      <c r="I853" s="188" t="s">
        <v>509</v>
      </c>
      <c r="J853" s="174">
        <v>2</v>
      </c>
      <c r="R853" s="146"/>
      <c r="S853" s="147"/>
      <c r="T853" s="148"/>
    </row>
    <row r="854" spans="1:20" hidden="1">
      <c r="A854" s="140" t="str">
        <f t="shared" si="13"/>
        <v>17301-43650-01-L9EV</v>
      </c>
      <c r="B854" s="162" t="s">
        <v>1118</v>
      </c>
      <c r="D854" s="162" t="s">
        <v>1122</v>
      </c>
      <c r="E854" s="162" t="s">
        <v>1560</v>
      </c>
      <c r="F854" s="171">
        <v>42659</v>
      </c>
      <c r="G854" s="141" t="s">
        <v>12</v>
      </c>
      <c r="H854" s="174">
        <v>1</v>
      </c>
      <c r="I854" s="188" t="s">
        <v>510</v>
      </c>
      <c r="J854" s="174">
        <v>1</v>
      </c>
      <c r="R854" s="146"/>
      <c r="S854" s="147"/>
      <c r="T854" s="148"/>
    </row>
    <row r="855" spans="1:20" hidden="1">
      <c r="A855" s="140" t="str">
        <f t="shared" si="13"/>
        <v>17301-43650-02-A5F</v>
      </c>
      <c r="B855" s="162" t="s">
        <v>1118</v>
      </c>
      <c r="D855" s="162" t="s">
        <v>1122</v>
      </c>
      <c r="E855" s="162" t="s">
        <v>1560</v>
      </c>
      <c r="F855" s="171">
        <v>43461</v>
      </c>
      <c r="G855" s="141" t="s">
        <v>485</v>
      </c>
      <c r="H855" s="174">
        <v>2</v>
      </c>
      <c r="I855" s="188" t="s">
        <v>506</v>
      </c>
      <c r="J855" s="174" t="s">
        <v>512</v>
      </c>
      <c r="M855" s="217">
        <v>1.7</v>
      </c>
      <c r="T855" s="148"/>
    </row>
    <row r="856" spans="1:20" hidden="1">
      <c r="A856" s="140" t="str">
        <f t="shared" si="13"/>
        <v>17301-43650-02-A7G</v>
      </c>
      <c r="B856" s="162" t="s">
        <v>1118</v>
      </c>
      <c r="D856" s="162" t="s">
        <v>1122</v>
      </c>
      <c r="E856" s="162" t="s">
        <v>1560</v>
      </c>
      <c r="F856" s="171">
        <v>43461</v>
      </c>
      <c r="G856" s="141" t="s">
        <v>485</v>
      </c>
      <c r="H856" s="174">
        <v>2</v>
      </c>
      <c r="I856" s="188" t="s">
        <v>508</v>
      </c>
      <c r="J856" s="174" t="s">
        <v>512</v>
      </c>
      <c r="M856" s="217">
        <v>1.7</v>
      </c>
      <c r="T856" s="148"/>
    </row>
    <row r="857" spans="1:20" hidden="1">
      <c r="A857" s="140" t="str">
        <f t="shared" si="13"/>
        <v>17301-43650-02-A7F</v>
      </c>
      <c r="B857" s="162" t="s">
        <v>1118</v>
      </c>
      <c r="D857" s="162" t="s">
        <v>1122</v>
      </c>
      <c r="E857" s="162" t="s">
        <v>1560</v>
      </c>
      <c r="F857" s="171">
        <v>43461</v>
      </c>
      <c r="G857" s="141" t="s">
        <v>485</v>
      </c>
      <c r="H857" s="174">
        <v>2</v>
      </c>
      <c r="I857" s="188" t="s">
        <v>507</v>
      </c>
      <c r="J857" s="174" t="s">
        <v>512</v>
      </c>
      <c r="M857" s="217">
        <v>1.7</v>
      </c>
      <c r="T857" s="148"/>
    </row>
    <row r="858" spans="1:20" hidden="1">
      <c r="A858" s="140" t="str">
        <f t="shared" si="13"/>
        <v>17301-43650-02-A12A</v>
      </c>
      <c r="B858" s="162" t="s">
        <v>1118</v>
      </c>
      <c r="D858" s="162" t="s">
        <v>1122</v>
      </c>
      <c r="E858" s="162" t="s">
        <v>1560</v>
      </c>
      <c r="F858" s="171">
        <v>43461</v>
      </c>
      <c r="G858" s="141" t="s">
        <v>485</v>
      </c>
      <c r="H858" s="174">
        <v>2</v>
      </c>
      <c r="I858" s="188" t="s">
        <v>262</v>
      </c>
      <c r="J858" s="174" t="s">
        <v>512</v>
      </c>
      <c r="M858" s="217">
        <v>1.7</v>
      </c>
      <c r="T858" s="148"/>
    </row>
    <row r="859" spans="1:20" hidden="1">
      <c r="A859" s="140" t="str">
        <f t="shared" si="13"/>
        <v>17301-43650-02-A12B</v>
      </c>
      <c r="B859" s="162" t="s">
        <v>1118</v>
      </c>
      <c r="D859" s="162" t="s">
        <v>1122</v>
      </c>
      <c r="E859" s="162" t="s">
        <v>1560</v>
      </c>
      <c r="F859" s="171">
        <v>43461</v>
      </c>
      <c r="G859" s="141" t="s">
        <v>485</v>
      </c>
      <c r="H859" s="174">
        <v>2</v>
      </c>
      <c r="I859" s="188" t="s">
        <v>503</v>
      </c>
      <c r="J859" s="174" t="s">
        <v>512</v>
      </c>
      <c r="M859" s="217">
        <v>1.7</v>
      </c>
      <c r="T859" s="148"/>
    </row>
    <row r="860" spans="1:20" hidden="1">
      <c r="A860" s="140" t="str">
        <f t="shared" si="13"/>
        <v>17301-43650-02-F14F</v>
      </c>
      <c r="B860" s="162" t="s">
        <v>1118</v>
      </c>
      <c r="D860" s="162" t="s">
        <v>1122</v>
      </c>
      <c r="E860" s="162" t="s">
        <v>1560</v>
      </c>
      <c r="F860" s="171">
        <v>43461</v>
      </c>
      <c r="G860" s="141" t="s">
        <v>485</v>
      </c>
      <c r="H860" s="174">
        <v>2</v>
      </c>
      <c r="I860" s="188" t="s">
        <v>509</v>
      </c>
      <c r="J860" s="174" t="s">
        <v>512</v>
      </c>
      <c r="M860" s="217">
        <v>1.7</v>
      </c>
      <c r="T860" s="148"/>
    </row>
    <row r="861" spans="1:20" hidden="1">
      <c r="A861" s="140" t="str">
        <f t="shared" si="13"/>
        <v>17301-43650-02-A14FW</v>
      </c>
      <c r="B861" s="162" t="s">
        <v>1118</v>
      </c>
      <c r="D861" s="162" t="s">
        <v>1122</v>
      </c>
      <c r="E861" s="162" t="s">
        <v>1560</v>
      </c>
      <c r="F861" s="171">
        <v>43461</v>
      </c>
      <c r="G861" s="141" t="s">
        <v>485</v>
      </c>
      <c r="H861" s="174">
        <v>2</v>
      </c>
      <c r="I861" s="188" t="s">
        <v>513</v>
      </c>
      <c r="J861" s="174" t="s">
        <v>512</v>
      </c>
      <c r="M861" s="217">
        <v>1.7</v>
      </c>
      <c r="T861" s="148"/>
    </row>
    <row r="862" spans="1:20" hidden="1">
      <c r="A862" s="140" t="str">
        <f t="shared" si="13"/>
        <v>17301-43650-02-C9-3</v>
      </c>
      <c r="B862" s="162" t="s">
        <v>1118</v>
      </c>
      <c r="D862" s="162" t="s">
        <v>1122</v>
      </c>
      <c r="E862" s="162" t="s">
        <v>1560</v>
      </c>
      <c r="F862" s="171">
        <v>43461</v>
      </c>
      <c r="G862" s="141" t="s">
        <v>485</v>
      </c>
      <c r="H862" s="174">
        <v>2</v>
      </c>
      <c r="I862" s="188" t="s">
        <v>514</v>
      </c>
      <c r="J862" s="174" t="s">
        <v>512</v>
      </c>
      <c r="M862" s="217">
        <v>1.7</v>
      </c>
      <c r="R862" s="153"/>
      <c r="S862" s="147"/>
      <c r="T862" s="148"/>
    </row>
    <row r="863" spans="1:20" hidden="1">
      <c r="A863" s="140" t="str">
        <f t="shared" si="13"/>
        <v>17301-43650-02-L9EV</v>
      </c>
      <c r="B863" s="162" t="s">
        <v>1118</v>
      </c>
      <c r="D863" s="162" t="s">
        <v>1122</v>
      </c>
      <c r="E863" s="162" t="s">
        <v>1560</v>
      </c>
      <c r="F863" s="171">
        <v>43461</v>
      </c>
      <c r="G863" s="141" t="s">
        <v>485</v>
      </c>
      <c r="H863" s="174">
        <v>2</v>
      </c>
      <c r="I863" s="188" t="s">
        <v>510</v>
      </c>
      <c r="J863" s="174" t="s">
        <v>512</v>
      </c>
      <c r="M863" s="217">
        <v>1.7</v>
      </c>
      <c r="R863" s="151"/>
      <c r="S863" s="147"/>
      <c r="T863" s="148"/>
    </row>
    <row r="864" spans="1:20" hidden="1">
      <c r="A864" s="140" t="str">
        <f t="shared" si="13"/>
        <v>17301-43650-02-A14I</v>
      </c>
      <c r="B864" s="162" t="s">
        <v>1118</v>
      </c>
      <c r="D864" s="162" t="s">
        <v>1122</v>
      </c>
      <c r="E864" s="162" t="s">
        <v>1560</v>
      </c>
      <c r="F864" s="171">
        <v>43461</v>
      </c>
      <c r="G864" s="141" t="s">
        <v>485</v>
      </c>
      <c r="H864" s="174">
        <v>2</v>
      </c>
      <c r="I864" s="188" t="s">
        <v>505</v>
      </c>
      <c r="J864" s="174" t="s">
        <v>512</v>
      </c>
      <c r="M864" s="217">
        <v>1.7</v>
      </c>
      <c r="R864" s="151"/>
      <c r="S864" s="147"/>
      <c r="T864" s="148"/>
    </row>
    <row r="865" spans="1:24" ht="15" hidden="1" customHeight="1">
      <c r="A865" s="140" t="str">
        <f t="shared" si="13"/>
        <v>17301-43651-01-A14H</v>
      </c>
      <c r="B865" s="162" t="s">
        <v>1118</v>
      </c>
      <c r="D865" s="162" t="s">
        <v>1122</v>
      </c>
      <c r="E865" s="162" t="s">
        <v>1561</v>
      </c>
      <c r="F865" s="171">
        <v>42834</v>
      </c>
      <c r="G865" s="141" t="s">
        <v>14</v>
      </c>
      <c r="H865" s="174">
        <v>1</v>
      </c>
      <c r="I865" s="188" t="s">
        <v>511</v>
      </c>
      <c r="J865" s="174" t="s">
        <v>512</v>
      </c>
      <c r="R865" s="146"/>
      <c r="S865" s="147"/>
      <c r="T865" s="148"/>
    </row>
    <row r="866" spans="1:24" hidden="1">
      <c r="A866" s="140" t="str">
        <f t="shared" si="13"/>
        <v>17301-43651-01-A14FW</v>
      </c>
      <c r="B866" s="162" t="s">
        <v>1118</v>
      </c>
      <c r="D866" s="162" t="s">
        <v>1122</v>
      </c>
      <c r="E866" s="162" t="s">
        <v>1561</v>
      </c>
      <c r="F866" s="171">
        <v>42834</v>
      </c>
      <c r="G866" s="141" t="s">
        <v>14</v>
      </c>
      <c r="H866" s="174">
        <v>1</v>
      </c>
      <c r="I866" s="188" t="s">
        <v>513</v>
      </c>
      <c r="J866" s="174">
        <v>517</v>
      </c>
      <c r="R866" s="146"/>
      <c r="S866" s="147"/>
      <c r="T866" s="148"/>
    </row>
    <row r="867" spans="1:24" hidden="1">
      <c r="A867" s="140" t="str">
        <f t="shared" si="13"/>
        <v>17301-43651-01-C9-3</v>
      </c>
      <c r="B867" s="162" t="s">
        <v>1118</v>
      </c>
      <c r="D867" s="162" t="s">
        <v>1122</v>
      </c>
      <c r="E867" s="162" t="s">
        <v>1561</v>
      </c>
      <c r="F867" s="171">
        <v>42834</v>
      </c>
      <c r="G867" s="141" t="s">
        <v>14</v>
      </c>
      <c r="H867" s="174">
        <v>1</v>
      </c>
      <c r="I867" s="188" t="s">
        <v>514</v>
      </c>
      <c r="J867" s="174" t="s">
        <v>512</v>
      </c>
      <c r="R867" s="146"/>
      <c r="S867" s="147"/>
      <c r="T867" s="148"/>
    </row>
    <row r="868" spans="1:24" hidden="1">
      <c r="A868" s="140" t="str">
        <f t="shared" si="13"/>
        <v>17301-43651-01-A14I</v>
      </c>
      <c r="B868" s="162" t="s">
        <v>1118</v>
      </c>
      <c r="D868" s="162" t="s">
        <v>1122</v>
      </c>
      <c r="E868" s="162" t="s">
        <v>1561</v>
      </c>
      <c r="F868" s="171">
        <v>42834</v>
      </c>
      <c r="G868" s="141" t="s">
        <v>14</v>
      </c>
      <c r="H868" s="174">
        <v>1</v>
      </c>
      <c r="I868" s="188" t="s">
        <v>505</v>
      </c>
      <c r="J868" s="174" t="s">
        <v>512</v>
      </c>
      <c r="R868" s="146"/>
      <c r="S868" s="147"/>
      <c r="T868" s="148"/>
    </row>
    <row r="869" spans="1:24" hidden="1">
      <c r="A869" s="140" t="str">
        <f t="shared" si="13"/>
        <v>17301-43651-01-A25E</v>
      </c>
      <c r="B869" s="162" t="s">
        <v>1118</v>
      </c>
      <c r="D869" s="162" t="s">
        <v>1122</v>
      </c>
      <c r="E869" s="162" t="s">
        <v>1561</v>
      </c>
      <c r="F869" s="171">
        <v>42834</v>
      </c>
      <c r="G869" s="141" t="s">
        <v>14</v>
      </c>
      <c r="H869" s="174">
        <v>1</v>
      </c>
      <c r="I869" s="188" t="s">
        <v>515</v>
      </c>
      <c r="J869" s="174">
        <v>213</v>
      </c>
      <c r="R869" s="146"/>
      <c r="S869" s="147"/>
      <c r="T869" s="148"/>
    </row>
    <row r="870" spans="1:24" hidden="1">
      <c r="A870" s="140" t="str">
        <f t="shared" si="13"/>
        <v>17301-43651-02-A14H</v>
      </c>
      <c r="B870" s="162" t="s">
        <v>1118</v>
      </c>
      <c r="D870" s="162" t="s">
        <v>1122</v>
      </c>
      <c r="E870" s="162" t="s">
        <v>1561</v>
      </c>
      <c r="F870" s="171">
        <v>43461</v>
      </c>
      <c r="G870" s="141" t="s">
        <v>14</v>
      </c>
      <c r="H870" s="174">
        <v>2</v>
      </c>
      <c r="I870" s="188" t="s">
        <v>511</v>
      </c>
      <c r="J870" s="174" t="s">
        <v>512</v>
      </c>
      <c r="M870" s="217">
        <v>1.7</v>
      </c>
      <c r="T870" s="148"/>
    </row>
    <row r="871" spans="1:24" hidden="1">
      <c r="A871" s="140" t="str">
        <f t="shared" si="13"/>
        <v>17301-43651-02-A12A</v>
      </c>
      <c r="B871" s="162" t="s">
        <v>1118</v>
      </c>
      <c r="D871" s="162" t="s">
        <v>1122</v>
      </c>
      <c r="E871" s="162" t="s">
        <v>1561</v>
      </c>
      <c r="F871" s="171">
        <v>43461</v>
      </c>
      <c r="G871" s="141" t="s">
        <v>14</v>
      </c>
      <c r="H871" s="174">
        <v>2</v>
      </c>
      <c r="I871" s="188" t="s">
        <v>262</v>
      </c>
      <c r="J871" s="174" t="s">
        <v>512</v>
      </c>
      <c r="M871" s="217">
        <v>1.7</v>
      </c>
      <c r="R871" s="153"/>
      <c r="S871" s="147"/>
      <c r="T871" s="148"/>
    </row>
    <row r="872" spans="1:24" hidden="1">
      <c r="A872" s="140" t="str">
        <f t="shared" si="13"/>
        <v>17301-43651-02-A14FW</v>
      </c>
      <c r="B872" s="162" t="s">
        <v>1118</v>
      </c>
      <c r="D872" s="162" t="s">
        <v>1122</v>
      </c>
      <c r="E872" s="162" t="s">
        <v>1561</v>
      </c>
      <c r="F872" s="171">
        <v>43461</v>
      </c>
      <c r="G872" s="141" t="s">
        <v>14</v>
      </c>
      <c r="H872" s="174">
        <v>2</v>
      </c>
      <c r="I872" s="188" t="s">
        <v>513</v>
      </c>
      <c r="J872" s="174" t="s">
        <v>512</v>
      </c>
      <c r="M872" s="217">
        <v>1.7</v>
      </c>
      <c r="T872" s="148"/>
    </row>
    <row r="873" spans="1:24" hidden="1">
      <c r="A873" s="140" t="str">
        <f t="shared" si="13"/>
        <v>17301-43651-02-C9-3</v>
      </c>
      <c r="B873" s="162" t="s">
        <v>1118</v>
      </c>
      <c r="D873" s="162" t="s">
        <v>1122</v>
      </c>
      <c r="E873" s="162" t="s">
        <v>1561</v>
      </c>
      <c r="F873" s="171">
        <v>43461</v>
      </c>
      <c r="G873" s="141" t="s">
        <v>14</v>
      </c>
      <c r="H873" s="174">
        <v>2</v>
      </c>
      <c r="I873" s="188" t="s">
        <v>514</v>
      </c>
      <c r="J873" s="174" t="s">
        <v>512</v>
      </c>
      <c r="M873" s="217">
        <v>1.7</v>
      </c>
      <c r="T873" s="148"/>
    </row>
    <row r="874" spans="1:24" hidden="1">
      <c r="A874" s="140" t="str">
        <f t="shared" si="13"/>
        <v>17301-43651-02-A25E</v>
      </c>
      <c r="B874" s="162" t="s">
        <v>1118</v>
      </c>
      <c r="D874" s="162" t="s">
        <v>1122</v>
      </c>
      <c r="E874" s="162" t="s">
        <v>1561</v>
      </c>
      <c r="F874" s="171">
        <v>43461</v>
      </c>
      <c r="G874" s="141" t="s">
        <v>14</v>
      </c>
      <c r="H874" s="174">
        <v>2</v>
      </c>
      <c r="I874" s="188" t="s">
        <v>515</v>
      </c>
      <c r="J874" s="174" t="s">
        <v>512</v>
      </c>
      <c r="M874" s="217">
        <v>1.7</v>
      </c>
      <c r="T874" s="148"/>
    </row>
    <row r="875" spans="1:24" hidden="1">
      <c r="A875" s="140" t="str">
        <f t="shared" si="13"/>
        <v>17301-43651-02-</v>
      </c>
      <c r="B875" s="162" t="s">
        <v>1118</v>
      </c>
      <c r="D875" s="162" t="s">
        <v>1122</v>
      </c>
      <c r="E875" s="162" t="s">
        <v>1561</v>
      </c>
      <c r="F875" s="171">
        <v>43461</v>
      </c>
      <c r="G875" s="141" t="s">
        <v>14</v>
      </c>
      <c r="H875" s="174">
        <v>2</v>
      </c>
      <c r="I875" s="186"/>
      <c r="M875" s="217">
        <v>1.7</v>
      </c>
      <c r="T875" s="148"/>
    </row>
    <row r="876" spans="1:24" hidden="1">
      <c r="A876" s="140" t="str">
        <f t="shared" si="13"/>
        <v>17301-43660-02-L8EV</v>
      </c>
      <c r="B876" s="162" t="s">
        <v>1118</v>
      </c>
      <c r="D876" s="162" t="s">
        <v>1122</v>
      </c>
      <c r="E876" s="162" t="s">
        <v>1560</v>
      </c>
      <c r="F876" s="171">
        <v>45521</v>
      </c>
      <c r="G876" s="141" t="s">
        <v>535</v>
      </c>
      <c r="H876" s="174">
        <v>2</v>
      </c>
      <c r="I876" s="188" t="s">
        <v>531</v>
      </c>
      <c r="O876" s="156"/>
      <c r="P876" s="155"/>
      <c r="Q876" s="150"/>
      <c r="R876" s="157"/>
      <c r="S876" s="147"/>
      <c r="T876" s="148"/>
    </row>
    <row r="877" spans="1:24" hidden="1">
      <c r="A877" s="140" t="str">
        <f t="shared" si="13"/>
        <v>17301-43660-02-L9ER</v>
      </c>
      <c r="B877" s="162" t="s">
        <v>1118</v>
      </c>
      <c r="D877" s="162" t="s">
        <v>1122</v>
      </c>
      <c r="E877" s="162" t="s">
        <v>1560</v>
      </c>
      <c r="F877" s="171">
        <v>45521</v>
      </c>
      <c r="G877" s="141" t="s">
        <v>535</v>
      </c>
      <c r="H877" s="174">
        <v>2</v>
      </c>
      <c r="I877" s="188" t="s">
        <v>532</v>
      </c>
      <c r="O877" s="156"/>
      <c r="P877" s="155"/>
      <c r="Q877" s="150"/>
      <c r="R877" s="157"/>
      <c r="S877" s="147"/>
      <c r="T877" s="148"/>
    </row>
    <row r="878" spans="1:24" hidden="1">
      <c r="A878" s="140" t="str">
        <f t="shared" si="13"/>
        <v>17301-43660-02-L9EV</v>
      </c>
      <c r="B878" s="162" t="s">
        <v>1118</v>
      </c>
      <c r="D878" s="162" t="s">
        <v>1122</v>
      </c>
      <c r="E878" s="162" t="s">
        <v>1560</v>
      </c>
      <c r="F878" s="171">
        <v>45521</v>
      </c>
      <c r="G878" s="141" t="s">
        <v>535</v>
      </c>
      <c r="H878" s="174">
        <v>2</v>
      </c>
      <c r="I878" s="188" t="s">
        <v>510</v>
      </c>
      <c r="O878" s="156"/>
      <c r="P878" s="155"/>
      <c r="T878" s="148"/>
    </row>
    <row r="879" spans="1:24" hidden="1">
      <c r="A879" s="140" t="str">
        <f t="shared" si="13"/>
        <v>17301-43660-04-A5F</v>
      </c>
      <c r="B879" s="162" t="s">
        <v>1118</v>
      </c>
      <c r="D879" s="162" t="s">
        <v>1122</v>
      </c>
      <c r="E879" s="162" t="s">
        <v>1560</v>
      </c>
      <c r="F879" s="171">
        <v>46656</v>
      </c>
      <c r="G879" s="141" t="s">
        <v>17</v>
      </c>
      <c r="H879" s="174">
        <v>4</v>
      </c>
      <c r="I879" s="198" t="s">
        <v>506</v>
      </c>
      <c r="P879" s="155"/>
      <c r="R879" s="146"/>
      <c r="S879" s="147"/>
      <c r="T879" s="148"/>
      <c r="X879" s="150"/>
    </row>
    <row r="880" spans="1:24" hidden="1">
      <c r="A880" s="140" t="str">
        <f t="shared" si="13"/>
        <v>17301-43660-04-A6E</v>
      </c>
      <c r="B880" s="162" t="s">
        <v>1118</v>
      </c>
      <c r="D880" s="162" t="s">
        <v>1122</v>
      </c>
      <c r="E880" s="162" t="s">
        <v>1560</v>
      </c>
      <c r="F880" s="171">
        <v>46656</v>
      </c>
      <c r="G880" s="141" t="s">
        <v>17</v>
      </c>
      <c r="H880" s="174">
        <v>4</v>
      </c>
      <c r="I880" s="196" t="s">
        <v>818</v>
      </c>
      <c r="P880" s="155"/>
      <c r="R880" s="146"/>
      <c r="S880" s="147"/>
      <c r="T880" s="148"/>
      <c r="X880" s="150"/>
    </row>
    <row r="881" spans="1:24" hidden="1">
      <c r="A881" s="140" t="str">
        <f t="shared" si="13"/>
        <v>17301-43660-04-A7G</v>
      </c>
      <c r="B881" s="162" t="s">
        <v>1118</v>
      </c>
      <c r="D881" s="162" t="s">
        <v>1122</v>
      </c>
      <c r="E881" s="162" t="s">
        <v>1560</v>
      </c>
      <c r="F881" s="171">
        <v>46656</v>
      </c>
      <c r="G881" s="141" t="s">
        <v>17</v>
      </c>
      <c r="H881" s="174">
        <v>4</v>
      </c>
      <c r="I881" s="198" t="s">
        <v>508</v>
      </c>
      <c r="P881" s="155"/>
      <c r="R881" s="146"/>
      <c r="S881" s="147"/>
      <c r="T881" s="148"/>
      <c r="X881" s="150"/>
    </row>
    <row r="882" spans="1:24" hidden="1">
      <c r="A882" s="140" t="str">
        <f t="shared" si="13"/>
        <v>17301-43660-04-A7F</v>
      </c>
      <c r="B882" s="162" t="s">
        <v>1118</v>
      </c>
      <c r="D882" s="162" t="s">
        <v>1122</v>
      </c>
      <c r="E882" s="162" t="s">
        <v>1560</v>
      </c>
      <c r="F882" s="171">
        <v>46656</v>
      </c>
      <c r="G882" s="141" t="s">
        <v>17</v>
      </c>
      <c r="H882" s="174">
        <v>4</v>
      </c>
      <c r="I882" s="198" t="s">
        <v>825</v>
      </c>
    </row>
    <row r="883" spans="1:24" hidden="1">
      <c r="A883" s="140" t="str">
        <f t="shared" si="13"/>
        <v>17301-43660-04-A12A</v>
      </c>
      <c r="B883" s="162" t="s">
        <v>1118</v>
      </c>
      <c r="D883" s="162" t="s">
        <v>1122</v>
      </c>
      <c r="E883" s="162" t="s">
        <v>1560</v>
      </c>
      <c r="F883" s="171">
        <v>46656</v>
      </c>
      <c r="G883" s="141" t="s">
        <v>17</v>
      </c>
      <c r="H883" s="174">
        <v>4</v>
      </c>
      <c r="I883" s="198" t="s">
        <v>262</v>
      </c>
      <c r="J883" s="174">
        <v>2490</v>
      </c>
      <c r="K883" s="174">
        <v>2490</v>
      </c>
      <c r="L883" s="149"/>
      <c r="M883" s="185"/>
      <c r="R883" s="146"/>
      <c r="S883" s="147"/>
      <c r="T883" s="148"/>
    </row>
    <row r="884" spans="1:24" hidden="1">
      <c r="A884" s="140" t="str">
        <f t="shared" si="13"/>
        <v>17301-43660-04-A12B</v>
      </c>
      <c r="B884" s="162" t="s">
        <v>1118</v>
      </c>
      <c r="D884" s="162" t="s">
        <v>1122</v>
      </c>
      <c r="E884" s="162" t="s">
        <v>1560</v>
      </c>
      <c r="F884" s="171">
        <v>46656</v>
      </c>
      <c r="G884" s="141" t="s">
        <v>17</v>
      </c>
      <c r="H884" s="174">
        <v>4</v>
      </c>
      <c r="I884" s="198" t="s">
        <v>503</v>
      </c>
      <c r="J884" s="174">
        <v>2536</v>
      </c>
      <c r="K884" s="174">
        <v>2536</v>
      </c>
      <c r="L884" s="149"/>
      <c r="M884" s="185"/>
      <c r="R884" s="146"/>
      <c r="S884" s="147"/>
      <c r="T884" s="148"/>
    </row>
    <row r="885" spans="1:24" hidden="1">
      <c r="A885" s="140" t="str">
        <f t="shared" si="13"/>
        <v>17301-43660-04-F14F</v>
      </c>
      <c r="B885" s="162" t="s">
        <v>1118</v>
      </c>
      <c r="D885" s="162" t="s">
        <v>1122</v>
      </c>
      <c r="E885" s="162" t="s">
        <v>1560</v>
      </c>
      <c r="F885" s="171">
        <v>46656</v>
      </c>
      <c r="G885" s="141" t="s">
        <v>17</v>
      </c>
      <c r="H885" s="174">
        <v>4</v>
      </c>
      <c r="I885" s="198" t="s">
        <v>509</v>
      </c>
      <c r="R885" s="146"/>
      <c r="S885" s="147"/>
      <c r="T885" s="148"/>
    </row>
    <row r="886" spans="1:24" hidden="1">
      <c r="A886" s="140" t="str">
        <f t="shared" si="13"/>
        <v>17301-43660-04-A14FW</v>
      </c>
      <c r="B886" s="162" t="s">
        <v>1118</v>
      </c>
      <c r="D886" s="162" t="s">
        <v>1122</v>
      </c>
      <c r="E886" s="162" t="s">
        <v>1560</v>
      </c>
      <c r="F886" s="171">
        <v>46656</v>
      </c>
      <c r="G886" s="141" t="s">
        <v>17</v>
      </c>
      <c r="H886" s="174">
        <v>4</v>
      </c>
      <c r="I886" s="198" t="s">
        <v>513</v>
      </c>
      <c r="P886" s="155"/>
      <c r="R886" s="146"/>
      <c r="S886" s="147"/>
      <c r="T886" s="148"/>
    </row>
    <row r="887" spans="1:24" hidden="1">
      <c r="A887" s="140" t="str">
        <f t="shared" si="13"/>
        <v>17301-43660-04-L9ER</v>
      </c>
      <c r="B887" s="162" t="s">
        <v>1118</v>
      </c>
      <c r="D887" s="162" t="s">
        <v>1122</v>
      </c>
      <c r="E887" s="162" t="s">
        <v>1560</v>
      </c>
      <c r="F887" s="171">
        <v>46656</v>
      </c>
      <c r="G887" s="141" t="s">
        <v>17</v>
      </c>
      <c r="H887" s="174">
        <v>4</v>
      </c>
      <c r="I887" s="188" t="s">
        <v>532</v>
      </c>
      <c r="P887" s="155"/>
      <c r="R887" s="146"/>
      <c r="S887" s="146"/>
      <c r="T887" s="146"/>
      <c r="U887" s="146"/>
    </row>
    <row r="888" spans="1:24" hidden="1">
      <c r="A888" s="140" t="str">
        <f t="shared" si="13"/>
        <v>17301-43660-04-L9EV</v>
      </c>
      <c r="B888" s="162" t="s">
        <v>1118</v>
      </c>
      <c r="D888" s="162" t="s">
        <v>1122</v>
      </c>
      <c r="E888" s="162" t="s">
        <v>1560</v>
      </c>
      <c r="F888" s="171">
        <v>46656</v>
      </c>
      <c r="G888" s="141" t="s">
        <v>17</v>
      </c>
      <c r="H888" s="174">
        <v>4</v>
      </c>
      <c r="I888" s="198" t="s">
        <v>510</v>
      </c>
      <c r="P888" s="155"/>
      <c r="R888" s="146"/>
      <c r="S888" s="147"/>
      <c r="T888" s="148"/>
    </row>
    <row r="889" spans="1:24" hidden="1">
      <c r="A889" s="140" t="str">
        <f t="shared" si="13"/>
        <v>17301-43660-04-L8EV</v>
      </c>
      <c r="B889" s="162" t="s">
        <v>1118</v>
      </c>
      <c r="D889" s="162" t="s">
        <v>1122</v>
      </c>
      <c r="E889" s="162" t="s">
        <v>1560</v>
      </c>
      <c r="F889" s="171">
        <v>46656</v>
      </c>
      <c r="G889" s="141" t="s">
        <v>17</v>
      </c>
      <c r="H889" s="174">
        <v>4</v>
      </c>
      <c r="I889" s="198" t="s">
        <v>531</v>
      </c>
      <c r="P889" s="155"/>
      <c r="R889" s="146"/>
      <c r="S889" s="147"/>
      <c r="T889" s="148"/>
    </row>
    <row r="890" spans="1:24" hidden="1">
      <c r="A890" s="140" t="str">
        <f t="shared" ref="A890:A953" si="14">G890&amp;"-"&amp;TEXT(H890,"00")&amp;"-"&amp;I890</f>
        <v>17301-43660-04-A14I</v>
      </c>
      <c r="B890" s="162" t="s">
        <v>1118</v>
      </c>
      <c r="D890" s="162" t="s">
        <v>1122</v>
      </c>
      <c r="E890" s="162" t="s">
        <v>1560</v>
      </c>
      <c r="F890" s="171">
        <v>46656</v>
      </c>
      <c r="G890" s="141" t="s">
        <v>17</v>
      </c>
      <c r="H890" s="174">
        <v>4</v>
      </c>
      <c r="I890" s="198" t="s">
        <v>505</v>
      </c>
      <c r="R890" s="146"/>
      <c r="T890" s="144"/>
    </row>
    <row r="891" spans="1:24" hidden="1">
      <c r="A891" s="140" t="str">
        <f t="shared" si="14"/>
        <v>17301-43660-05-L5E</v>
      </c>
      <c r="B891" s="162" t="s">
        <v>1118</v>
      </c>
      <c r="D891" s="162" t="s">
        <v>1122</v>
      </c>
      <c r="E891" s="162" t="s">
        <v>1560</v>
      </c>
      <c r="F891" s="171">
        <v>46839</v>
      </c>
      <c r="G891" s="141" t="s">
        <v>17</v>
      </c>
      <c r="H891" s="174">
        <v>5</v>
      </c>
      <c r="I891" s="198" t="s">
        <v>815</v>
      </c>
      <c r="R891" s="146"/>
      <c r="S891" s="146"/>
      <c r="T891" s="146"/>
    </row>
    <row r="892" spans="1:24" hidden="1">
      <c r="A892" s="140" t="str">
        <f t="shared" si="14"/>
        <v>17301-43660-05-A5F</v>
      </c>
      <c r="B892" s="162" t="s">
        <v>1118</v>
      </c>
      <c r="D892" s="162" t="s">
        <v>1122</v>
      </c>
      <c r="E892" s="162" t="s">
        <v>1560</v>
      </c>
      <c r="F892" s="171">
        <v>46839</v>
      </c>
      <c r="G892" s="141" t="s">
        <v>17</v>
      </c>
      <c r="H892" s="174">
        <v>5</v>
      </c>
      <c r="I892" s="198" t="s">
        <v>506</v>
      </c>
      <c r="J892" s="174">
        <v>2859</v>
      </c>
      <c r="K892" s="174">
        <v>3062</v>
      </c>
      <c r="L892" s="149"/>
      <c r="M892" s="185"/>
      <c r="R892" s="146"/>
      <c r="S892" s="146"/>
      <c r="T892" s="146"/>
    </row>
    <row r="893" spans="1:24" hidden="1">
      <c r="A893" s="140" t="str">
        <f t="shared" si="14"/>
        <v>17301-43660-05-A6E</v>
      </c>
      <c r="B893" s="162" t="s">
        <v>1118</v>
      </c>
      <c r="D893" s="162" t="s">
        <v>1122</v>
      </c>
      <c r="E893" s="162" t="s">
        <v>1560</v>
      </c>
      <c r="F893" s="171">
        <v>46839</v>
      </c>
      <c r="G893" s="141" t="s">
        <v>17</v>
      </c>
      <c r="H893" s="174">
        <v>5</v>
      </c>
      <c r="I893" s="198" t="s">
        <v>818</v>
      </c>
      <c r="J893" s="174">
        <v>1</v>
      </c>
      <c r="K893" s="174">
        <v>1</v>
      </c>
      <c r="L893" s="149"/>
      <c r="M893" s="185"/>
      <c r="R893" s="146"/>
      <c r="S893" s="146"/>
      <c r="T893" s="146"/>
    </row>
    <row r="894" spans="1:24" hidden="1">
      <c r="A894" s="140" t="str">
        <f t="shared" si="14"/>
        <v>17301-43660-05-A7G</v>
      </c>
      <c r="B894" s="162" t="s">
        <v>1118</v>
      </c>
      <c r="D894" s="162" t="s">
        <v>1122</v>
      </c>
      <c r="E894" s="162" t="s">
        <v>1560</v>
      </c>
      <c r="F894" s="171">
        <v>46839</v>
      </c>
      <c r="G894" s="141" t="s">
        <v>17</v>
      </c>
      <c r="H894" s="174">
        <v>5</v>
      </c>
      <c r="I894" s="198" t="s">
        <v>508</v>
      </c>
      <c r="J894" s="174">
        <v>2908</v>
      </c>
      <c r="K894" s="174">
        <v>3027</v>
      </c>
      <c r="L894" s="149"/>
      <c r="M894" s="185"/>
      <c r="R894" s="146"/>
      <c r="S894" s="146"/>
      <c r="T894" s="146"/>
    </row>
    <row r="895" spans="1:24" hidden="1">
      <c r="A895" s="140" t="str">
        <f t="shared" si="14"/>
        <v>17301-43660-05-A7F</v>
      </c>
      <c r="B895" s="162" t="s">
        <v>1118</v>
      </c>
      <c r="D895" s="162" t="s">
        <v>1122</v>
      </c>
      <c r="E895" s="162" t="s">
        <v>1560</v>
      </c>
      <c r="F895" s="171">
        <v>46839</v>
      </c>
      <c r="G895" s="141" t="s">
        <v>17</v>
      </c>
      <c r="H895" s="174">
        <v>5</v>
      </c>
      <c r="I895" s="198" t="s">
        <v>507</v>
      </c>
      <c r="J895" s="174">
        <v>987</v>
      </c>
      <c r="K895" s="174">
        <v>1041</v>
      </c>
      <c r="L895" s="149"/>
      <c r="M895" s="185"/>
      <c r="R895" s="146"/>
      <c r="S895" s="146"/>
      <c r="T895" s="146"/>
    </row>
    <row r="896" spans="1:24" hidden="1">
      <c r="A896" s="140" t="str">
        <f t="shared" si="14"/>
        <v>17301-43660-05-A12A</v>
      </c>
      <c r="B896" s="162" t="s">
        <v>1118</v>
      </c>
      <c r="D896" s="162" t="s">
        <v>1122</v>
      </c>
      <c r="E896" s="162" t="s">
        <v>1560</v>
      </c>
      <c r="F896" s="171">
        <v>46839</v>
      </c>
      <c r="G896" s="141" t="s">
        <v>17</v>
      </c>
      <c r="H896" s="174">
        <v>5</v>
      </c>
      <c r="I896" s="211" t="s">
        <v>262</v>
      </c>
      <c r="J896" s="174">
        <v>2490</v>
      </c>
      <c r="K896" s="174">
        <v>2490</v>
      </c>
      <c r="L896" s="149"/>
      <c r="M896" s="185"/>
      <c r="O896" s="156"/>
      <c r="R896" s="146"/>
      <c r="S896" s="146"/>
      <c r="T896" s="146"/>
    </row>
    <row r="897" spans="1:20" hidden="1">
      <c r="A897" s="140" t="str">
        <f t="shared" si="14"/>
        <v>17301-43660-05-A12B</v>
      </c>
      <c r="B897" s="162" t="s">
        <v>1118</v>
      </c>
      <c r="D897" s="162" t="s">
        <v>1122</v>
      </c>
      <c r="E897" s="162" t="s">
        <v>1560</v>
      </c>
      <c r="F897" s="171">
        <v>46839</v>
      </c>
      <c r="G897" s="141" t="s">
        <v>17</v>
      </c>
      <c r="H897" s="174">
        <v>5</v>
      </c>
      <c r="I897" s="211" t="s">
        <v>503</v>
      </c>
      <c r="J897" s="174">
        <v>2336</v>
      </c>
      <c r="K897" s="174">
        <v>2418</v>
      </c>
      <c r="L897" s="149"/>
      <c r="M897" s="185"/>
      <c r="O897" s="156"/>
      <c r="R897" s="146"/>
      <c r="S897" s="146"/>
      <c r="T897" s="146"/>
    </row>
    <row r="898" spans="1:20" hidden="1">
      <c r="A898" s="140" t="str">
        <f t="shared" si="14"/>
        <v>17301-43660-05-F14F</v>
      </c>
      <c r="B898" s="162" t="s">
        <v>1118</v>
      </c>
      <c r="D898" s="162" t="s">
        <v>1122</v>
      </c>
      <c r="E898" s="162" t="s">
        <v>1560</v>
      </c>
      <c r="F898" s="171">
        <v>46839</v>
      </c>
      <c r="G898" s="141" t="s">
        <v>17</v>
      </c>
      <c r="H898" s="174">
        <v>5</v>
      </c>
      <c r="I898" s="198" t="s">
        <v>509</v>
      </c>
      <c r="R898" s="146"/>
      <c r="S898" s="146"/>
      <c r="T898" s="146"/>
    </row>
    <row r="899" spans="1:20" hidden="1">
      <c r="A899" s="140" t="str">
        <f t="shared" si="14"/>
        <v>17301-43660-05-A14FW</v>
      </c>
      <c r="B899" s="162" t="s">
        <v>1118</v>
      </c>
      <c r="D899" s="162" t="s">
        <v>1122</v>
      </c>
      <c r="E899" s="162" t="s">
        <v>1560</v>
      </c>
      <c r="F899" s="171">
        <v>46839</v>
      </c>
      <c r="G899" s="141" t="s">
        <v>17</v>
      </c>
      <c r="H899" s="174">
        <v>5</v>
      </c>
      <c r="I899" s="196" t="s">
        <v>513</v>
      </c>
    </row>
    <row r="900" spans="1:20" hidden="1">
      <c r="A900" s="140" t="str">
        <f t="shared" si="14"/>
        <v>17301-43660-05-L9ER</v>
      </c>
      <c r="B900" s="162" t="s">
        <v>1118</v>
      </c>
      <c r="D900" s="162" t="s">
        <v>1122</v>
      </c>
      <c r="E900" s="162" t="s">
        <v>1560</v>
      </c>
      <c r="F900" s="171">
        <v>46839</v>
      </c>
      <c r="G900" s="141" t="s">
        <v>17</v>
      </c>
      <c r="H900" s="174">
        <v>5</v>
      </c>
      <c r="I900" s="188" t="s">
        <v>532</v>
      </c>
      <c r="R900" s="146"/>
      <c r="S900" s="146"/>
      <c r="T900" s="146"/>
    </row>
    <row r="901" spans="1:20" hidden="1">
      <c r="A901" s="140" t="str">
        <f t="shared" si="14"/>
        <v>17301-43660-05-L9EV</v>
      </c>
      <c r="B901" s="162" t="s">
        <v>1118</v>
      </c>
      <c r="D901" s="162" t="s">
        <v>1122</v>
      </c>
      <c r="E901" s="162" t="s">
        <v>1560</v>
      </c>
      <c r="F901" s="171">
        <v>46839</v>
      </c>
      <c r="G901" s="141" t="s">
        <v>17</v>
      </c>
      <c r="H901" s="174">
        <v>5</v>
      </c>
      <c r="I901" s="198" t="s">
        <v>811</v>
      </c>
      <c r="R901" s="146"/>
      <c r="S901" s="146"/>
      <c r="T901" s="146"/>
    </row>
    <row r="902" spans="1:20" hidden="1">
      <c r="A902" s="140" t="str">
        <f t="shared" si="14"/>
        <v>17301-43660-05-L8EV</v>
      </c>
      <c r="B902" s="162" t="s">
        <v>1118</v>
      </c>
      <c r="D902" s="162" t="s">
        <v>1122</v>
      </c>
      <c r="E902" s="162" t="s">
        <v>1560</v>
      </c>
      <c r="F902" s="171">
        <v>46839</v>
      </c>
      <c r="G902" s="141" t="s">
        <v>17</v>
      </c>
      <c r="H902" s="174">
        <v>5</v>
      </c>
      <c r="I902" s="198" t="s">
        <v>531</v>
      </c>
      <c r="R902" s="146"/>
      <c r="S902" s="146"/>
      <c r="T902" s="146"/>
    </row>
    <row r="903" spans="1:20" hidden="1">
      <c r="A903" s="140" t="str">
        <f t="shared" si="14"/>
        <v>17301-43660-05-A14I</v>
      </c>
      <c r="B903" s="162" t="s">
        <v>1118</v>
      </c>
      <c r="D903" s="162" t="s">
        <v>1122</v>
      </c>
      <c r="E903" s="162" t="s">
        <v>1560</v>
      </c>
      <c r="F903" s="171">
        <v>46839</v>
      </c>
      <c r="G903" s="141" t="s">
        <v>17</v>
      </c>
      <c r="H903" s="174">
        <v>5</v>
      </c>
      <c r="I903" s="198" t="s">
        <v>505</v>
      </c>
      <c r="R903" s="151"/>
      <c r="S903" s="147"/>
      <c r="T903" s="148"/>
    </row>
    <row r="904" spans="1:20" hidden="1">
      <c r="A904" s="140" t="str">
        <f t="shared" si="14"/>
        <v>17301-43660-06-L5E</v>
      </c>
      <c r="B904" s="162" t="s">
        <v>1118</v>
      </c>
      <c r="D904" s="162" t="s">
        <v>1122</v>
      </c>
      <c r="E904" s="162" t="s">
        <v>1560</v>
      </c>
      <c r="F904" s="171">
        <v>47472</v>
      </c>
      <c r="G904" s="141" t="s">
        <v>17</v>
      </c>
      <c r="H904" s="174">
        <v>6</v>
      </c>
      <c r="I904" s="210" t="s">
        <v>843</v>
      </c>
      <c r="J904" s="174">
        <v>5</v>
      </c>
      <c r="K904" s="174">
        <v>5</v>
      </c>
      <c r="L904" s="149"/>
      <c r="M904" s="185"/>
      <c r="O904" s="156"/>
      <c r="P904" s="155"/>
      <c r="R904" s="146"/>
      <c r="S904" s="147"/>
      <c r="T904" s="148"/>
    </row>
    <row r="905" spans="1:20" hidden="1">
      <c r="A905" s="140" t="str">
        <f t="shared" si="14"/>
        <v>17301-43660-06-A5F</v>
      </c>
      <c r="B905" s="162" t="s">
        <v>1118</v>
      </c>
      <c r="D905" s="162" t="s">
        <v>1122</v>
      </c>
      <c r="E905" s="162" t="s">
        <v>1560</v>
      </c>
      <c r="F905" s="171">
        <v>47472</v>
      </c>
      <c r="G905" s="141" t="s">
        <v>17</v>
      </c>
      <c r="H905" s="174">
        <v>6</v>
      </c>
      <c r="I905" s="190" t="s">
        <v>803</v>
      </c>
      <c r="P905" s="155"/>
      <c r="R905" s="146"/>
      <c r="S905" s="147"/>
      <c r="T905" s="148"/>
    </row>
    <row r="906" spans="1:20" hidden="1">
      <c r="A906" s="140" t="str">
        <f t="shared" si="14"/>
        <v>17301-43660-06-A6E</v>
      </c>
      <c r="B906" s="162" t="s">
        <v>1118</v>
      </c>
      <c r="D906" s="162" t="s">
        <v>1122</v>
      </c>
      <c r="E906" s="162" t="s">
        <v>1560</v>
      </c>
      <c r="F906" s="171">
        <v>47472</v>
      </c>
      <c r="G906" s="141" t="s">
        <v>535</v>
      </c>
      <c r="H906" s="174">
        <v>6</v>
      </c>
      <c r="I906" s="186" t="s">
        <v>403</v>
      </c>
      <c r="J906" s="174">
        <v>7</v>
      </c>
      <c r="K906" s="174">
        <v>7</v>
      </c>
      <c r="L906" s="149"/>
      <c r="M906" s="185"/>
      <c r="P906" s="155"/>
      <c r="R906" s="146"/>
      <c r="S906" s="147"/>
      <c r="T906" s="148"/>
    </row>
    <row r="907" spans="1:20" hidden="1">
      <c r="A907" s="140" t="str">
        <f t="shared" si="14"/>
        <v>17301-43660-06-A7G</v>
      </c>
      <c r="B907" s="162" t="s">
        <v>1118</v>
      </c>
      <c r="D907" s="162" t="s">
        <v>1122</v>
      </c>
      <c r="E907" s="162" t="s">
        <v>1560</v>
      </c>
      <c r="F907" s="171">
        <v>47472</v>
      </c>
      <c r="G907" s="141" t="s">
        <v>535</v>
      </c>
      <c r="H907" s="174">
        <v>6</v>
      </c>
      <c r="I907" s="190" t="s">
        <v>497</v>
      </c>
      <c r="S907" s="147"/>
      <c r="T907" s="148"/>
    </row>
    <row r="908" spans="1:20" hidden="1">
      <c r="A908" s="140" t="str">
        <f t="shared" si="14"/>
        <v>17301-43660-06-A7F</v>
      </c>
      <c r="B908" s="162" t="s">
        <v>1118</v>
      </c>
      <c r="D908" s="162" t="s">
        <v>1122</v>
      </c>
      <c r="E908" s="162" t="s">
        <v>1560</v>
      </c>
      <c r="F908" s="171">
        <v>47472</v>
      </c>
      <c r="G908" s="141" t="s">
        <v>535</v>
      </c>
      <c r="H908" s="174">
        <v>6</v>
      </c>
      <c r="I908" s="190" t="s">
        <v>804</v>
      </c>
      <c r="R908" s="141"/>
      <c r="S908" s="147"/>
      <c r="T908" s="148"/>
    </row>
    <row r="909" spans="1:20" hidden="1">
      <c r="A909" s="140" t="str">
        <f t="shared" si="14"/>
        <v>17301-43660-06-A12A</v>
      </c>
      <c r="B909" s="162" t="s">
        <v>1118</v>
      </c>
      <c r="D909" s="162" t="s">
        <v>1122</v>
      </c>
      <c r="E909" s="162" t="s">
        <v>1560</v>
      </c>
      <c r="F909" s="171">
        <v>47472</v>
      </c>
      <c r="G909" s="141" t="s">
        <v>535</v>
      </c>
      <c r="H909" s="174">
        <v>6</v>
      </c>
      <c r="I909" s="186" t="s">
        <v>27</v>
      </c>
      <c r="R909" s="151"/>
      <c r="S909" s="147"/>
      <c r="T909" s="148"/>
    </row>
    <row r="910" spans="1:20" hidden="1">
      <c r="A910" s="140" t="str">
        <f t="shared" si="14"/>
        <v>17301-43660-06-A12B</v>
      </c>
      <c r="B910" s="162" t="s">
        <v>1118</v>
      </c>
      <c r="D910" s="162" t="s">
        <v>1122</v>
      </c>
      <c r="E910" s="162" t="s">
        <v>1560</v>
      </c>
      <c r="F910" s="171">
        <v>47472</v>
      </c>
      <c r="G910" s="141" t="s">
        <v>535</v>
      </c>
      <c r="H910" s="174">
        <v>6</v>
      </c>
      <c r="I910" s="186" t="s">
        <v>844</v>
      </c>
      <c r="R910" s="151"/>
      <c r="S910" s="147"/>
      <c r="T910" s="148"/>
    </row>
    <row r="911" spans="1:20" hidden="1">
      <c r="A911" s="140" t="str">
        <f t="shared" si="14"/>
        <v>17301-43660-06-F14F</v>
      </c>
      <c r="B911" s="162" t="s">
        <v>1118</v>
      </c>
      <c r="D911" s="162" t="s">
        <v>1122</v>
      </c>
      <c r="E911" s="162" t="s">
        <v>1560</v>
      </c>
      <c r="F911" s="171">
        <v>47472</v>
      </c>
      <c r="G911" s="141" t="s">
        <v>535</v>
      </c>
      <c r="H911" s="174">
        <v>6</v>
      </c>
      <c r="I911" s="186" t="s">
        <v>185</v>
      </c>
      <c r="R911" s="151"/>
      <c r="S911" s="147"/>
      <c r="T911" s="148"/>
    </row>
    <row r="912" spans="1:20" hidden="1">
      <c r="A912" s="140" t="str">
        <f t="shared" si="14"/>
        <v>17301-43660-06-A9F</v>
      </c>
      <c r="B912" s="162" t="s">
        <v>1118</v>
      </c>
      <c r="D912" s="162" t="s">
        <v>1122</v>
      </c>
      <c r="E912" s="162" t="s">
        <v>1560</v>
      </c>
      <c r="F912" s="171">
        <v>47472</v>
      </c>
      <c r="G912" s="141" t="s">
        <v>535</v>
      </c>
      <c r="H912" s="174">
        <v>6</v>
      </c>
      <c r="I912" s="186" t="s">
        <v>863</v>
      </c>
      <c r="R912" s="151"/>
      <c r="S912" s="147"/>
      <c r="T912" s="148"/>
    </row>
    <row r="913" spans="1:20" hidden="1">
      <c r="A913" s="140" t="str">
        <f t="shared" si="14"/>
        <v>17301-43660-06-A14FW</v>
      </c>
      <c r="B913" s="162" t="s">
        <v>1118</v>
      </c>
      <c r="D913" s="162" t="s">
        <v>1122</v>
      </c>
      <c r="E913" s="162" t="s">
        <v>1560</v>
      </c>
      <c r="F913" s="171">
        <v>47472</v>
      </c>
      <c r="G913" s="141" t="s">
        <v>535</v>
      </c>
      <c r="H913" s="174">
        <v>6</v>
      </c>
      <c r="I913" s="186" t="s">
        <v>52</v>
      </c>
      <c r="R913" s="151"/>
      <c r="S913" s="147"/>
      <c r="T913" s="148"/>
    </row>
    <row r="914" spans="1:20" hidden="1">
      <c r="A914" s="140" t="str">
        <f t="shared" si="14"/>
        <v>17301-43660-06-L9ER</v>
      </c>
      <c r="B914" s="162" t="s">
        <v>1118</v>
      </c>
      <c r="D914" s="162" t="s">
        <v>1122</v>
      </c>
      <c r="E914" s="162" t="s">
        <v>1560</v>
      </c>
      <c r="F914" s="171">
        <v>47472</v>
      </c>
      <c r="G914" s="141" t="s">
        <v>535</v>
      </c>
      <c r="H914" s="174">
        <v>6</v>
      </c>
      <c r="I914" s="188" t="s">
        <v>532</v>
      </c>
      <c r="J914" s="174">
        <v>816</v>
      </c>
      <c r="K914" s="174">
        <v>816</v>
      </c>
      <c r="L914" s="149"/>
      <c r="M914" s="185"/>
      <c r="O914" s="156"/>
      <c r="R914" s="151"/>
      <c r="S914" s="147"/>
      <c r="T914" s="148"/>
    </row>
    <row r="915" spans="1:20" hidden="1">
      <c r="A915" s="140" t="str">
        <f t="shared" si="14"/>
        <v>17301-43660-06-L9EV</v>
      </c>
      <c r="B915" s="162" t="s">
        <v>1118</v>
      </c>
      <c r="D915" s="162" t="s">
        <v>1122</v>
      </c>
      <c r="E915" s="162" t="s">
        <v>1560</v>
      </c>
      <c r="F915" s="171">
        <v>47472</v>
      </c>
      <c r="G915" s="141" t="s">
        <v>535</v>
      </c>
      <c r="H915" s="174">
        <v>6</v>
      </c>
      <c r="I915" s="210" t="s">
        <v>537</v>
      </c>
      <c r="J915" s="174">
        <v>1159</v>
      </c>
      <c r="K915" s="174">
        <v>1159</v>
      </c>
      <c r="L915" s="149"/>
      <c r="M915" s="185"/>
      <c r="O915" s="156"/>
      <c r="R915" s="151"/>
      <c r="S915" s="147"/>
      <c r="T915" s="148"/>
    </row>
    <row r="916" spans="1:20" hidden="1">
      <c r="A916" s="140" t="str">
        <f t="shared" si="14"/>
        <v>17301-43660-06-L8EV</v>
      </c>
      <c r="B916" s="162" t="s">
        <v>1118</v>
      </c>
      <c r="D916" s="162" t="s">
        <v>1122</v>
      </c>
      <c r="E916" s="162" t="s">
        <v>1560</v>
      </c>
      <c r="F916" s="171">
        <v>47472</v>
      </c>
      <c r="G916" s="141" t="s">
        <v>535</v>
      </c>
      <c r="H916" s="174">
        <v>6</v>
      </c>
      <c r="I916" s="214" t="s">
        <v>531</v>
      </c>
      <c r="J916" s="174">
        <v>1291</v>
      </c>
      <c r="K916" s="174">
        <v>1291</v>
      </c>
      <c r="L916" s="149"/>
      <c r="M916" s="185"/>
      <c r="O916" s="156"/>
      <c r="R916" s="151"/>
      <c r="S916" s="147"/>
      <c r="T916" s="148"/>
    </row>
    <row r="917" spans="1:20" ht="14.25" hidden="1" thickBot="1">
      <c r="A917" s="140" t="str">
        <f t="shared" si="14"/>
        <v>17301-43660-06-A14I</v>
      </c>
      <c r="B917" s="162" t="s">
        <v>1118</v>
      </c>
      <c r="D917" s="162" t="s">
        <v>1122</v>
      </c>
      <c r="E917" s="162" t="s">
        <v>1560</v>
      </c>
      <c r="F917" s="171">
        <v>47472</v>
      </c>
      <c r="G917" s="141" t="s">
        <v>535</v>
      </c>
      <c r="H917" s="174">
        <v>6</v>
      </c>
      <c r="I917" s="203" t="s">
        <v>493</v>
      </c>
      <c r="R917" s="151"/>
      <c r="S917" s="147"/>
      <c r="T917" s="148"/>
    </row>
    <row r="918" spans="1:20" hidden="1">
      <c r="A918" s="140" t="str">
        <f t="shared" si="14"/>
        <v>17301-43661-01-L8EV</v>
      </c>
      <c r="B918" s="162" t="s">
        <v>1118</v>
      </c>
      <c r="D918" s="162" t="s">
        <v>1122</v>
      </c>
      <c r="E918" s="162" t="s">
        <v>1561</v>
      </c>
      <c r="F918" s="171">
        <v>45171</v>
      </c>
      <c r="G918" s="141" t="s">
        <v>534</v>
      </c>
      <c r="H918" s="174">
        <v>1</v>
      </c>
      <c r="I918" s="188" t="s">
        <v>531</v>
      </c>
      <c r="J918" s="174">
        <v>3</v>
      </c>
      <c r="O918" s="156"/>
      <c r="P918" s="155"/>
      <c r="Q918" s="150"/>
      <c r="R918" s="146"/>
      <c r="S918" s="147"/>
      <c r="T918" s="148"/>
    </row>
    <row r="919" spans="1:20" hidden="1">
      <c r="A919" s="140" t="str">
        <f t="shared" si="14"/>
        <v>17301-43661-01-L9ER</v>
      </c>
      <c r="B919" s="162" t="s">
        <v>1118</v>
      </c>
      <c r="D919" s="162" t="s">
        <v>1122</v>
      </c>
      <c r="E919" s="162" t="s">
        <v>1561</v>
      </c>
      <c r="F919" s="171">
        <v>45171</v>
      </c>
      <c r="G919" s="141" t="s">
        <v>534</v>
      </c>
      <c r="H919" s="174">
        <v>1</v>
      </c>
      <c r="I919" s="188" t="s">
        <v>532</v>
      </c>
      <c r="J919" s="174">
        <v>2</v>
      </c>
      <c r="O919" s="156"/>
      <c r="P919" s="155"/>
      <c r="Q919" s="150"/>
      <c r="R919" s="146"/>
      <c r="S919" s="147"/>
      <c r="T919" s="148"/>
    </row>
    <row r="920" spans="1:20" hidden="1">
      <c r="A920" s="140" t="str">
        <f t="shared" si="14"/>
        <v>17301-43661-01-L9EV</v>
      </c>
      <c r="B920" s="162" t="s">
        <v>1118</v>
      </c>
      <c r="D920" s="162" t="s">
        <v>1122</v>
      </c>
      <c r="E920" s="162" t="s">
        <v>1561</v>
      </c>
      <c r="F920" s="171">
        <v>45171</v>
      </c>
      <c r="G920" s="141" t="s">
        <v>534</v>
      </c>
      <c r="H920" s="174">
        <v>1</v>
      </c>
      <c r="I920" s="188" t="s">
        <v>510</v>
      </c>
      <c r="J920" s="174" t="s">
        <v>512</v>
      </c>
      <c r="O920" s="156"/>
      <c r="P920" s="155"/>
      <c r="Q920" s="150"/>
      <c r="R920" s="146"/>
      <c r="S920" s="147"/>
      <c r="T920" s="148"/>
    </row>
    <row r="921" spans="1:20" hidden="1">
      <c r="A921" s="140" t="str">
        <f t="shared" si="14"/>
        <v>17301-43661-02-L8EV</v>
      </c>
      <c r="B921" s="162" t="s">
        <v>1118</v>
      </c>
      <c r="D921" s="162" t="s">
        <v>1122</v>
      </c>
      <c r="E921" s="162" t="s">
        <v>1561</v>
      </c>
      <c r="F921" s="171">
        <v>45521</v>
      </c>
      <c r="G921" s="141" t="s">
        <v>534</v>
      </c>
      <c r="H921" s="174">
        <v>2</v>
      </c>
      <c r="I921" s="188" t="s">
        <v>531</v>
      </c>
      <c r="O921" s="156"/>
      <c r="P921" s="155"/>
      <c r="Q921" s="150"/>
      <c r="R921" s="157"/>
      <c r="S921" s="147"/>
      <c r="T921" s="148"/>
    </row>
    <row r="922" spans="1:20" hidden="1">
      <c r="A922" s="140" t="str">
        <f t="shared" si="14"/>
        <v>17301-43661-02-L9ER</v>
      </c>
      <c r="B922" s="162" t="s">
        <v>1118</v>
      </c>
      <c r="D922" s="162" t="s">
        <v>1122</v>
      </c>
      <c r="E922" s="162" t="s">
        <v>1561</v>
      </c>
      <c r="F922" s="171">
        <v>45521</v>
      </c>
      <c r="G922" s="141" t="s">
        <v>534</v>
      </c>
      <c r="H922" s="174">
        <v>2</v>
      </c>
      <c r="I922" s="188" t="s">
        <v>532</v>
      </c>
      <c r="O922" s="156"/>
      <c r="P922" s="155"/>
      <c r="Q922" s="150"/>
      <c r="R922" s="157"/>
      <c r="S922" s="147"/>
      <c r="T922" s="148"/>
    </row>
    <row r="923" spans="1:20" hidden="1">
      <c r="A923" s="140" t="str">
        <f t="shared" si="14"/>
        <v>17301-43661-02-L9EV</v>
      </c>
      <c r="B923" s="162" t="s">
        <v>1118</v>
      </c>
      <c r="D923" s="162" t="s">
        <v>1122</v>
      </c>
      <c r="E923" s="162" t="s">
        <v>1561</v>
      </c>
      <c r="F923" s="171">
        <v>45521</v>
      </c>
      <c r="G923" s="141" t="s">
        <v>534</v>
      </c>
      <c r="H923" s="174">
        <v>2</v>
      </c>
      <c r="I923" s="188" t="s">
        <v>510</v>
      </c>
      <c r="O923" s="156"/>
      <c r="P923" s="155"/>
      <c r="T923" s="148"/>
    </row>
    <row r="924" spans="1:20" hidden="1">
      <c r="A924" s="140" t="str">
        <f t="shared" si="14"/>
        <v>17301-43661-04-A14H</v>
      </c>
      <c r="B924" s="162" t="s">
        <v>1118</v>
      </c>
      <c r="D924" s="162" t="s">
        <v>1122</v>
      </c>
      <c r="E924" s="162" t="s">
        <v>1561</v>
      </c>
      <c r="F924" s="171">
        <v>46538</v>
      </c>
      <c r="G924" s="141" t="s">
        <v>18</v>
      </c>
      <c r="H924" s="174">
        <v>4</v>
      </c>
      <c r="I924" s="205" t="s">
        <v>511</v>
      </c>
      <c r="P924" s="155"/>
    </row>
    <row r="925" spans="1:20" hidden="1">
      <c r="A925" s="140" t="str">
        <f t="shared" si="14"/>
        <v>17301-43661-04-A12B</v>
      </c>
      <c r="B925" s="162" t="s">
        <v>1118</v>
      </c>
      <c r="D925" s="162" t="s">
        <v>1122</v>
      </c>
      <c r="E925" s="162" t="s">
        <v>1561</v>
      </c>
      <c r="F925" s="171">
        <v>46538</v>
      </c>
      <c r="G925" s="141" t="s">
        <v>18</v>
      </c>
      <c r="H925" s="174">
        <v>4</v>
      </c>
      <c r="I925" s="205" t="s">
        <v>503</v>
      </c>
      <c r="J925" s="174">
        <v>2352</v>
      </c>
      <c r="K925" s="174">
        <v>2352</v>
      </c>
      <c r="L925" s="149"/>
      <c r="M925" s="185"/>
      <c r="P925" s="155"/>
      <c r="R925" s="151"/>
      <c r="S925" s="147"/>
      <c r="T925" s="148"/>
    </row>
    <row r="926" spans="1:20" hidden="1">
      <c r="A926" s="140" t="str">
        <f t="shared" si="14"/>
        <v>17301-43661-04-A12A</v>
      </c>
      <c r="B926" s="162" t="s">
        <v>1118</v>
      </c>
      <c r="D926" s="162" t="s">
        <v>1122</v>
      </c>
      <c r="E926" s="162" t="s">
        <v>1561</v>
      </c>
      <c r="F926" s="171">
        <v>46538</v>
      </c>
      <c r="G926" s="141" t="s">
        <v>18</v>
      </c>
      <c r="H926" s="174">
        <v>4</v>
      </c>
      <c r="I926" s="189" t="s">
        <v>262</v>
      </c>
      <c r="J926" s="174">
        <v>2386</v>
      </c>
      <c r="K926" s="174">
        <v>2386</v>
      </c>
      <c r="L926" s="149"/>
      <c r="M926" s="185"/>
      <c r="P926" s="155"/>
      <c r="R926" s="151"/>
      <c r="S926" s="147"/>
      <c r="T926" s="148"/>
    </row>
    <row r="927" spans="1:20" hidden="1">
      <c r="A927" s="140" t="str">
        <f t="shared" si="14"/>
        <v>17301-43661-04-A14FW</v>
      </c>
      <c r="B927" s="162" t="s">
        <v>1118</v>
      </c>
      <c r="D927" s="162" t="s">
        <v>1122</v>
      </c>
      <c r="E927" s="162" t="s">
        <v>1561</v>
      </c>
      <c r="F927" s="171">
        <v>46538</v>
      </c>
      <c r="G927" s="141" t="s">
        <v>18</v>
      </c>
      <c r="H927" s="174">
        <v>4</v>
      </c>
      <c r="I927" s="205" t="s">
        <v>513</v>
      </c>
      <c r="P927" s="155"/>
      <c r="R927" s="151"/>
      <c r="S927" s="147"/>
      <c r="T927" s="148"/>
    </row>
    <row r="928" spans="1:20" hidden="1">
      <c r="A928" s="140" t="str">
        <f t="shared" si="14"/>
        <v>17301-43661-04-L9ER</v>
      </c>
      <c r="B928" s="162" t="s">
        <v>1118</v>
      </c>
      <c r="D928" s="162" t="s">
        <v>1122</v>
      </c>
      <c r="E928" s="162" t="s">
        <v>1561</v>
      </c>
      <c r="F928" s="171">
        <v>46538</v>
      </c>
      <c r="G928" s="141" t="s">
        <v>18</v>
      </c>
      <c r="H928" s="174">
        <v>4</v>
      </c>
      <c r="I928" s="188" t="s">
        <v>532</v>
      </c>
      <c r="P928" s="155"/>
    </row>
    <row r="929" spans="1:20" hidden="1">
      <c r="A929" s="140" t="str">
        <f t="shared" si="14"/>
        <v>17301-43661-04-L9EV</v>
      </c>
      <c r="B929" s="162" t="s">
        <v>1118</v>
      </c>
      <c r="D929" s="162" t="s">
        <v>1122</v>
      </c>
      <c r="E929" s="162" t="s">
        <v>1561</v>
      </c>
      <c r="F929" s="171">
        <v>46538</v>
      </c>
      <c r="G929" s="141" t="s">
        <v>18</v>
      </c>
      <c r="H929" s="174">
        <v>4</v>
      </c>
      <c r="I929" s="189" t="s">
        <v>510</v>
      </c>
      <c r="P929" s="155"/>
      <c r="R929" s="146"/>
      <c r="S929" s="147"/>
      <c r="T929" s="148"/>
    </row>
    <row r="930" spans="1:20" hidden="1">
      <c r="A930" s="140" t="str">
        <f t="shared" si="14"/>
        <v>17301-43661-04-L5E</v>
      </c>
      <c r="B930" s="162" t="s">
        <v>1118</v>
      </c>
      <c r="D930" s="162" t="s">
        <v>1122</v>
      </c>
      <c r="E930" s="162" t="s">
        <v>1561</v>
      </c>
      <c r="F930" s="171">
        <v>46538</v>
      </c>
      <c r="G930" s="141" t="s">
        <v>18</v>
      </c>
      <c r="H930" s="174">
        <v>4</v>
      </c>
      <c r="I930" s="205" t="s">
        <v>816</v>
      </c>
      <c r="P930" s="155"/>
      <c r="R930" s="151"/>
      <c r="S930" s="147"/>
      <c r="T930" s="148"/>
    </row>
    <row r="931" spans="1:20" hidden="1">
      <c r="A931" s="140" t="str">
        <f t="shared" si="14"/>
        <v>17301-43661-04-L8EV</v>
      </c>
      <c r="B931" s="162" t="s">
        <v>1118</v>
      </c>
      <c r="D931" s="162" t="s">
        <v>1122</v>
      </c>
      <c r="E931" s="162" t="s">
        <v>1561</v>
      </c>
      <c r="F931" s="171">
        <v>46538</v>
      </c>
      <c r="G931" s="141" t="s">
        <v>18</v>
      </c>
      <c r="H931" s="174">
        <v>4</v>
      </c>
      <c r="I931" s="189" t="s">
        <v>531</v>
      </c>
      <c r="P931" s="155"/>
      <c r="R931" s="151"/>
      <c r="S931" s="147"/>
      <c r="T931" s="148"/>
    </row>
    <row r="932" spans="1:20" hidden="1">
      <c r="A932" s="140" t="str">
        <f t="shared" si="14"/>
        <v>17301-43661-04-L8EV2</v>
      </c>
      <c r="B932" s="162" t="s">
        <v>1118</v>
      </c>
      <c r="D932" s="162" t="s">
        <v>1122</v>
      </c>
      <c r="E932" s="162" t="s">
        <v>1561</v>
      </c>
      <c r="F932" s="171">
        <v>46538</v>
      </c>
      <c r="G932" s="141" t="s">
        <v>18</v>
      </c>
      <c r="H932" s="174">
        <v>4</v>
      </c>
      <c r="I932" s="189" t="s">
        <v>539</v>
      </c>
      <c r="P932" s="155"/>
      <c r="R932" s="151"/>
      <c r="S932" s="147"/>
      <c r="T932" s="148"/>
    </row>
    <row r="933" spans="1:20" hidden="1">
      <c r="A933" s="140" t="str">
        <f t="shared" si="14"/>
        <v>17301-43661-04-A14I</v>
      </c>
      <c r="B933" s="162" t="s">
        <v>1118</v>
      </c>
      <c r="D933" s="162" t="s">
        <v>1122</v>
      </c>
      <c r="E933" s="162" t="s">
        <v>1561</v>
      </c>
      <c r="F933" s="171">
        <v>46538</v>
      </c>
      <c r="G933" s="141" t="s">
        <v>18</v>
      </c>
      <c r="H933" s="174">
        <v>4</v>
      </c>
      <c r="I933" s="189" t="s">
        <v>505</v>
      </c>
      <c r="P933" s="155"/>
      <c r="R933" s="151"/>
      <c r="S933" s="147"/>
      <c r="T933" s="148"/>
    </row>
    <row r="934" spans="1:20" hidden="1">
      <c r="A934" s="140" t="str">
        <f t="shared" si="14"/>
        <v>17301-43661-05-A14H</v>
      </c>
      <c r="B934" s="162" t="s">
        <v>1118</v>
      </c>
      <c r="D934" s="162" t="s">
        <v>1122</v>
      </c>
      <c r="E934" s="162" t="s">
        <v>1561</v>
      </c>
      <c r="F934" s="171">
        <v>46839</v>
      </c>
      <c r="G934" s="141" t="s">
        <v>18</v>
      </c>
      <c r="H934" s="174">
        <v>5</v>
      </c>
      <c r="I934" s="198" t="s">
        <v>511</v>
      </c>
      <c r="R934" s="146"/>
      <c r="S934" s="146"/>
      <c r="T934" s="146"/>
    </row>
    <row r="935" spans="1:20" hidden="1">
      <c r="A935" s="140" t="str">
        <f t="shared" si="14"/>
        <v>17301-43661-05-A12B</v>
      </c>
      <c r="B935" s="162" t="s">
        <v>1118</v>
      </c>
      <c r="D935" s="162" t="s">
        <v>1122</v>
      </c>
      <c r="E935" s="162" t="s">
        <v>1561</v>
      </c>
      <c r="F935" s="171">
        <v>46839</v>
      </c>
      <c r="G935" s="141" t="s">
        <v>18</v>
      </c>
      <c r="H935" s="174">
        <v>5</v>
      </c>
      <c r="I935" s="211" t="s">
        <v>503</v>
      </c>
      <c r="J935" s="174">
        <v>2336</v>
      </c>
      <c r="K935" s="174">
        <v>2418</v>
      </c>
      <c r="L935" s="149"/>
      <c r="M935" s="185"/>
      <c r="O935" s="156"/>
      <c r="R935" s="146"/>
      <c r="S935" s="146"/>
      <c r="T935" s="146"/>
    </row>
    <row r="936" spans="1:20" hidden="1">
      <c r="A936" s="140" t="str">
        <f t="shared" si="14"/>
        <v>17301-43661-05-A12A</v>
      </c>
      <c r="B936" s="162" t="s">
        <v>1118</v>
      </c>
      <c r="D936" s="162" t="s">
        <v>1122</v>
      </c>
      <c r="E936" s="162" t="s">
        <v>1561</v>
      </c>
      <c r="F936" s="171">
        <v>46839</v>
      </c>
      <c r="G936" s="141" t="s">
        <v>18</v>
      </c>
      <c r="H936" s="174">
        <v>5</v>
      </c>
      <c r="I936" s="211" t="s">
        <v>262</v>
      </c>
      <c r="J936" s="174">
        <v>2490</v>
      </c>
      <c r="K936" s="174">
        <v>2490</v>
      </c>
      <c r="L936" s="149"/>
      <c r="M936" s="185"/>
      <c r="O936" s="156"/>
      <c r="R936" s="146"/>
      <c r="S936" s="146"/>
      <c r="T936" s="146"/>
    </row>
    <row r="937" spans="1:20" hidden="1">
      <c r="A937" s="140" t="str">
        <f t="shared" si="14"/>
        <v>17301-43661-05-A14FW</v>
      </c>
      <c r="B937" s="162" t="s">
        <v>1118</v>
      </c>
      <c r="D937" s="162" t="s">
        <v>1122</v>
      </c>
      <c r="E937" s="162" t="s">
        <v>1561</v>
      </c>
      <c r="F937" s="171">
        <v>46839</v>
      </c>
      <c r="G937" s="141" t="s">
        <v>18</v>
      </c>
      <c r="H937" s="174">
        <v>5</v>
      </c>
      <c r="I937" s="196" t="s">
        <v>513</v>
      </c>
      <c r="R937" s="146"/>
      <c r="S937" s="146"/>
      <c r="T937" s="146"/>
    </row>
    <row r="938" spans="1:20" hidden="1">
      <c r="A938" s="140" t="str">
        <f t="shared" si="14"/>
        <v>17301-43661-05-L9ER</v>
      </c>
      <c r="B938" s="162" t="s">
        <v>1118</v>
      </c>
      <c r="D938" s="162" t="s">
        <v>1122</v>
      </c>
      <c r="E938" s="162" t="s">
        <v>1561</v>
      </c>
      <c r="F938" s="171">
        <v>46839</v>
      </c>
      <c r="G938" s="141" t="s">
        <v>18</v>
      </c>
      <c r="H938" s="174">
        <v>5</v>
      </c>
      <c r="I938" s="188" t="s">
        <v>532</v>
      </c>
      <c r="R938" s="146"/>
      <c r="S938" s="146"/>
      <c r="T938" s="146"/>
    </row>
    <row r="939" spans="1:20" hidden="1">
      <c r="A939" s="140" t="str">
        <f t="shared" si="14"/>
        <v>17301-43661-05-L9EV</v>
      </c>
      <c r="B939" s="162" t="s">
        <v>1118</v>
      </c>
      <c r="D939" s="162" t="s">
        <v>1122</v>
      </c>
      <c r="E939" s="162" t="s">
        <v>1561</v>
      </c>
      <c r="F939" s="171">
        <v>46839</v>
      </c>
      <c r="G939" s="141" t="s">
        <v>18</v>
      </c>
      <c r="H939" s="174">
        <v>5</v>
      </c>
      <c r="I939" s="198" t="s">
        <v>811</v>
      </c>
      <c r="R939" s="146"/>
      <c r="S939" s="146"/>
      <c r="T939" s="146"/>
    </row>
    <row r="940" spans="1:20" hidden="1">
      <c r="A940" s="140" t="str">
        <f t="shared" si="14"/>
        <v>17301-43661-05-L5E</v>
      </c>
      <c r="B940" s="162" t="s">
        <v>1118</v>
      </c>
      <c r="D940" s="162" t="s">
        <v>1122</v>
      </c>
      <c r="E940" s="162" t="s">
        <v>1561</v>
      </c>
      <c r="F940" s="171">
        <v>46839</v>
      </c>
      <c r="G940" s="141" t="s">
        <v>534</v>
      </c>
      <c r="H940" s="174">
        <v>5</v>
      </c>
      <c r="I940" s="198" t="s">
        <v>815</v>
      </c>
      <c r="R940" s="146"/>
      <c r="S940" s="146"/>
      <c r="T940" s="146"/>
    </row>
    <row r="941" spans="1:20" hidden="1">
      <c r="A941" s="140" t="str">
        <f t="shared" si="14"/>
        <v>17301-43661-05-L8EV</v>
      </c>
      <c r="B941" s="162" t="s">
        <v>1118</v>
      </c>
      <c r="D941" s="162" t="s">
        <v>1122</v>
      </c>
      <c r="E941" s="162" t="s">
        <v>1561</v>
      </c>
      <c r="F941" s="171">
        <v>46839</v>
      </c>
      <c r="G941" s="141" t="s">
        <v>534</v>
      </c>
      <c r="H941" s="174">
        <v>5</v>
      </c>
      <c r="I941" s="196" t="s">
        <v>531</v>
      </c>
      <c r="T941" s="144"/>
    </row>
    <row r="942" spans="1:20" hidden="1">
      <c r="A942" s="140" t="str">
        <f t="shared" si="14"/>
        <v>17301-43661-05-L8EV2</v>
      </c>
      <c r="B942" s="162" t="s">
        <v>1118</v>
      </c>
      <c r="D942" s="162" t="s">
        <v>1122</v>
      </c>
      <c r="E942" s="162" t="s">
        <v>1561</v>
      </c>
      <c r="F942" s="171">
        <v>46839</v>
      </c>
      <c r="G942" s="141" t="s">
        <v>534</v>
      </c>
      <c r="H942" s="174">
        <v>5</v>
      </c>
      <c r="I942" s="198" t="s">
        <v>539</v>
      </c>
      <c r="R942" s="151"/>
      <c r="S942" s="147"/>
      <c r="T942" s="148"/>
    </row>
    <row r="943" spans="1:20" hidden="1">
      <c r="A943" s="140" t="str">
        <f t="shared" si="14"/>
        <v>17301-43661-05-A14I</v>
      </c>
      <c r="B943" s="162" t="s">
        <v>1118</v>
      </c>
      <c r="D943" s="162" t="s">
        <v>1122</v>
      </c>
      <c r="E943" s="162" t="s">
        <v>1561</v>
      </c>
      <c r="F943" s="171">
        <v>46839</v>
      </c>
      <c r="G943" s="141" t="s">
        <v>534</v>
      </c>
      <c r="H943" s="174">
        <v>5</v>
      </c>
      <c r="I943" s="198" t="s">
        <v>505</v>
      </c>
      <c r="R943" s="151"/>
      <c r="S943" s="147"/>
      <c r="T943" s="148"/>
    </row>
    <row r="944" spans="1:20" hidden="1">
      <c r="A944" s="140" t="str">
        <f t="shared" si="14"/>
        <v>17301-43661-06-A14H</v>
      </c>
      <c r="B944" s="162" t="s">
        <v>1118</v>
      </c>
      <c r="D944" s="162" t="s">
        <v>1122</v>
      </c>
      <c r="E944" s="162" t="s">
        <v>1561</v>
      </c>
      <c r="F944" s="171">
        <v>47472</v>
      </c>
      <c r="G944" s="141" t="s">
        <v>18</v>
      </c>
      <c r="H944" s="174">
        <v>6</v>
      </c>
      <c r="I944" s="186" t="s">
        <v>845</v>
      </c>
      <c r="R944" s="151"/>
      <c r="S944" s="147"/>
      <c r="T944" s="148"/>
    </row>
    <row r="945" spans="1:20" ht="14.25" hidden="1" thickBot="1">
      <c r="A945" s="140" t="str">
        <f t="shared" si="14"/>
        <v>17301-43661-06-A14I</v>
      </c>
      <c r="B945" s="162" t="s">
        <v>1118</v>
      </c>
      <c r="D945" s="162" t="s">
        <v>1122</v>
      </c>
      <c r="E945" s="162" t="s">
        <v>1561</v>
      </c>
      <c r="F945" s="171">
        <v>47472</v>
      </c>
      <c r="G945" s="141" t="s">
        <v>18</v>
      </c>
      <c r="H945" s="174">
        <v>6</v>
      </c>
      <c r="I945" s="203" t="s">
        <v>493</v>
      </c>
      <c r="S945" s="147"/>
      <c r="T945" s="148"/>
    </row>
    <row r="946" spans="1:20" hidden="1">
      <c r="A946" s="140" t="str">
        <f t="shared" si="14"/>
        <v>17301-43661-06-L5E</v>
      </c>
      <c r="B946" s="162" t="s">
        <v>1118</v>
      </c>
      <c r="D946" s="162" t="s">
        <v>1122</v>
      </c>
      <c r="E946" s="162" t="s">
        <v>1561</v>
      </c>
      <c r="F946" s="171">
        <v>47472</v>
      </c>
      <c r="G946" s="141" t="s">
        <v>534</v>
      </c>
      <c r="H946" s="174">
        <v>6</v>
      </c>
      <c r="I946" s="186" t="s">
        <v>202</v>
      </c>
      <c r="J946" s="174">
        <v>5</v>
      </c>
      <c r="K946" s="174">
        <v>5</v>
      </c>
      <c r="L946" s="149"/>
      <c r="M946" s="185"/>
      <c r="O946" s="156"/>
      <c r="S946" s="147"/>
      <c r="T946" s="148"/>
    </row>
    <row r="947" spans="1:20" hidden="1">
      <c r="A947" s="140" t="str">
        <f t="shared" si="14"/>
        <v>17301-43661-06-A12B</v>
      </c>
      <c r="B947" s="162" t="s">
        <v>1118</v>
      </c>
      <c r="D947" s="162" t="s">
        <v>1122</v>
      </c>
      <c r="E947" s="162" t="s">
        <v>1561</v>
      </c>
      <c r="F947" s="171">
        <v>47472</v>
      </c>
      <c r="G947" s="141" t="s">
        <v>534</v>
      </c>
      <c r="H947" s="174">
        <v>6</v>
      </c>
      <c r="I947" s="186" t="s">
        <v>147</v>
      </c>
      <c r="S947" s="147"/>
      <c r="T947" s="148"/>
    </row>
    <row r="948" spans="1:20" hidden="1">
      <c r="A948" s="140" t="str">
        <f t="shared" si="14"/>
        <v>17301-43661-06-A12A</v>
      </c>
      <c r="B948" s="162" t="s">
        <v>1118</v>
      </c>
      <c r="D948" s="162" t="s">
        <v>1122</v>
      </c>
      <c r="E948" s="162" t="s">
        <v>1561</v>
      </c>
      <c r="F948" s="171">
        <v>47472</v>
      </c>
      <c r="G948" s="141" t="s">
        <v>534</v>
      </c>
      <c r="H948" s="174">
        <v>6</v>
      </c>
      <c r="I948" s="186" t="s">
        <v>27</v>
      </c>
      <c r="R948" s="141"/>
      <c r="S948" s="147"/>
      <c r="T948" s="148"/>
    </row>
    <row r="949" spans="1:20" hidden="1">
      <c r="A949" s="140" t="str">
        <f t="shared" si="14"/>
        <v>17301-43661-06-A14FW</v>
      </c>
      <c r="B949" s="162" t="s">
        <v>1118</v>
      </c>
      <c r="D949" s="162" t="s">
        <v>1122</v>
      </c>
      <c r="E949" s="162" t="s">
        <v>1561</v>
      </c>
      <c r="F949" s="171">
        <v>47472</v>
      </c>
      <c r="G949" s="141" t="s">
        <v>534</v>
      </c>
      <c r="H949" s="174">
        <v>6</v>
      </c>
      <c r="I949" s="186" t="s">
        <v>52</v>
      </c>
      <c r="R949" s="141"/>
      <c r="S949" s="147"/>
      <c r="T949" s="148"/>
    </row>
    <row r="950" spans="1:20" hidden="1">
      <c r="A950" s="140" t="str">
        <f t="shared" si="14"/>
        <v>17301-43661-06-L6F</v>
      </c>
      <c r="B950" s="162" t="s">
        <v>1118</v>
      </c>
      <c r="D950" s="162" t="s">
        <v>1122</v>
      </c>
      <c r="E950" s="162" t="s">
        <v>1561</v>
      </c>
      <c r="F950" s="171">
        <v>47472</v>
      </c>
      <c r="G950" s="141" t="s">
        <v>534</v>
      </c>
      <c r="H950" s="174">
        <v>6</v>
      </c>
      <c r="I950" s="186" t="s">
        <v>215</v>
      </c>
      <c r="R950" s="141"/>
      <c r="S950" s="147"/>
      <c r="T950" s="148"/>
    </row>
    <row r="951" spans="1:20" hidden="1">
      <c r="A951" s="140" t="str">
        <f t="shared" si="14"/>
        <v>17301-43661-06-L9ER</v>
      </c>
      <c r="B951" s="162" t="s">
        <v>1118</v>
      </c>
      <c r="D951" s="162" t="s">
        <v>1122</v>
      </c>
      <c r="E951" s="162" t="s">
        <v>1561</v>
      </c>
      <c r="F951" s="171">
        <v>47472</v>
      </c>
      <c r="G951" s="141" t="s">
        <v>534</v>
      </c>
      <c r="H951" s="174">
        <v>6</v>
      </c>
      <c r="I951" s="188" t="s">
        <v>532</v>
      </c>
      <c r="J951" s="174">
        <v>816</v>
      </c>
      <c r="K951" s="174">
        <v>816</v>
      </c>
      <c r="L951" s="149"/>
      <c r="M951" s="185"/>
      <c r="O951" s="156"/>
      <c r="R951" s="141"/>
      <c r="S951" s="147"/>
      <c r="T951" s="148"/>
    </row>
    <row r="952" spans="1:20" hidden="1">
      <c r="A952" s="140" t="str">
        <f t="shared" si="14"/>
        <v>17301-43661-06-L9EV</v>
      </c>
      <c r="B952" s="162" t="s">
        <v>1118</v>
      </c>
      <c r="D952" s="162" t="s">
        <v>1122</v>
      </c>
      <c r="E952" s="162" t="s">
        <v>1561</v>
      </c>
      <c r="F952" s="171">
        <v>47472</v>
      </c>
      <c r="G952" s="141" t="s">
        <v>534</v>
      </c>
      <c r="H952" s="174">
        <v>6</v>
      </c>
      <c r="I952" s="210" t="s">
        <v>537</v>
      </c>
      <c r="J952" s="174">
        <v>1159</v>
      </c>
      <c r="K952" s="174">
        <v>1159</v>
      </c>
      <c r="L952" s="149"/>
      <c r="M952" s="185"/>
      <c r="O952" s="156"/>
      <c r="R952" s="141"/>
      <c r="S952" s="147"/>
      <c r="T952" s="148"/>
    </row>
    <row r="953" spans="1:20" hidden="1">
      <c r="A953" s="140" t="str">
        <f t="shared" si="14"/>
        <v>17301-43661-06-L8EV2</v>
      </c>
      <c r="B953" s="162" t="s">
        <v>1118</v>
      </c>
      <c r="D953" s="162" t="s">
        <v>1122</v>
      </c>
      <c r="E953" s="162" t="s">
        <v>1561</v>
      </c>
      <c r="F953" s="171">
        <v>47472</v>
      </c>
      <c r="G953" s="141" t="s">
        <v>534</v>
      </c>
      <c r="H953" s="174">
        <v>6</v>
      </c>
      <c r="I953" s="186" t="s">
        <v>867</v>
      </c>
      <c r="R953" s="141"/>
      <c r="S953" s="147"/>
      <c r="T953" s="148"/>
    </row>
    <row r="954" spans="1:20" hidden="1">
      <c r="A954" s="140" t="str">
        <f t="shared" ref="A954:A1016" si="15">G954&amp;"-"&amp;TEXT(H954,"00")&amp;"-"&amp;I954</f>
        <v>17301-43661-06-L8EV</v>
      </c>
      <c r="B954" s="162" t="s">
        <v>1118</v>
      </c>
      <c r="D954" s="162" t="s">
        <v>1122</v>
      </c>
      <c r="E954" s="162" t="s">
        <v>1561</v>
      </c>
      <c r="F954" s="171">
        <v>47472</v>
      </c>
      <c r="G954" s="141" t="s">
        <v>534</v>
      </c>
      <c r="H954" s="174">
        <v>6</v>
      </c>
      <c r="I954" s="210" t="s">
        <v>225</v>
      </c>
      <c r="J954" s="174">
        <v>1291</v>
      </c>
      <c r="K954" s="174">
        <v>1291</v>
      </c>
      <c r="L954" s="149"/>
      <c r="M954" s="185"/>
      <c r="O954" s="156"/>
      <c r="R954" s="141"/>
      <c r="S954" s="147"/>
      <c r="T954" s="148"/>
    </row>
    <row r="955" spans="1:20" hidden="1">
      <c r="A955" s="140" t="str">
        <f t="shared" si="15"/>
        <v>17301-43661-06-L9EV2</v>
      </c>
      <c r="B955" s="162" t="s">
        <v>1118</v>
      </c>
      <c r="D955" s="162" t="s">
        <v>1122</v>
      </c>
      <c r="E955" s="162" t="s">
        <v>1561</v>
      </c>
      <c r="F955" s="171">
        <v>47472</v>
      </c>
      <c r="G955" s="141" t="s">
        <v>534</v>
      </c>
      <c r="H955" s="174">
        <v>6</v>
      </c>
      <c r="I955" s="186" t="s">
        <v>846</v>
      </c>
      <c r="R955" s="141"/>
      <c r="S955" s="147"/>
      <c r="T955" s="148"/>
    </row>
    <row r="956" spans="1:20" hidden="1">
      <c r="A956" s="140" t="str">
        <f t="shared" si="15"/>
        <v>17301-43664-00-A14I</v>
      </c>
      <c r="B956" s="162" t="s">
        <v>1118</v>
      </c>
      <c r="D956" s="162" t="s">
        <v>1122</v>
      </c>
      <c r="E956" s="162" t="s">
        <v>1560</v>
      </c>
      <c r="F956" s="171">
        <v>49074</v>
      </c>
      <c r="G956" s="141" t="s">
        <v>19</v>
      </c>
      <c r="H956" s="174">
        <v>0</v>
      </c>
      <c r="I956" s="214" t="s">
        <v>505</v>
      </c>
      <c r="J956" s="174">
        <v>7120</v>
      </c>
      <c r="K956" s="174">
        <v>7120</v>
      </c>
      <c r="L956" s="149"/>
      <c r="M956" s="185"/>
      <c r="O956" s="156"/>
      <c r="P956" s="155"/>
    </row>
    <row r="957" spans="1:20" hidden="1">
      <c r="A957" s="140" t="str">
        <f t="shared" si="15"/>
        <v>17301-43664-00-L5E</v>
      </c>
      <c r="B957" s="162" t="s">
        <v>1118</v>
      </c>
      <c r="D957" s="162" t="s">
        <v>1122</v>
      </c>
      <c r="E957" s="162" t="s">
        <v>1560</v>
      </c>
      <c r="F957" s="171">
        <v>49074</v>
      </c>
      <c r="G957" s="141" t="s">
        <v>19</v>
      </c>
      <c r="H957" s="174">
        <v>0</v>
      </c>
      <c r="I957" s="186" t="s">
        <v>202</v>
      </c>
      <c r="J957" s="174">
        <v>1564</v>
      </c>
      <c r="K957" s="174">
        <v>1564</v>
      </c>
      <c r="L957" s="149"/>
      <c r="M957" s="185"/>
      <c r="O957" s="156"/>
    </row>
    <row r="958" spans="1:20" hidden="1">
      <c r="A958" s="140" t="str">
        <f t="shared" si="15"/>
        <v>17301-43664-00-A5F</v>
      </c>
      <c r="B958" s="162" t="s">
        <v>1118</v>
      </c>
      <c r="D958" s="162" t="s">
        <v>1122</v>
      </c>
      <c r="E958" s="162" t="s">
        <v>1560</v>
      </c>
      <c r="F958" s="171">
        <v>49074</v>
      </c>
      <c r="G958" s="141" t="s">
        <v>19</v>
      </c>
      <c r="H958" s="174">
        <v>0</v>
      </c>
      <c r="I958" s="210" t="s">
        <v>860</v>
      </c>
      <c r="J958" s="174">
        <v>5588</v>
      </c>
      <c r="K958" s="174">
        <v>5597</v>
      </c>
      <c r="L958" s="149"/>
      <c r="M958" s="185"/>
      <c r="O958" s="156"/>
    </row>
    <row r="959" spans="1:20" hidden="1">
      <c r="A959" s="140" t="str">
        <f t="shared" si="15"/>
        <v>17301-43664-00-A6E</v>
      </c>
      <c r="B959" s="162" t="s">
        <v>1118</v>
      </c>
      <c r="D959" s="162" t="s">
        <v>1122</v>
      </c>
      <c r="E959" s="162" t="s">
        <v>1560</v>
      </c>
      <c r="F959" s="171">
        <v>49074</v>
      </c>
      <c r="G959" s="141" t="s">
        <v>19</v>
      </c>
      <c r="H959" s="174">
        <v>0</v>
      </c>
      <c r="I959" s="210" t="s">
        <v>403</v>
      </c>
      <c r="J959" s="174">
        <v>938</v>
      </c>
      <c r="K959" s="174">
        <v>941</v>
      </c>
      <c r="L959" s="149"/>
      <c r="M959" s="185"/>
      <c r="O959" s="156"/>
    </row>
    <row r="960" spans="1:20" hidden="1">
      <c r="A960" s="140" t="str">
        <f t="shared" si="15"/>
        <v>17301-43664-00-A7G</v>
      </c>
      <c r="B960" s="162" t="s">
        <v>1118</v>
      </c>
      <c r="D960" s="162" t="s">
        <v>1122</v>
      </c>
      <c r="E960" s="162" t="s">
        <v>1560</v>
      </c>
      <c r="F960" s="171">
        <v>49074</v>
      </c>
      <c r="G960" s="141" t="s">
        <v>19</v>
      </c>
      <c r="H960" s="174">
        <v>0</v>
      </c>
      <c r="I960" s="210" t="s">
        <v>862</v>
      </c>
      <c r="J960" s="174">
        <v>4337</v>
      </c>
      <c r="K960" s="174">
        <v>4337</v>
      </c>
      <c r="L960" s="149"/>
      <c r="M960" s="185"/>
      <c r="O960" s="156"/>
    </row>
    <row r="961" spans="1:15" hidden="1">
      <c r="A961" s="140" t="str">
        <f t="shared" si="15"/>
        <v>17301-43664-00-A7F</v>
      </c>
      <c r="B961" s="162" t="s">
        <v>1118</v>
      </c>
      <c r="D961" s="162" t="s">
        <v>1122</v>
      </c>
      <c r="E961" s="162" t="s">
        <v>1560</v>
      </c>
      <c r="F961" s="171">
        <v>49074</v>
      </c>
      <c r="G961" s="141" t="s">
        <v>19</v>
      </c>
      <c r="H961" s="174">
        <v>0</v>
      </c>
      <c r="I961" s="210" t="s">
        <v>866</v>
      </c>
      <c r="J961" s="174">
        <v>1701</v>
      </c>
      <c r="K961" s="174">
        <v>1704</v>
      </c>
      <c r="L961" s="149"/>
      <c r="M961" s="185"/>
      <c r="O961" s="156"/>
    </row>
    <row r="962" spans="1:15" hidden="1">
      <c r="A962" s="140" t="str">
        <f t="shared" si="15"/>
        <v>17301-43664-00-A9F</v>
      </c>
      <c r="B962" s="162" t="s">
        <v>1118</v>
      </c>
      <c r="D962" s="162" t="s">
        <v>1122</v>
      </c>
      <c r="E962" s="162" t="s">
        <v>1560</v>
      </c>
      <c r="F962" s="171">
        <v>49074</v>
      </c>
      <c r="G962" s="141" t="s">
        <v>19</v>
      </c>
      <c r="H962" s="174">
        <v>0</v>
      </c>
      <c r="I962" s="210" t="s">
        <v>863</v>
      </c>
      <c r="J962" s="174">
        <v>21</v>
      </c>
      <c r="K962" s="174">
        <v>21</v>
      </c>
      <c r="L962" s="149"/>
      <c r="M962" s="185"/>
      <c r="O962" s="156"/>
    </row>
    <row r="963" spans="1:15" hidden="1">
      <c r="A963" s="140" t="str">
        <f t="shared" si="15"/>
        <v>17301-43664-00-F10E</v>
      </c>
      <c r="B963" s="162" t="s">
        <v>1118</v>
      </c>
      <c r="D963" s="162" t="s">
        <v>1122</v>
      </c>
      <c r="E963" s="162" t="s">
        <v>1560</v>
      </c>
      <c r="F963" s="171">
        <v>49074</v>
      </c>
      <c r="G963" s="141" t="s">
        <v>19</v>
      </c>
      <c r="H963" s="174">
        <v>0</v>
      </c>
      <c r="I963" s="186" t="s">
        <v>183</v>
      </c>
    </row>
    <row r="964" spans="1:15" hidden="1">
      <c r="A964" s="140" t="str">
        <f t="shared" si="15"/>
        <v>17301-43664-00-A12A</v>
      </c>
      <c r="B964" s="162" t="s">
        <v>1118</v>
      </c>
      <c r="D964" s="162" t="s">
        <v>1122</v>
      </c>
      <c r="E964" s="162" t="s">
        <v>1560</v>
      </c>
      <c r="F964" s="171">
        <v>49074</v>
      </c>
      <c r="G964" s="141" t="s">
        <v>19</v>
      </c>
      <c r="H964" s="174">
        <v>0</v>
      </c>
      <c r="I964" s="186" t="s">
        <v>27</v>
      </c>
      <c r="J964" s="174">
        <v>3612</v>
      </c>
      <c r="K964" s="174">
        <v>3612</v>
      </c>
      <c r="L964" s="149"/>
      <c r="M964" s="185"/>
      <c r="O964" s="156"/>
    </row>
    <row r="965" spans="1:15" hidden="1">
      <c r="A965" s="140" t="str">
        <f t="shared" si="15"/>
        <v>17301-43664-00-A12B</v>
      </c>
      <c r="B965" s="162" t="s">
        <v>1118</v>
      </c>
      <c r="D965" s="162" t="s">
        <v>1122</v>
      </c>
      <c r="E965" s="162" t="s">
        <v>1560</v>
      </c>
      <c r="F965" s="171">
        <v>49074</v>
      </c>
      <c r="G965" s="141" t="s">
        <v>19</v>
      </c>
      <c r="H965" s="174">
        <v>0</v>
      </c>
      <c r="I965" s="186" t="s">
        <v>147</v>
      </c>
      <c r="J965" s="174">
        <v>3816</v>
      </c>
      <c r="K965" s="174">
        <v>3816</v>
      </c>
      <c r="L965" s="149"/>
      <c r="M965" s="185"/>
      <c r="O965" s="156"/>
    </row>
    <row r="966" spans="1:15" hidden="1">
      <c r="A966" s="140" t="str">
        <f t="shared" si="15"/>
        <v>17301-43664-00-F14F</v>
      </c>
      <c r="B966" s="162" t="s">
        <v>1118</v>
      </c>
      <c r="D966" s="162" t="s">
        <v>1122</v>
      </c>
      <c r="E966" s="162" t="s">
        <v>1560</v>
      </c>
      <c r="F966" s="171">
        <v>49074</v>
      </c>
      <c r="G966" s="141" t="s">
        <v>19</v>
      </c>
      <c r="H966" s="174">
        <v>0</v>
      </c>
      <c r="I966" s="210" t="s">
        <v>864</v>
      </c>
      <c r="J966" s="174">
        <v>1377</v>
      </c>
      <c r="K966" s="174">
        <v>1377</v>
      </c>
      <c r="L966" s="149"/>
      <c r="M966" s="185"/>
      <c r="O966" s="156"/>
    </row>
    <row r="967" spans="1:15" hidden="1">
      <c r="A967" s="140" t="str">
        <f t="shared" si="15"/>
        <v>17301-43664-00-A14FW</v>
      </c>
      <c r="B967" s="162" t="s">
        <v>1118</v>
      </c>
      <c r="D967" s="162" t="s">
        <v>1122</v>
      </c>
      <c r="E967" s="162" t="s">
        <v>1560</v>
      </c>
      <c r="F967" s="171">
        <v>49074</v>
      </c>
      <c r="G967" s="141" t="s">
        <v>19</v>
      </c>
      <c r="H967" s="174">
        <v>0</v>
      </c>
      <c r="I967" s="186" t="s">
        <v>52</v>
      </c>
    </row>
    <row r="968" spans="1:15" hidden="1">
      <c r="A968" s="140" t="str">
        <f t="shared" si="15"/>
        <v>17301-43664-00-L9ER</v>
      </c>
      <c r="B968" s="162" t="s">
        <v>1118</v>
      </c>
      <c r="D968" s="162" t="s">
        <v>1122</v>
      </c>
      <c r="E968" s="162" t="s">
        <v>1560</v>
      </c>
      <c r="F968" s="171">
        <v>49074</v>
      </c>
      <c r="G968" s="141" t="s">
        <v>19</v>
      </c>
      <c r="H968" s="174">
        <v>0</v>
      </c>
      <c r="I968" s="188" t="s">
        <v>532</v>
      </c>
      <c r="J968" s="174">
        <v>1746</v>
      </c>
      <c r="K968" s="174">
        <v>1746</v>
      </c>
      <c r="L968" s="149"/>
      <c r="M968" s="185"/>
      <c r="O968" s="156"/>
    </row>
    <row r="969" spans="1:15" hidden="1">
      <c r="A969" s="140" t="str">
        <f t="shared" si="15"/>
        <v>17301-43664-00-L9EV</v>
      </c>
      <c r="B969" s="162" t="s">
        <v>1118</v>
      </c>
      <c r="D969" s="162" t="s">
        <v>1122</v>
      </c>
      <c r="E969" s="162" t="s">
        <v>1560</v>
      </c>
      <c r="F969" s="171">
        <v>49074</v>
      </c>
      <c r="G969" s="141" t="s">
        <v>19</v>
      </c>
      <c r="H969" s="174">
        <v>0</v>
      </c>
      <c r="I969" s="210" t="s">
        <v>537</v>
      </c>
      <c r="J969" s="174">
        <v>2049</v>
      </c>
      <c r="K969" s="174">
        <v>2049</v>
      </c>
      <c r="L969" s="149"/>
      <c r="M969" s="185"/>
      <c r="O969" s="156"/>
    </row>
    <row r="970" spans="1:15" hidden="1">
      <c r="A970" s="140" t="str">
        <f t="shared" si="15"/>
        <v>17301-43664-00-L8EV</v>
      </c>
      <c r="B970" s="162" t="s">
        <v>1118</v>
      </c>
      <c r="D970" s="162" t="s">
        <v>1122</v>
      </c>
      <c r="E970" s="162" t="s">
        <v>1560</v>
      </c>
      <c r="F970" s="171">
        <v>49074</v>
      </c>
      <c r="G970" s="141" t="s">
        <v>19</v>
      </c>
      <c r="H970" s="174">
        <v>0</v>
      </c>
      <c r="I970" s="210" t="s">
        <v>865</v>
      </c>
      <c r="J970" s="174">
        <v>2545</v>
      </c>
      <c r="K970" s="174">
        <v>2545</v>
      </c>
      <c r="L970" s="149"/>
      <c r="M970" s="185"/>
      <c r="O970" s="156"/>
    </row>
    <row r="971" spans="1:15" hidden="1">
      <c r="A971" s="140" t="str">
        <f t="shared" si="15"/>
        <v>17301-43664-01-A14I</v>
      </c>
      <c r="B971" s="162" t="s">
        <v>1118</v>
      </c>
      <c r="D971" s="162" t="s">
        <v>1122</v>
      </c>
      <c r="E971" s="162" t="s">
        <v>1560</v>
      </c>
      <c r="F971" s="171">
        <v>49660</v>
      </c>
      <c r="G971" s="141" t="s">
        <v>19</v>
      </c>
      <c r="H971" s="174">
        <v>1</v>
      </c>
      <c r="I971" s="211" t="s">
        <v>505</v>
      </c>
      <c r="J971" s="174">
        <v>7164</v>
      </c>
      <c r="K971" s="174">
        <v>7164</v>
      </c>
      <c r="L971" s="149"/>
      <c r="M971" s="185"/>
      <c r="O971" s="156"/>
    </row>
    <row r="972" spans="1:15" hidden="1">
      <c r="A972" s="140" t="str">
        <f t="shared" si="15"/>
        <v>17301-43664-01-L5E</v>
      </c>
      <c r="B972" s="162" t="s">
        <v>1118</v>
      </c>
      <c r="D972" s="162" t="s">
        <v>1122</v>
      </c>
      <c r="E972" s="162" t="s">
        <v>1560</v>
      </c>
      <c r="F972" s="171">
        <v>49660</v>
      </c>
      <c r="G972" s="141" t="s">
        <v>19</v>
      </c>
      <c r="H972" s="174">
        <v>1</v>
      </c>
      <c r="I972" s="198" t="s">
        <v>815</v>
      </c>
    </row>
    <row r="973" spans="1:15" hidden="1">
      <c r="A973" s="140" t="str">
        <f t="shared" si="15"/>
        <v>17301-43664-01-A5F</v>
      </c>
      <c r="B973" s="162" t="s">
        <v>1118</v>
      </c>
      <c r="D973" s="162" t="s">
        <v>1122</v>
      </c>
      <c r="E973" s="162" t="s">
        <v>1560</v>
      </c>
      <c r="F973" s="171">
        <v>49660</v>
      </c>
      <c r="G973" s="141" t="s">
        <v>19</v>
      </c>
      <c r="H973" s="174">
        <v>1</v>
      </c>
      <c r="I973" s="198" t="s">
        <v>506</v>
      </c>
      <c r="J973" s="174">
        <v>5681</v>
      </c>
      <c r="K973" s="174">
        <v>5681</v>
      </c>
      <c r="L973" s="149"/>
      <c r="M973" s="185"/>
    </row>
    <row r="974" spans="1:15" hidden="1">
      <c r="A974" s="140" t="str">
        <f t="shared" si="15"/>
        <v>17301-43664-01-A6E</v>
      </c>
      <c r="B974" s="162" t="s">
        <v>1118</v>
      </c>
      <c r="D974" s="162" t="s">
        <v>1122</v>
      </c>
      <c r="E974" s="162" t="s">
        <v>1560</v>
      </c>
      <c r="F974" s="171">
        <v>49660</v>
      </c>
      <c r="G974" s="141" t="s">
        <v>19</v>
      </c>
      <c r="H974" s="174">
        <v>1</v>
      </c>
      <c r="I974" s="196" t="s">
        <v>818</v>
      </c>
      <c r="J974" s="174">
        <v>995</v>
      </c>
      <c r="K974" s="174">
        <v>995</v>
      </c>
      <c r="L974" s="149"/>
      <c r="M974" s="185"/>
    </row>
    <row r="975" spans="1:15" hidden="1">
      <c r="A975" s="140" t="str">
        <f t="shared" si="15"/>
        <v>17301-43664-01-A7G</v>
      </c>
      <c r="B975" s="162" t="s">
        <v>1118</v>
      </c>
      <c r="D975" s="162" t="s">
        <v>1122</v>
      </c>
      <c r="E975" s="162" t="s">
        <v>1560</v>
      </c>
      <c r="F975" s="171">
        <v>49660</v>
      </c>
      <c r="G975" s="141" t="s">
        <v>19</v>
      </c>
      <c r="H975" s="174">
        <v>1</v>
      </c>
      <c r="I975" s="198" t="s">
        <v>508</v>
      </c>
      <c r="J975" s="174">
        <v>4395</v>
      </c>
      <c r="K975" s="174">
        <v>4395</v>
      </c>
      <c r="L975" s="149"/>
      <c r="M975" s="185"/>
    </row>
    <row r="976" spans="1:15" hidden="1">
      <c r="A976" s="140" t="str">
        <f t="shared" si="15"/>
        <v>17301-43664-01-A7F</v>
      </c>
      <c r="B976" s="162" t="s">
        <v>1118</v>
      </c>
      <c r="D976" s="162" t="s">
        <v>1122</v>
      </c>
      <c r="E976" s="162" t="s">
        <v>1560</v>
      </c>
      <c r="F976" s="171">
        <v>49660</v>
      </c>
      <c r="G976" s="141" t="s">
        <v>19</v>
      </c>
      <c r="H976" s="174">
        <v>1</v>
      </c>
      <c r="I976" s="196" t="s">
        <v>507</v>
      </c>
      <c r="J976" s="174">
        <v>1737</v>
      </c>
      <c r="K976" s="174">
        <v>1737</v>
      </c>
      <c r="L976" s="149"/>
      <c r="M976" s="185"/>
    </row>
    <row r="977" spans="1:10" hidden="1">
      <c r="A977" s="140" t="str">
        <f t="shared" si="15"/>
        <v>17301-43664-01-A9F</v>
      </c>
      <c r="B977" s="162" t="s">
        <v>1118</v>
      </c>
      <c r="D977" s="162" t="s">
        <v>1122</v>
      </c>
      <c r="E977" s="162" t="s">
        <v>1560</v>
      </c>
      <c r="F977" s="171">
        <v>49660</v>
      </c>
      <c r="G977" s="141" t="s">
        <v>19</v>
      </c>
      <c r="H977" s="174">
        <v>1</v>
      </c>
      <c r="I977" s="196" t="s">
        <v>840</v>
      </c>
    </row>
    <row r="978" spans="1:10" hidden="1">
      <c r="A978" s="140" t="str">
        <f t="shared" si="15"/>
        <v>17301-43664-01-F10E</v>
      </c>
      <c r="B978" s="162" t="s">
        <v>1118</v>
      </c>
      <c r="D978" s="162" t="s">
        <v>1122</v>
      </c>
      <c r="E978" s="162" t="s">
        <v>1560</v>
      </c>
      <c r="F978" s="171">
        <v>49660</v>
      </c>
      <c r="G978" s="141" t="s">
        <v>19</v>
      </c>
      <c r="H978" s="174">
        <v>1</v>
      </c>
      <c r="I978" s="198" t="s">
        <v>878</v>
      </c>
    </row>
    <row r="979" spans="1:10" hidden="1">
      <c r="A979" s="140" t="str">
        <f t="shared" si="15"/>
        <v>17301-43664-01-A12A</v>
      </c>
      <c r="B979" s="162" t="s">
        <v>1118</v>
      </c>
      <c r="D979" s="162" t="s">
        <v>1122</v>
      </c>
      <c r="E979" s="162" t="s">
        <v>1560</v>
      </c>
      <c r="F979" s="171">
        <v>49660</v>
      </c>
      <c r="G979" s="141" t="s">
        <v>19</v>
      </c>
      <c r="H979" s="174">
        <v>1</v>
      </c>
      <c r="I979" s="196" t="s">
        <v>262</v>
      </c>
    </row>
    <row r="980" spans="1:10" hidden="1">
      <c r="A980" s="140" t="str">
        <f t="shared" si="15"/>
        <v>17301-43664-01-A12B</v>
      </c>
      <c r="B980" s="162" t="s">
        <v>1118</v>
      </c>
      <c r="D980" s="162" t="s">
        <v>1122</v>
      </c>
      <c r="E980" s="162" t="s">
        <v>1560</v>
      </c>
      <c r="F980" s="171">
        <v>49660</v>
      </c>
      <c r="G980" s="141" t="s">
        <v>19</v>
      </c>
      <c r="H980" s="174">
        <v>1</v>
      </c>
      <c r="I980" s="198" t="s">
        <v>503</v>
      </c>
    </row>
    <row r="981" spans="1:10" hidden="1">
      <c r="A981" s="140" t="str">
        <f t="shared" si="15"/>
        <v>17301-43664-01-F14F</v>
      </c>
      <c r="B981" s="162" t="s">
        <v>1118</v>
      </c>
      <c r="D981" s="162" t="s">
        <v>1122</v>
      </c>
      <c r="E981" s="162" t="s">
        <v>1560</v>
      </c>
      <c r="F981" s="171">
        <v>49660</v>
      </c>
      <c r="G981" s="141" t="s">
        <v>19</v>
      </c>
      <c r="H981" s="174">
        <v>1</v>
      </c>
      <c r="I981" s="196" t="s">
        <v>509</v>
      </c>
    </row>
    <row r="982" spans="1:10" hidden="1">
      <c r="A982" s="140" t="str">
        <f t="shared" si="15"/>
        <v>17301-43664-01-A14FW</v>
      </c>
      <c r="B982" s="162" t="s">
        <v>1118</v>
      </c>
      <c r="D982" s="162" t="s">
        <v>1122</v>
      </c>
      <c r="E982" s="162" t="s">
        <v>1560</v>
      </c>
      <c r="F982" s="171">
        <v>49660</v>
      </c>
      <c r="G982" s="141" t="s">
        <v>19</v>
      </c>
      <c r="H982" s="174">
        <v>1</v>
      </c>
      <c r="I982" s="198" t="s">
        <v>513</v>
      </c>
      <c r="J982" s="208"/>
    </row>
    <row r="983" spans="1:10" hidden="1">
      <c r="A983" s="140" t="str">
        <f t="shared" si="15"/>
        <v>17301-43664-01-L9ER</v>
      </c>
      <c r="B983" s="162" t="s">
        <v>1118</v>
      </c>
      <c r="D983" s="162" t="s">
        <v>1122</v>
      </c>
      <c r="E983" s="162" t="s">
        <v>1560</v>
      </c>
      <c r="F983" s="171">
        <v>49660</v>
      </c>
      <c r="G983" s="141" t="s">
        <v>19</v>
      </c>
      <c r="H983" s="174">
        <v>1</v>
      </c>
      <c r="I983" s="188" t="s">
        <v>532</v>
      </c>
    </row>
    <row r="984" spans="1:10" hidden="1">
      <c r="A984" s="140" t="str">
        <f t="shared" si="15"/>
        <v>17301-43664-01-L9EV</v>
      </c>
      <c r="B984" s="162" t="s">
        <v>1118</v>
      </c>
      <c r="D984" s="162" t="s">
        <v>1122</v>
      </c>
      <c r="E984" s="162" t="s">
        <v>1560</v>
      </c>
      <c r="F984" s="171">
        <v>49660</v>
      </c>
      <c r="G984" s="141" t="s">
        <v>19</v>
      </c>
      <c r="H984" s="174">
        <v>1</v>
      </c>
      <c r="I984" s="196" t="s">
        <v>510</v>
      </c>
    </row>
    <row r="985" spans="1:10" hidden="1">
      <c r="A985" s="140" t="str">
        <f t="shared" si="15"/>
        <v>17301-43664-01-L8EV</v>
      </c>
      <c r="B985" s="162" t="s">
        <v>1118</v>
      </c>
      <c r="D985" s="162" t="s">
        <v>1122</v>
      </c>
      <c r="E985" s="162" t="s">
        <v>1560</v>
      </c>
      <c r="F985" s="171">
        <v>49660</v>
      </c>
      <c r="G985" s="141" t="s">
        <v>19</v>
      </c>
      <c r="H985" s="174">
        <v>1</v>
      </c>
      <c r="I985" s="198" t="s">
        <v>531</v>
      </c>
      <c r="J985" s="208"/>
    </row>
    <row r="986" spans="1:10" ht="14.25" hidden="1" thickBot="1">
      <c r="A986" s="140" t="str">
        <f t="shared" si="15"/>
        <v>17301-43664-02-A14I</v>
      </c>
      <c r="B986" s="162" t="s">
        <v>1118</v>
      </c>
      <c r="D986" s="162" t="s">
        <v>1122</v>
      </c>
      <c r="E986" s="162" t="s">
        <v>1560</v>
      </c>
      <c r="F986" s="171">
        <v>50119</v>
      </c>
      <c r="G986" s="141" t="s">
        <v>19</v>
      </c>
      <c r="H986" s="174">
        <v>2</v>
      </c>
      <c r="I986" s="203" t="s">
        <v>493</v>
      </c>
    </row>
    <row r="987" spans="1:10" hidden="1">
      <c r="A987" s="140" t="str">
        <f t="shared" si="15"/>
        <v>17301-43664-02-L5E</v>
      </c>
      <c r="B987" s="162" t="s">
        <v>1118</v>
      </c>
      <c r="D987" s="162" t="s">
        <v>1122</v>
      </c>
      <c r="E987" s="162" t="s">
        <v>1560</v>
      </c>
      <c r="F987" s="171">
        <v>50119</v>
      </c>
      <c r="G987" s="141" t="s">
        <v>19</v>
      </c>
      <c r="H987" s="174">
        <v>2</v>
      </c>
      <c r="I987" s="186" t="s">
        <v>202</v>
      </c>
    </row>
    <row r="988" spans="1:10" hidden="1">
      <c r="A988" s="140" t="str">
        <f t="shared" si="15"/>
        <v>17301-43664-02-A5F</v>
      </c>
      <c r="B988" s="162" t="s">
        <v>1118</v>
      </c>
      <c r="D988" s="162" t="s">
        <v>1122</v>
      </c>
      <c r="E988" s="162" t="s">
        <v>1560</v>
      </c>
      <c r="F988" s="171">
        <v>50119</v>
      </c>
      <c r="G988" s="141" t="s">
        <v>19</v>
      </c>
      <c r="H988" s="174">
        <v>2</v>
      </c>
      <c r="I988" s="190" t="s">
        <v>803</v>
      </c>
    </row>
    <row r="989" spans="1:10" hidden="1">
      <c r="A989" s="140" t="str">
        <f t="shared" si="15"/>
        <v>17301-43664-02-A6E</v>
      </c>
      <c r="B989" s="162" t="s">
        <v>1118</v>
      </c>
      <c r="D989" s="162" t="s">
        <v>1122</v>
      </c>
      <c r="E989" s="162" t="s">
        <v>1560</v>
      </c>
      <c r="F989" s="171">
        <v>50119</v>
      </c>
      <c r="G989" s="141" t="s">
        <v>19</v>
      </c>
      <c r="H989" s="174">
        <v>2</v>
      </c>
      <c r="I989" s="186" t="s">
        <v>403</v>
      </c>
    </row>
    <row r="990" spans="1:10" hidden="1">
      <c r="A990" s="140" t="str">
        <f t="shared" si="15"/>
        <v>17301-43664-02-A7G</v>
      </c>
      <c r="B990" s="162" t="s">
        <v>1118</v>
      </c>
      <c r="D990" s="162" t="s">
        <v>1122</v>
      </c>
      <c r="E990" s="162" t="s">
        <v>1560</v>
      </c>
      <c r="F990" s="171">
        <v>50119</v>
      </c>
      <c r="G990" s="141" t="s">
        <v>19</v>
      </c>
      <c r="H990" s="174">
        <v>2</v>
      </c>
      <c r="I990" s="190" t="s">
        <v>497</v>
      </c>
    </row>
    <row r="991" spans="1:10" hidden="1">
      <c r="A991" s="140" t="str">
        <f t="shared" si="15"/>
        <v>17301-43664-02-A7F</v>
      </c>
      <c r="B991" s="162" t="s">
        <v>1118</v>
      </c>
      <c r="D991" s="162" t="s">
        <v>1122</v>
      </c>
      <c r="E991" s="162" t="s">
        <v>1560</v>
      </c>
      <c r="F991" s="171">
        <v>50119</v>
      </c>
      <c r="G991" s="141" t="s">
        <v>19</v>
      </c>
      <c r="H991" s="174">
        <v>2</v>
      </c>
      <c r="I991" s="190" t="s">
        <v>875</v>
      </c>
    </row>
    <row r="992" spans="1:10" hidden="1">
      <c r="A992" s="140" t="str">
        <f t="shared" si="15"/>
        <v>17301-43664-02-A9F</v>
      </c>
      <c r="B992" s="162" t="s">
        <v>1118</v>
      </c>
      <c r="D992" s="162" t="s">
        <v>1122</v>
      </c>
      <c r="E992" s="162" t="s">
        <v>1560</v>
      </c>
      <c r="F992" s="171">
        <v>50119</v>
      </c>
      <c r="G992" s="141" t="s">
        <v>19</v>
      </c>
      <c r="H992" s="174">
        <v>2</v>
      </c>
      <c r="I992" s="186" t="s">
        <v>863</v>
      </c>
    </row>
    <row r="993" spans="1:15" hidden="1">
      <c r="A993" s="140" t="str">
        <f t="shared" si="15"/>
        <v>17301-43664-02-F10E</v>
      </c>
      <c r="B993" s="162" t="s">
        <v>1118</v>
      </c>
      <c r="D993" s="162" t="s">
        <v>1122</v>
      </c>
      <c r="E993" s="162" t="s">
        <v>1560</v>
      </c>
      <c r="F993" s="171">
        <v>50119</v>
      </c>
      <c r="G993" s="141" t="s">
        <v>19</v>
      </c>
      <c r="H993" s="174">
        <v>2</v>
      </c>
      <c r="I993" s="186" t="s">
        <v>183</v>
      </c>
    </row>
    <row r="994" spans="1:15" hidden="1">
      <c r="A994" s="140" t="str">
        <f t="shared" si="15"/>
        <v>17301-43664-02-A12A</v>
      </c>
      <c r="B994" s="162" t="s">
        <v>1118</v>
      </c>
      <c r="D994" s="162" t="s">
        <v>1122</v>
      </c>
      <c r="E994" s="162" t="s">
        <v>1560</v>
      </c>
      <c r="F994" s="171">
        <v>50119</v>
      </c>
      <c r="G994" s="141" t="s">
        <v>19</v>
      </c>
      <c r="H994" s="174">
        <v>2</v>
      </c>
      <c r="I994" s="190" t="s">
        <v>874</v>
      </c>
    </row>
    <row r="995" spans="1:15" hidden="1">
      <c r="A995" s="140" t="str">
        <f t="shared" si="15"/>
        <v>17301-43664-02-A12B</v>
      </c>
      <c r="B995" s="162" t="s">
        <v>1118</v>
      </c>
      <c r="D995" s="162" t="s">
        <v>1122</v>
      </c>
      <c r="E995" s="162" t="s">
        <v>1560</v>
      </c>
      <c r="F995" s="171">
        <v>50119</v>
      </c>
      <c r="G995" s="141" t="s">
        <v>19</v>
      </c>
      <c r="H995" s="174">
        <v>2</v>
      </c>
      <c r="I995" s="190" t="s">
        <v>147</v>
      </c>
    </row>
    <row r="996" spans="1:15" hidden="1">
      <c r="A996" s="140" t="str">
        <f t="shared" si="15"/>
        <v>17301-43664-02-F14F</v>
      </c>
      <c r="B996" s="162" t="s">
        <v>1118</v>
      </c>
      <c r="D996" s="162" t="s">
        <v>1122</v>
      </c>
      <c r="E996" s="162" t="s">
        <v>1560</v>
      </c>
      <c r="F996" s="171">
        <v>50119</v>
      </c>
      <c r="G996" s="141" t="s">
        <v>19</v>
      </c>
      <c r="H996" s="174">
        <v>2</v>
      </c>
      <c r="I996" s="186" t="s">
        <v>185</v>
      </c>
    </row>
    <row r="997" spans="1:15" hidden="1">
      <c r="A997" s="140" t="str">
        <f t="shared" si="15"/>
        <v>17301-43664-02-A14FW</v>
      </c>
      <c r="B997" s="162" t="s">
        <v>1118</v>
      </c>
      <c r="D997" s="162" t="s">
        <v>1122</v>
      </c>
      <c r="E997" s="162" t="s">
        <v>1560</v>
      </c>
      <c r="F997" s="171">
        <v>50119</v>
      </c>
      <c r="G997" s="141" t="s">
        <v>19</v>
      </c>
      <c r="H997" s="174">
        <v>2</v>
      </c>
      <c r="I997" s="186" t="s">
        <v>52</v>
      </c>
    </row>
    <row r="998" spans="1:15" hidden="1">
      <c r="A998" s="140" t="str">
        <f t="shared" si="15"/>
        <v>17301-43664-02-L9ER</v>
      </c>
      <c r="B998" s="162" t="s">
        <v>1118</v>
      </c>
      <c r="D998" s="162" t="s">
        <v>1122</v>
      </c>
      <c r="E998" s="162" t="s">
        <v>1560</v>
      </c>
      <c r="F998" s="171">
        <v>50119</v>
      </c>
      <c r="G998" s="141" t="s">
        <v>19</v>
      </c>
      <c r="H998" s="174">
        <v>2</v>
      </c>
      <c r="I998" s="188" t="s">
        <v>532</v>
      </c>
    </row>
    <row r="999" spans="1:15" hidden="1">
      <c r="A999" s="140" t="str">
        <f t="shared" si="15"/>
        <v>17301-43664-02-L9EV</v>
      </c>
      <c r="B999" s="162" t="s">
        <v>1118</v>
      </c>
      <c r="D999" s="162" t="s">
        <v>1122</v>
      </c>
      <c r="E999" s="162" t="s">
        <v>1560</v>
      </c>
      <c r="F999" s="171">
        <v>50119</v>
      </c>
      <c r="G999" s="141" t="s">
        <v>19</v>
      </c>
      <c r="H999" s="174">
        <v>2</v>
      </c>
      <c r="I999" s="186" t="s">
        <v>537</v>
      </c>
    </row>
    <row r="1000" spans="1:15" hidden="1">
      <c r="A1000" s="140" t="str">
        <f t="shared" si="15"/>
        <v>17301-43664-02-L8EV</v>
      </c>
      <c r="B1000" s="162" t="s">
        <v>1118</v>
      </c>
      <c r="D1000" s="162" t="s">
        <v>1122</v>
      </c>
      <c r="E1000" s="162" t="s">
        <v>1560</v>
      </c>
      <c r="F1000" s="171">
        <v>50119</v>
      </c>
      <c r="G1000" s="141" t="s">
        <v>19</v>
      </c>
      <c r="H1000" s="174">
        <v>2</v>
      </c>
      <c r="I1000" s="190" t="s">
        <v>886</v>
      </c>
    </row>
    <row r="1001" spans="1:15" ht="14.25" hidden="1" thickBot="1">
      <c r="A1001" s="140" t="str">
        <f t="shared" si="15"/>
        <v>17301-43664-03-A14I</v>
      </c>
      <c r="B1001" s="162" t="s">
        <v>1118</v>
      </c>
      <c r="D1001" s="162" t="s">
        <v>1122</v>
      </c>
      <c r="E1001" s="162" t="s">
        <v>1560</v>
      </c>
      <c r="F1001" s="171">
        <v>50924</v>
      </c>
      <c r="G1001" s="141" t="s">
        <v>19</v>
      </c>
      <c r="H1001" s="174">
        <v>3</v>
      </c>
      <c r="I1001" s="203" t="s">
        <v>493</v>
      </c>
    </row>
    <row r="1002" spans="1:15" hidden="1">
      <c r="A1002" s="140" t="str">
        <f t="shared" si="15"/>
        <v>17301-43664-03-L5E</v>
      </c>
      <c r="B1002" s="162" t="s">
        <v>1118</v>
      </c>
      <c r="D1002" s="162" t="s">
        <v>1122</v>
      </c>
      <c r="E1002" s="162" t="s">
        <v>1560</v>
      </c>
      <c r="F1002" s="171">
        <v>50924</v>
      </c>
      <c r="G1002" s="141" t="s">
        <v>19</v>
      </c>
      <c r="H1002" s="174">
        <v>3</v>
      </c>
      <c r="I1002" s="186" t="s">
        <v>202</v>
      </c>
      <c r="L1002" s="149"/>
      <c r="M1002" s="185"/>
      <c r="O1002" s="156"/>
    </row>
    <row r="1003" spans="1:15" hidden="1">
      <c r="A1003" s="140" t="str">
        <f t="shared" si="15"/>
        <v>17301-43664-03-A5F</v>
      </c>
      <c r="B1003" s="162" t="s">
        <v>1118</v>
      </c>
      <c r="D1003" s="162" t="s">
        <v>1122</v>
      </c>
      <c r="E1003" s="162" t="s">
        <v>1560</v>
      </c>
      <c r="F1003" s="171">
        <v>50924</v>
      </c>
      <c r="G1003" s="141" t="s">
        <v>900</v>
      </c>
      <c r="H1003" s="174">
        <v>3</v>
      </c>
      <c r="I1003" s="190" t="s">
        <v>803</v>
      </c>
    </row>
    <row r="1004" spans="1:15" hidden="1">
      <c r="A1004" s="140" t="str">
        <f t="shared" si="15"/>
        <v>17301-43664-03-A6E</v>
      </c>
      <c r="B1004" s="162" t="s">
        <v>1118</v>
      </c>
      <c r="D1004" s="162" t="s">
        <v>1122</v>
      </c>
      <c r="E1004" s="162" t="s">
        <v>1560</v>
      </c>
      <c r="F1004" s="171">
        <v>50924</v>
      </c>
      <c r="G1004" s="141" t="s">
        <v>900</v>
      </c>
      <c r="H1004" s="174">
        <v>3</v>
      </c>
      <c r="I1004" s="186" t="s">
        <v>403</v>
      </c>
    </row>
    <row r="1005" spans="1:15" hidden="1">
      <c r="A1005" s="140" t="str">
        <f t="shared" si="15"/>
        <v>17301-43664-03-A7G</v>
      </c>
      <c r="B1005" s="162" t="s">
        <v>1118</v>
      </c>
      <c r="D1005" s="162" t="s">
        <v>1122</v>
      </c>
      <c r="E1005" s="162" t="s">
        <v>1560</v>
      </c>
      <c r="F1005" s="171">
        <v>50924</v>
      </c>
      <c r="G1005" s="141" t="s">
        <v>900</v>
      </c>
      <c r="H1005" s="174">
        <v>3</v>
      </c>
      <c r="I1005" s="190" t="s">
        <v>497</v>
      </c>
    </row>
    <row r="1006" spans="1:15" hidden="1">
      <c r="A1006" s="140" t="str">
        <f t="shared" si="15"/>
        <v>17301-43664-03-A7F</v>
      </c>
      <c r="B1006" s="162" t="s">
        <v>1118</v>
      </c>
      <c r="D1006" s="162" t="s">
        <v>1122</v>
      </c>
      <c r="E1006" s="162" t="s">
        <v>1560</v>
      </c>
      <c r="F1006" s="171">
        <v>50924</v>
      </c>
      <c r="G1006" s="141" t="s">
        <v>900</v>
      </c>
      <c r="H1006" s="174">
        <v>3</v>
      </c>
      <c r="I1006" s="190" t="s">
        <v>875</v>
      </c>
    </row>
    <row r="1007" spans="1:15" hidden="1">
      <c r="A1007" s="140" t="str">
        <f t="shared" si="15"/>
        <v>17301-43664-03-A9F</v>
      </c>
      <c r="B1007" s="162" t="s">
        <v>1118</v>
      </c>
      <c r="D1007" s="162" t="s">
        <v>1122</v>
      </c>
      <c r="E1007" s="162" t="s">
        <v>1560</v>
      </c>
      <c r="F1007" s="171">
        <v>50924</v>
      </c>
      <c r="G1007" s="141" t="s">
        <v>900</v>
      </c>
      <c r="H1007" s="174">
        <v>3</v>
      </c>
      <c r="I1007" s="186" t="s">
        <v>863</v>
      </c>
      <c r="L1007" s="149"/>
      <c r="M1007" s="185"/>
    </row>
    <row r="1008" spans="1:15" hidden="1">
      <c r="A1008" s="140" t="str">
        <f t="shared" si="15"/>
        <v>17301-43664-03-F10E</v>
      </c>
      <c r="B1008" s="162" t="s">
        <v>1118</v>
      </c>
      <c r="D1008" s="162" t="s">
        <v>1122</v>
      </c>
      <c r="E1008" s="162" t="s">
        <v>1560</v>
      </c>
      <c r="F1008" s="171">
        <v>50924</v>
      </c>
      <c r="G1008" s="141" t="s">
        <v>900</v>
      </c>
      <c r="H1008" s="174">
        <v>3</v>
      </c>
      <c r="I1008" s="186" t="s">
        <v>183</v>
      </c>
      <c r="L1008" s="149"/>
      <c r="M1008" s="185"/>
    </row>
    <row r="1009" spans="1:15" hidden="1">
      <c r="A1009" s="140" t="str">
        <f t="shared" si="15"/>
        <v>17301-43664-03-A12A</v>
      </c>
      <c r="B1009" s="162" t="s">
        <v>1118</v>
      </c>
      <c r="D1009" s="162" t="s">
        <v>1122</v>
      </c>
      <c r="E1009" s="162" t="s">
        <v>1560</v>
      </c>
      <c r="F1009" s="171">
        <v>50924</v>
      </c>
      <c r="G1009" s="141" t="s">
        <v>900</v>
      </c>
      <c r="H1009" s="174">
        <v>3</v>
      </c>
      <c r="I1009" s="190" t="s">
        <v>874</v>
      </c>
      <c r="L1009" s="149"/>
      <c r="M1009" s="185"/>
      <c r="O1009" s="156"/>
    </row>
    <row r="1010" spans="1:15" hidden="1">
      <c r="A1010" s="140" t="str">
        <f t="shared" si="15"/>
        <v>17301-43664-03-A12B</v>
      </c>
      <c r="B1010" s="162" t="s">
        <v>1118</v>
      </c>
      <c r="D1010" s="162" t="s">
        <v>1122</v>
      </c>
      <c r="E1010" s="162" t="s">
        <v>1560</v>
      </c>
      <c r="F1010" s="171">
        <v>50924</v>
      </c>
      <c r="G1010" s="141" t="s">
        <v>900</v>
      </c>
      <c r="H1010" s="174">
        <v>3</v>
      </c>
      <c r="I1010" s="190" t="s">
        <v>147</v>
      </c>
      <c r="L1010" s="149"/>
      <c r="M1010" s="185"/>
      <c r="O1010" s="156"/>
    </row>
    <row r="1011" spans="1:15" hidden="1">
      <c r="A1011" s="140" t="str">
        <f t="shared" si="15"/>
        <v>17301-43664-03-F14F</v>
      </c>
      <c r="B1011" s="162" t="s">
        <v>1118</v>
      </c>
      <c r="D1011" s="162" t="s">
        <v>1122</v>
      </c>
      <c r="E1011" s="162" t="s">
        <v>1560</v>
      </c>
      <c r="F1011" s="171">
        <v>50924</v>
      </c>
      <c r="G1011" s="141" t="s">
        <v>900</v>
      </c>
      <c r="H1011" s="174">
        <v>3</v>
      </c>
      <c r="I1011" s="186" t="s">
        <v>185</v>
      </c>
      <c r="L1011" s="149"/>
      <c r="M1011" s="185"/>
    </row>
    <row r="1012" spans="1:15" hidden="1">
      <c r="A1012" s="140" t="str">
        <f t="shared" si="15"/>
        <v>17301-43664-03-A14FW</v>
      </c>
      <c r="B1012" s="162" t="s">
        <v>1118</v>
      </c>
      <c r="D1012" s="162" t="s">
        <v>1122</v>
      </c>
      <c r="E1012" s="162" t="s">
        <v>1560</v>
      </c>
      <c r="F1012" s="171">
        <v>50924</v>
      </c>
      <c r="G1012" s="141" t="s">
        <v>900</v>
      </c>
      <c r="H1012" s="174">
        <v>3</v>
      </c>
      <c r="I1012" s="186" t="s">
        <v>52</v>
      </c>
    </row>
    <row r="1013" spans="1:15" hidden="1">
      <c r="A1013" s="140" t="str">
        <f t="shared" si="15"/>
        <v>17301-43664-03-L9ER</v>
      </c>
      <c r="B1013" s="162" t="s">
        <v>1118</v>
      </c>
      <c r="D1013" s="162" t="s">
        <v>1122</v>
      </c>
      <c r="E1013" s="162" t="s">
        <v>1560</v>
      </c>
      <c r="F1013" s="171">
        <v>50924</v>
      </c>
      <c r="G1013" s="141" t="s">
        <v>900</v>
      </c>
      <c r="H1013" s="174">
        <v>3</v>
      </c>
      <c r="I1013" s="188" t="s">
        <v>532</v>
      </c>
      <c r="L1013" s="149"/>
      <c r="M1013" s="185"/>
      <c r="O1013" s="156"/>
    </row>
    <row r="1014" spans="1:15" hidden="1">
      <c r="A1014" s="140" t="str">
        <f t="shared" si="15"/>
        <v>17301-43664-03-L9EV</v>
      </c>
      <c r="B1014" s="162" t="s">
        <v>1118</v>
      </c>
      <c r="D1014" s="162" t="s">
        <v>1122</v>
      </c>
      <c r="E1014" s="162" t="s">
        <v>1560</v>
      </c>
      <c r="F1014" s="171">
        <v>50924</v>
      </c>
      <c r="G1014" s="141" t="s">
        <v>900</v>
      </c>
      <c r="H1014" s="174">
        <v>3</v>
      </c>
      <c r="I1014" s="186" t="s">
        <v>537</v>
      </c>
      <c r="L1014" s="149"/>
      <c r="M1014" s="185"/>
      <c r="O1014" s="156"/>
    </row>
    <row r="1015" spans="1:15" hidden="1">
      <c r="A1015" s="140" t="str">
        <f t="shared" si="15"/>
        <v>17301-43664-03-L8EV</v>
      </c>
      <c r="B1015" s="162" t="s">
        <v>1118</v>
      </c>
      <c r="D1015" s="162" t="s">
        <v>1122</v>
      </c>
      <c r="E1015" s="162" t="s">
        <v>1560</v>
      </c>
      <c r="F1015" s="171">
        <v>50924</v>
      </c>
      <c r="G1015" s="141" t="s">
        <v>900</v>
      </c>
      <c r="H1015" s="174">
        <v>3</v>
      </c>
      <c r="I1015" s="190" t="s">
        <v>886</v>
      </c>
      <c r="L1015" s="149"/>
      <c r="M1015" s="185"/>
    </row>
    <row r="1016" spans="1:15" ht="14.25" hidden="1" thickBot="1">
      <c r="A1016" s="140" t="str">
        <f t="shared" si="15"/>
        <v>17301-43664-04-A14I</v>
      </c>
      <c r="B1016" s="162" t="s">
        <v>1118</v>
      </c>
      <c r="D1016" s="162" t="s">
        <v>1122</v>
      </c>
      <c r="E1016" s="162" t="s">
        <v>1560</v>
      </c>
      <c r="F1016" s="171">
        <v>51129</v>
      </c>
      <c r="G1016" s="141" t="s">
        <v>19</v>
      </c>
      <c r="H1016" s="174">
        <v>4</v>
      </c>
      <c r="I1016" s="212" t="s">
        <v>493</v>
      </c>
      <c r="J1016" s="174">
        <v>7953</v>
      </c>
      <c r="K1016" s="174">
        <v>7953</v>
      </c>
      <c r="L1016" s="149"/>
      <c r="M1016" s="185"/>
      <c r="O1016" s="156"/>
    </row>
    <row r="1017" spans="1:15" hidden="1">
      <c r="A1017" s="140" t="str">
        <f t="shared" ref="A1017:A1079" si="16">G1017&amp;"-"&amp;TEXT(H1017,"00")&amp;"-"&amp;I1017</f>
        <v>17301-43664-04-L5E</v>
      </c>
      <c r="B1017" s="162" t="s">
        <v>1118</v>
      </c>
      <c r="D1017" s="162" t="s">
        <v>1122</v>
      </c>
      <c r="E1017" s="162" t="s">
        <v>1560</v>
      </c>
      <c r="F1017" s="171">
        <v>51129</v>
      </c>
      <c r="G1017" s="141" t="s">
        <v>19</v>
      </c>
      <c r="H1017" s="174">
        <v>4</v>
      </c>
      <c r="I1017" s="186" t="s">
        <v>202</v>
      </c>
      <c r="J1017" s="174">
        <v>2241</v>
      </c>
      <c r="K1017" s="174">
        <v>2241</v>
      </c>
      <c r="L1017" s="149"/>
      <c r="M1017" s="185"/>
      <c r="O1017" s="156"/>
    </row>
    <row r="1018" spans="1:15" hidden="1">
      <c r="A1018" s="140" t="str">
        <f t="shared" si="16"/>
        <v>17301-43664-04-A5F</v>
      </c>
      <c r="B1018" s="162" t="s">
        <v>1118</v>
      </c>
      <c r="D1018" s="162" t="s">
        <v>1122</v>
      </c>
      <c r="E1018" s="162" t="s">
        <v>1560</v>
      </c>
      <c r="F1018" s="171">
        <v>51129</v>
      </c>
      <c r="G1018" s="141" t="s">
        <v>900</v>
      </c>
      <c r="H1018" s="174">
        <v>4</v>
      </c>
      <c r="I1018" s="190" t="s">
        <v>803</v>
      </c>
      <c r="J1018" s="174">
        <v>6821</v>
      </c>
      <c r="K1018" s="174">
        <v>6821</v>
      </c>
      <c r="L1018" s="149"/>
      <c r="M1018" s="185"/>
    </row>
    <row r="1019" spans="1:15" hidden="1">
      <c r="A1019" s="140" t="str">
        <f t="shared" si="16"/>
        <v>17301-43664-04-A6E</v>
      </c>
      <c r="B1019" s="162" t="s">
        <v>1118</v>
      </c>
      <c r="D1019" s="162" t="s">
        <v>1122</v>
      </c>
      <c r="E1019" s="162" t="s">
        <v>1560</v>
      </c>
      <c r="F1019" s="171">
        <v>51129</v>
      </c>
      <c r="G1019" s="141" t="s">
        <v>900</v>
      </c>
      <c r="H1019" s="174">
        <v>4</v>
      </c>
      <c r="I1019" s="186" t="s">
        <v>403</v>
      </c>
      <c r="J1019" s="174">
        <v>1943</v>
      </c>
      <c r="K1019" s="174">
        <v>1943</v>
      </c>
      <c r="L1019" s="149"/>
      <c r="M1019" s="185"/>
    </row>
    <row r="1020" spans="1:15" hidden="1">
      <c r="A1020" s="140" t="str">
        <f t="shared" si="16"/>
        <v>17301-43664-04-A7G</v>
      </c>
      <c r="B1020" s="162" t="s">
        <v>1118</v>
      </c>
      <c r="D1020" s="162" t="s">
        <v>1122</v>
      </c>
      <c r="E1020" s="162" t="s">
        <v>1560</v>
      </c>
      <c r="F1020" s="171">
        <v>51129</v>
      </c>
      <c r="G1020" s="141" t="s">
        <v>900</v>
      </c>
      <c r="H1020" s="174">
        <v>4</v>
      </c>
      <c r="I1020" s="190" t="s">
        <v>497</v>
      </c>
      <c r="J1020" s="174">
        <v>5454</v>
      </c>
      <c r="K1020" s="174">
        <v>5454</v>
      </c>
      <c r="L1020" s="149"/>
      <c r="M1020" s="185"/>
    </row>
    <row r="1021" spans="1:15" hidden="1">
      <c r="A1021" s="140" t="str">
        <f t="shared" si="16"/>
        <v>17301-43664-04-A7F</v>
      </c>
      <c r="B1021" s="162" t="s">
        <v>1118</v>
      </c>
      <c r="D1021" s="162" t="s">
        <v>1122</v>
      </c>
      <c r="E1021" s="162" t="s">
        <v>1560</v>
      </c>
      <c r="F1021" s="171">
        <v>51129</v>
      </c>
      <c r="G1021" s="141" t="s">
        <v>900</v>
      </c>
      <c r="H1021" s="174">
        <v>4</v>
      </c>
      <c r="I1021" s="190" t="s">
        <v>804</v>
      </c>
      <c r="J1021" s="174">
        <v>1832</v>
      </c>
      <c r="K1021" s="174">
        <v>1832</v>
      </c>
      <c r="L1021" s="149"/>
      <c r="M1021" s="185"/>
    </row>
    <row r="1022" spans="1:15" hidden="1">
      <c r="A1022" s="140" t="str">
        <f t="shared" si="16"/>
        <v>17301-43664-04-A9F</v>
      </c>
      <c r="B1022" s="162" t="s">
        <v>1118</v>
      </c>
      <c r="D1022" s="162" t="s">
        <v>1122</v>
      </c>
      <c r="E1022" s="162" t="s">
        <v>1560</v>
      </c>
      <c r="F1022" s="171">
        <v>51129</v>
      </c>
      <c r="G1022" s="141" t="s">
        <v>900</v>
      </c>
      <c r="H1022" s="174">
        <v>4</v>
      </c>
      <c r="I1022" s="186" t="s">
        <v>863</v>
      </c>
      <c r="J1022" s="174">
        <v>1373</v>
      </c>
      <c r="K1022" s="174">
        <v>1373</v>
      </c>
      <c r="L1022" s="149"/>
      <c r="M1022" s="185"/>
    </row>
    <row r="1023" spans="1:15" hidden="1">
      <c r="A1023" s="140" t="str">
        <f t="shared" si="16"/>
        <v>17301-43664-04-F10E</v>
      </c>
      <c r="B1023" s="162" t="s">
        <v>1118</v>
      </c>
      <c r="D1023" s="162" t="s">
        <v>1122</v>
      </c>
      <c r="E1023" s="162" t="s">
        <v>1560</v>
      </c>
      <c r="F1023" s="171">
        <v>51129</v>
      </c>
      <c r="G1023" s="141" t="s">
        <v>900</v>
      </c>
      <c r="H1023" s="174">
        <v>4</v>
      </c>
      <c r="I1023" s="186" t="s">
        <v>183</v>
      </c>
      <c r="J1023" s="174">
        <v>1</v>
      </c>
      <c r="K1023" s="174">
        <v>1</v>
      </c>
      <c r="L1023" s="149"/>
      <c r="M1023" s="185"/>
    </row>
    <row r="1024" spans="1:15" hidden="1">
      <c r="A1024" s="140" t="str">
        <f t="shared" si="16"/>
        <v>17301-43664-04-A12A</v>
      </c>
      <c r="B1024" s="162" t="s">
        <v>1118</v>
      </c>
      <c r="D1024" s="162" t="s">
        <v>1122</v>
      </c>
      <c r="E1024" s="162" t="s">
        <v>1560</v>
      </c>
      <c r="F1024" s="171">
        <v>51129</v>
      </c>
      <c r="G1024" s="141" t="s">
        <v>900</v>
      </c>
      <c r="H1024" s="174">
        <v>4</v>
      </c>
      <c r="I1024" s="215" t="s">
        <v>27</v>
      </c>
      <c r="J1024" s="174">
        <v>3787</v>
      </c>
      <c r="K1024" s="174">
        <v>3787</v>
      </c>
      <c r="L1024" s="149"/>
      <c r="M1024" s="185"/>
      <c r="O1024" s="156"/>
    </row>
    <row r="1025" spans="1:15" hidden="1">
      <c r="A1025" s="140" t="str">
        <f t="shared" si="16"/>
        <v>17301-43664-04-A12B</v>
      </c>
      <c r="B1025" s="162" t="s">
        <v>1118</v>
      </c>
      <c r="D1025" s="162" t="s">
        <v>1122</v>
      </c>
      <c r="E1025" s="162" t="s">
        <v>1560</v>
      </c>
      <c r="F1025" s="171">
        <v>51129</v>
      </c>
      <c r="G1025" s="141" t="s">
        <v>900</v>
      </c>
      <c r="H1025" s="174">
        <v>4</v>
      </c>
      <c r="I1025" s="190" t="s">
        <v>147</v>
      </c>
      <c r="J1025" s="174">
        <v>5398</v>
      </c>
      <c r="K1025" s="174">
        <v>5398</v>
      </c>
      <c r="L1025" s="149"/>
      <c r="M1025" s="185"/>
      <c r="O1025" s="156"/>
    </row>
    <row r="1026" spans="1:15" hidden="1">
      <c r="A1026" s="140" t="str">
        <f t="shared" si="16"/>
        <v>17301-43664-04-F14F</v>
      </c>
      <c r="B1026" s="162" t="s">
        <v>1118</v>
      </c>
      <c r="D1026" s="162" t="s">
        <v>1122</v>
      </c>
      <c r="E1026" s="162" t="s">
        <v>1560</v>
      </c>
      <c r="F1026" s="171">
        <v>51129</v>
      </c>
      <c r="G1026" s="141" t="s">
        <v>900</v>
      </c>
      <c r="H1026" s="174">
        <v>4</v>
      </c>
      <c r="I1026" s="186" t="s">
        <v>185</v>
      </c>
      <c r="J1026" s="174">
        <v>1774</v>
      </c>
      <c r="K1026" s="174">
        <v>1774</v>
      </c>
      <c r="L1026" s="149"/>
      <c r="M1026" s="185"/>
    </row>
    <row r="1027" spans="1:15" hidden="1">
      <c r="A1027" s="140" t="str">
        <f t="shared" si="16"/>
        <v>17301-43664-04-A14FW</v>
      </c>
      <c r="B1027" s="162" t="s">
        <v>1118</v>
      </c>
      <c r="D1027" s="162" t="s">
        <v>1122</v>
      </c>
      <c r="E1027" s="162" t="s">
        <v>1560</v>
      </c>
      <c r="F1027" s="171">
        <v>51129</v>
      </c>
      <c r="G1027" s="141" t="s">
        <v>900</v>
      </c>
      <c r="H1027" s="174">
        <v>4</v>
      </c>
      <c r="I1027" s="186" t="s">
        <v>52</v>
      </c>
    </row>
    <row r="1028" spans="1:15" hidden="1">
      <c r="A1028" s="140" t="str">
        <f t="shared" si="16"/>
        <v>17301-43664-04-L9ER</v>
      </c>
      <c r="B1028" s="162" t="s">
        <v>1118</v>
      </c>
      <c r="D1028" s="162" t="s">
        <v>1122</v>
      </c>
      <c r="E1028" s="162" t="s">
        <v>1560</v>
      </c>
      <c r="F1028" s="171">
        <v>51129</v>
      </c>
      <c r="G1028" s="141" t="s">
        <v>900</v>
      </c>
      <c r="H1028" s="174">
        <v>4</v>
      </c>
      <c r="I1028" s="188" t="s">
        <v>532</v>
      </c>
      <c r="J1028" s="174">
        <v>2544</v>
      </c>
      <c r="K1028" s="174">
        <v>2544</v>
      </c>
      <c r="L1028" s="149"/>
      <c r="M1028" s="185"/>
      <c r="O1028" s="156"/>
    </row>
    <row r="1029" spans="1:15" hidden="1">
      <c r="A1029" s="140" t="str">
        <f t="shared" si="16"/>
        <v>17301-43664-04-L9EV</v>
      </c>
      <c r="B1029" s="162" t="s">
        <v>1118</v>
      </c>
      <c r="D1029" s="162" t="s">
        <v>1122</v>
      </c>
      <c r="E1029" s="162" t="s">
        <v>1560</v>
      </c>
      <c r="F1029" s="171">
        <v>51129</v>
      </c>
      <c r="G1029" s="141" t="s">
        <v>900</v>
      </c>
      <c r="H1029" s="174">
        <v>4</v>
      </c>
      <c r="I1029" s="210" t="s">
        <v>537</v>
      </c>
      <c r="J1029" s="174">
        <v>2895</v>
      </c>
      <c r="K1029" s="174">
        <v>2895</v>
      </c>
      <c r="L1029" s="149"/>
      <c r="M1029" s="185"/>
      <c r="O1029" s="156"/>
    </row>
    <row r="1030" spans="1:15" hidden="1">
      <c r="A1030" s="140" t="str">
        <f t="shared" si="16"/>
        <v>17301-43664-04-L8EV</v>
      </c>
      <c r="B1030" s="162" t="s">
        <v>1118</v>
      </c>
      <c r="D1030" s="162" t="s">
        <v>1122</v>
      </c>
      <c r="E1030" s="162" t="s">
        <v>1560</v>
      </c>
      <c r="F1030" s="171">
        <v>51129</v>
      </c>
      <c r="G1030" s="141" t="s">
        <v>900</v>
      </c>
      <c r="H1030" s="174">
        <v>4</v>
      </c>
      <c r="I1030" s="215" t="s">
        <v>225</v>
      </c>
      <c r="J1030" s="174">
        <v>3763</v>
      </c>
      <c r="K1030" s="174">
        <v>3763</v>
      </c>
      <c r="L1030" s="149"/>
      <c r="M1030" s="185"/>
      <c r="O1030" s="156"/>
    </row>
    <row r="1031" spans="1:15" ht="14.25" hidden="1" thickBot="1">
      <c r="A1031" s="140" t="str">
        <f t="shared" si="16"/>
        <v>17301-43664-05-A14I</v>
      </c>
      <c r="B1031" s="162" t="s">
        <v>1118</v>
      </c>
      <c r="D1031" s="162" t="s">
        <v>1122</v>
      </c>
      <c r="E1031" s="162" t="s">
        <v>1560</v>
      </c>
      <c r="F1031" s="171">
        <v>50879</v>
      </c>
      <c r="G1031" s="141" t="s">
        <v>19</v>
      </c>
      <c r="H1031" s="174">
        <v>5</v>
      </c>
      <c r="I1031" s="203" t="s">
        <v>493</v>
      </c>
    </row>
    <row r="1032" spans="1:15" hidden="1">
      <c r="A1032" s="140" t="str">
        <f t="shared" si="16"/>
        <v>17301-43664-05-L5E</v>
      </c>
      <c r="B1032" s="162" t="s">
        <v>1118</v>
      </c>
      <c r="D1032" s="162" t="s">
        <v>1122</v>
      </c>
      <c r="E1032" s="162" t="s">
        <v>1560</v>
      </c>
      <c r="F1032" s="171">
        <v>50879</v>
      </c>
      <c r="G1032" s="141" t="s">
        <v>19</v>
      </c>
      <c r="H1032" s="174">
        <v>5</v>
      </c>
      <c r="I1032" s="186" t="s">
        <v>202</v>
      </c>
      <c r="J1032" s="174">
        <v>2379</v>
      </c>
      <c r="K1032" s="174">
        <v>2379</v>
      </c>
      <c r="L1032" s="149"/>
      <c r="M1032" s="185"/>
      <c r="O1032" s="156"/>
    </row>
    <row r="1033" spans="1:15" hidden="1">
      <c r="A1033" s="140" t="str">
        <f t="shared" si="16"/>
        <v>17301-43664-05-A5F</v>
      </c>
      <c r="B1033" s="162" t="s">
        <v>1118</v>
      </c>
      <c r="D1033" s="162" t="s">
        <v>1122</v>
      </c>
      <c r="E1033" s="162" t="s">
        <v>1560</v>
      </c>
      <c r="F1033" s="171">
        <v>50879</v>
      </c>
      <c r="G1033" s="141" t="s">
        <v>900</v>
      </c>
      <c r="H1033" s="174">
        <v>5</v>
      </c>
      <c r="I1033" s="190" t="s">
        <v>803</v>
      </c>
    </row>
    <row r="1034" spans="1:15" hidden="1">
      <c r="A1034" s="140" t="str">
        <f t="shared" si="16"/>
        <v>17301-43664-05-A6E</v>
      </c>
      <c r="B1034" s="162" t="s">
        <v>1118</v>
      </c>
      <c r="D1034" s="162" t="s">
        <v>1122</v>
      </c>
      <c r="E1034" s="162" t="s">
        <v>1560</v>
      </c>
      <c r="F1034" s="171">
        <v>50879</v>
      </c>
      <c r="G1034" s="141" t="s">
        <v>900</v>
      </c>
      <c r="H1034" s="174">
        <v>5</v>
      </c>
      <c r="I1034" s="186" t="s">
        <v>403</v>
      </c>
    </row>
    <row r="1035" spans="1:15" hidden="1">
      <c r="A1035" s="140" t="str">
        <f t="shared" si="16"/>
        <v>17301-43664-05-A7G</v>
      </c>
      <c r="B1035" s="162" t="s">
        <v>1118</v>
      </c>
      <c r="D1035" s="162" t="s">
        <v>1122</v>
      </c>
      <c r="E1035" s="162" t="s">
        <v>1560</v>
      </c>
      <c r="F1035" s="171">
        <v>50879</v>
      </c>
      <c r="G1035" s="141" t="s">
        <v>900</v>
      </c>
      <c r="H1035" s="174">
        <v>5</v>
      </c>
      <c r="I1035" s="190" t="s">
        <v>497</v>
      </c>
    </row>
    <row r="1036" spans="1:15" hidden="1">
      <c r="A1036" s="140" t="str">
        <f t="shared" si="16"/>
        <v>17301-43664-05-A7F</v>
      </c>
      <c r="B1036" s="162" t="s">
        <v>1118</v>
      </c>
      <c r="D1036" s="162" t="s">
        <v>1122</v>
      </c>
      <c r="E1036" s="162" t="s">
        <v>1560</v>
      </c>
      <c r="F1036" s="171">
        <v>50879</v>
      </c>
      <c r="G1036" s="141" t="s">
        <v>900</v>
      </c>
      <c r="H1036" s="174">
        <v>5</v>
      </c>
      <c r="I1036" s="190" t="s">
        <v>875</v>
      </c>
    </row>
    <row r="1037" spans="1:15" hidden="1">
      <c r="A1037" s="140" t="str">
        <f t="shared" si="16"/>
        <v>17301-43664-05-A9F</v>
      </c>
      <c r="B1037" s="162" t="s">
        <v>1118</v>
      </c>
      <c r="D1037" s="162" t="s">
        <v>1122</v>
      </c>
      <c r="E1037" s="162" t="s">
        <v>1560</v>
      </c>
      <c r="F1037" s="171">
        <v>50879</v>
      </c>
      <c r="G1037" s="141" t="s">
        <v>900</v>
      </c>
      <c r="H1037" s="174">
        <v>5</v>
      </c>
      <c r="I1037" s="186" t="s">
        <v>863</v>
      </c>
      <c r="J1037" s="174">
        <v>1568</v>
      </c>
      <c r="K1037" s="174">
        <v>1568</v>
      </c>
      <c r="L1037" s="149"/>
      <c r="M1037" s="185"/>
    </row>
    <row r="1038" spans="1:15" hidden="1">
      <c r="A1038" s="140" t="str">
        <f t="shared" si="16"/>
        <v>17301-43664-05-F10E</v>
      </c>
      <c r="B1038" s="162" t="s">
        <v>1118</v>
      </c>
      <c r="D1038" s="162" t="s">
        <v>1122</v>
      </c>
      <c r="E1038" s="162" t="s">
        <v>1560</v>
      </c>
      <c r="F1038" s="171">
        <v>50879</v>
      </c>
      <c r="G1038" s="141" t="s">
        <v>900</v>
      </c>
      <c r="H1038" s="174">
        <v>5</v>
      </c>
      <c r="I1038" s="186" t="s">
        <v>183</v>
      </c>
      <c r="J1038" s="174">
        <v>7</v>
      </c>
      <c r="K1038" s="174">
        <v>7</v>
      </c>
      <c r="L1038" s="149"/>
      <c r="M1038" s="185"/>
    </row>
    <row r="1039" spans="1:15" hidden="1">
      <c r="A1039" s="140" t="str">
        <f t="shared" si="16"/>
        <v>17301-43664-05-A12A</v>
      </c>
      <c r="B1039" s="162" t="s">
        <v>1118</v>
      </c>
      <c r="D1039" s="162" t="s">
        <v>1122</v>
      </c>
      <c r="E1039" s="162" t="s">
        <v>1560</v>
      </c>
      <c r="F1039" s="171">
        <v>50879</v>
      </c>
      <c r="G1039" s="141" t="s">
        <v>900</v>
      </c>
      <c r="H1039" s="174">
        <v>5</v>
      </c>
      <c r="I1039" s="215" t="s">
        <v>874</v>
      </c>
      <c r="J1039" s="174">
        <v>3795</v>
      </c>
      <c r="K1039" s="174">
        <v>3795</v>
      </c>
      <c r="L1039" s="149"/>
      <c r="M1039" s="185"/>
      <c r="O1039" s="156"/>
    </row>
    <row r="1040" spans="1:15" hidden="1">
      <c r="A1040" s="140" t="str">
        <f t="shared" si="16"/>
        <v>17301-43664-05-A12B</v>
      </c>
      <c r="B1040" s="162" t="s">
        <v>1118</v>
      </c>
      <c r="D1040" s="162" t="s">
        <v>1122</v>
      </c>
      <c r="E1040" s="162" t="s">
        <v>1560</v>
      </c>
      <c r="F1040" s="171">
        <v>50879</v>
      </c>
      <c r="G1040" s="141" t="s">
        <v>900</v>
      </c>
      <c r="H1040" s="174">
        <v>5</v>
      </c>
      <c r="I1040" s="190" t="s">
        <v>147</v>
      </c>
      <c r="J1040" s="174">
        <v>5642</v>
      </c>
      <c r="K1040" s="174">
        <v>5642</v>
      </c>
      <c r="L1040" s="149"/>
      <c r="M1040" s="185"/>
      <c r="O1040" s="156"/>
    </row>
    <row r="1041" spans="1:15" hidden="1">
      <c r="A1041" s="140" t="str">
        <f t="shared" si="16"/>
        <v>17301-43664-05-F14F</v>
      </c>
      <c r="B1041" s="162" t="s">
        <v>1118</v>
      </c>
      <c r="D1041" s="162" t="s">
        <v>1122</v>
      </c>
      <c r="E1041" s="162" t="s">
        <v>1560</v>
      </c>
      <c r="F1041" s="171">
        <v>50879</v>
      </c>
      <c r="G1041" s="141" t="s">
        <v>900</v>
      </c>
      <c r="H1041" s="174">
        <v>5</v>
      </c>
      <c r="I1041" s="186" t="s">
        <v>185</v>
      </c>
      <c r="J1041" s="174">
        <v>1857</v>
      </c>
      <c r="K1041" s="174">
        <v>1857</v>
      </c>
      <c r="L1041" s="149"/>
      <c r="M1041" s="185"/>
    </row>
    <row r="1042" spans="1:15" hidden="1">
      <c r="A1042" s="140" t="str">
        <f t="shared" si="16"/>
        <v>17301-43664-05-A14FW</v>
      </c>
      <c r="B1042" s="162" t="s">
        <v>1118</v>
      </c>
      <c r="D1042" s="162" t="s">
        <v>1122</v>
      </c>
      <c r="E1042" s="162" t="s">
        <v>1560</v>
      </c>
      <c r="F1042" s="171">
        <v>50879</v>
      </c>
      <c r="G1042" s="141" t="s">
        <v>900</v>
      </c>
      <c r="H1042" s="174">
        <v>5</v>
      </c>
      <c r="I1042" s="186" t="s">
        <v>52</v>
      </c>
    </row>
    <row r="1043" spans="1:15" hidden="1">
      <c r="A1043" s="140" t="str">
        <f t="shared" si="16"/>
        <v>17301-43664-05-L9ER</v>
      </c>
      <c r="B1043" s="162" t="s">
        <v>1118</v>
      </c>
      <c r="D1043" s="162" t="s">
        <v>1122</v>
      </c>
      <c r="E1043" s="162" t="s">
        <v>1560</v>
      </c>
      <c r="F1043" s="171">
        <v>50879</v>
      </c>
      <c r="G1043" s="141" t="s">
        <v>900</v>
      </c>
      <c r="H1043" s="174">
        <v>5</v>
      </c>
      <c r="I1043" s="188" t="s">
        <v>532</v>
      </c>
      <c r="J1043" s="174">
        <v>3113</v>
      </c>
      <c r="K1043" s="174">
        <v>3113</v>
      </c>
      <c r="L1043" s="149"/>
      <c r="M1043" s="185"/>
      <c r="O1043" s="156"/>
    </row>
    <row r="1044" spans="1:15" hidden="1">
      <c r="A1044" s="140" t="str">
        <f t="shared" si="16"/>
        <v>17301-43664-05-L9EV</v>
      </c>
      <c r="B1044" s="162" t="s">
        <v>1118</v>
      </c>
      <c r="D1044" s="162" t="s">
        <v>1122</v>
      </c>
      <c r="E1044" s="162" t="s">
        <v>1560</v>
      </c>
      <c r="F1044" s="171">
        <v>50879</v>
      </c>
      <c r="G1044" s="141" t="s">
        <v>900</v>
      </c>
      <c r="H1044" s="174">
        <v>5</v>
      </c>
      <c r="I1044" s="210" t="s">
        <v>537</v>
      </c>
      <c r="J1044" s="174">
        <v>3435</v>
      </c>
      <c r="K1044" s="174">
        <v>3435</v>
      </c>
      <c r="L1044" s="149"/>
      <c r="M1044" s="185"/>
      <c r="O1044" s="156"/>
    </row>
    <row r="1045" spans="1:15" hidden="1">
      <c r="A1045" s="140" t="str">
        <f t="shared" si="16"/>
        <v>17301-43664-05-L8EV</v>
      </c>
      <c r="B1045" s="162" t="s">
        <v>1118</v>
      </c>
      <c r="D1045" s="162" t="s">
        <v>1122</v>
      </c>
      <c r="E1045" s="162" t="s">
        <v>1560</v>
      </c>
      <c r="F1045" s="171">
        <v>50879</v>
      </c>
      <c r="G1045" s="141" t="s">
        <v>900</v>
      </c>
      <c r="H1045" s="174">
        <v>5</v>
      </c>
      <c r="I1045" s="215" t="s">
        <v>886</v>
      </c>
      <c r="J1045" s="174">
        <v>4303</v>
      </c>
      <c r="K1045" s="174">
        <v>4303</v>
      </c>
      <c r="L1045" s="149"/>
      <c r="M1045" s="185"/>
      <c r="O1045" s="156"/>
    </row>
    <row r="1046" spans="1:15" ht="14.25" hidden="1" thickBot="1">
      <c r="A1046" s="140" t="str">
        <f t="shared" si="16"/>
        <v>17301-43664-06-A14I</v>
      </c>
      <c r="B1046" s="162" t="s">
        <v>1118</v>
      </c>
      <c r="D1046" s="162" t="s">
        <v>1122</v>
      </c>
      <c r="E1046" s="162" t="s">
        <v>1560</v>
      </c>
      <c r="F1046" s="171">
        <v>51498</v>
      </c>
      <c r="G1046" s="141" t="s">
        <v>19</v>
      </c>
      <c r="H1046" s="174">
        <v>6</v>
      </c>
      <c r="I1046" s="203" t="s">
        <v>493</v>
      </c>
      <c r="L1046" s="149"/>
      <c r="M1046" s="185"/>
    </row>
    <row r="1047" spans="1:15" hidden="1">
      <c r="A1047" s="140" t="str">
        <f t="shared" si="16"/>
        <v>17301-43664-06-L5E</v>
      </c>
      <c r="B1047" s="162" t="s">
        <v>1118</v>
      </c>
      <c r="D1047" s="162" t="s">
        <v>1122</v>
      </c>
      <c r="E1047" s="162" t="s">
        <v>1560</v>
      </c>
      <c r="F1047" s="171">
        <v>51498</v>
      </c>
      <c r="G1047" s="141" t="s">
        <v>19</v>
      </c>
      <c r="H1047" s="174">
        <v>6</v>
      </c>
      <c r="I1047" s="186" t="s">
        <v>202</v>
      </c>
      <c r="J1047" s="174">
        <v>2475</v>
      </c>
      <c r="K1047" s="174">
        <v>2475</v>
      </c>
      <c r="L1047" s="149"/>
      <c r="M1047" s="185"/>
    </row>
    <row r="1048" spans="1:15" hidden="1">
      <c r="A1048" s="140" t="str">
        <f t="shared" si="16"/>
        <v>17301-43664-06-A5F</v>
      </c>
      <c r="B1048" s="162" t="s">
        <v>1118</v>
      </c>
      <c r="D1048" s="162" t="s">
        <v>1122</v>
      </c>
      <c r="E1048" s="162" t="s">
        <v>1560</v>
      </c>
      <c r="F1048" s="171">
        <v>51498</v>
      </c>
      <c r="G1048" s="141" t="s">
        <v>900</v>
      </c>
      <c r="H1048" s="174">
        <v>6</v>
      </c>
      <c r="I1048" s="190" t="s">
        <v>803</v>
      </c>
      <c r="L1048" s="149"/>
      <c r="M1048" s="185"/>
    </row>
    <row r="1049" spans="1:15" hidden="1">
      <c r="A1049" s="140" t="str">
        <f t="shared" si="16"/>
        <v>17301-43664-06-A6E</v>
      </c>
      <c r="B1049" s="162" t="s">
        <v>1118</v>
      </c>
      <c r="D1049" s="162" t="s">
        <v>1122</v>
      </c>
      <c r="E1049" s="162" t="s">
        <v>1560</v>
      </c>
      <c r="F1049" s="171">
        <v>51498</v>
      </c>
      <c r="G1049" s="141" t="s">
        <v>900</v>
      </c>
      <c r="H1049" s="174">
        <v>6</v>
      </c>
      <c r="I1049" s="186" t="s">
        <v>403</v>
      </c>
      <c r="L1049" s="149"/>
      <c r="M1049" s="185"/>
    </row>
    <row r="1050" spans="1:15" hidden="1">
      <c r="A1050" s="140" t="str">
        <f t="shared" si="16"/>
        <v>17301-43664-06-A7G</v>
      </c>
      <c r="B1050" s="162" t="s">
        <v>1118</v>
      </c>
      <c r="D1050" s="162" t="s">
        <v>1122</v>
      </c>
      <c r="E1050" s="162" t="s">
        <v>1560</v>
      </c>
      <c r="F1050" s="171">
        <v>51498</v>
      </c>
      <c r="G1050" s="141" t="s">
        <v>900</v>
      </c>
      <c r="H1050" s="174">
        <v>6</v>
      </c>
      <c r="I1050" s="190" t="s">
        <v>497</v>
      </c>
      <c r="L1050" s="149"/>
      <c r="M1050" s="185"/>
    </row>
    <row r="1051" spans="1:15" hidden="1">
      <c r="A1051" s="140" t="str">
        <f t="shared" si="16"/>
        <v>17301-43664-06-A7F</v>
      </c>
      <c r="B1051" s="162" t="s">
        <v>1118</v>
      </c>
      <c r="D1051" s="162" t="s">
        <v>1122</v>
      </c>
      <c r="E1051" s="162" t="s">
        <v>1560</v>
      </c>
      <c r="F1051" s="171">
        <v>51498</v>
      </c>
      <c r="G1051" s="141" t="s">
        <v>900</v>
      </c>
      <c r="H1051" s="174">
        <v>6</v>
      </c>
      <c r="I1051" s="190" t="s">
        <v>804</v>
      </c>
      <c r="L1051" s="149"/>
      <c r="M1051" s="185"/>
    </row>
    <row r="1052" spans="1:15" hidden="1">
      <c r="A1052" s="140" t="str">
        <f t="shared" si="16"/>
        <v>17301-43664-06-A9F</v>
      </c>
      <c r="B1052" s="162" t="s">
        <v>1118</v>
      </c>
      <c r="D1052" s="162" t="s">
        <v>1122</v>
      </c>
      <c r="E1052" s="162" t="s">
        <v>1560</v>
      </c>
      <c r="F1052" s="171">
        <v>51498</v>
      </c>
      <c r="G1052" s="141" t="s">
        <v>900</v>
      </c>
      <c r="H1052" s="174">
        <v>6</v>
      </c>
      <c r="I1052" s="186" t="s">
        <v>863</v>
      </c>
      <c r="L1052" s="149"/>
      <c r="M1052" s="185"/>
    </row>
    <row r="1053" spans="1:15" hidden="1">
      <c r="A1053" s="140" t="str">
        <f t="shared" si="16"/>
        <v>17301-43664-06-F10E</v>
      </c>
      <c r="B1053" s="162" t="s">
        <v>1118</v>
      </c>
      <c r="D1053" s="162" t="s">
        <v>1122</v>
      </c>
      <c r="E1053" s="162" t="s">
        <v>1560</v>
      </c>
      <c r="F1053" s="171">
        <v>51498</v>
      </c>
      <c r="G1053" s="141" t="s">
        <v>900</v>
      </c>
      <c r="H1053" s="174">
        <v>6</v>
      </c>
      <c r="I1053" s="186" t="s">
        <v>183</v>
      </c>
      <c r="L1053" s="149"/>
      <c r="M1053" s="185"/>
    </row>
    <row r="1054" spans="1:15" hidden="1">
      <c r="A1054" s="140" t="str">
        <f t="shared" si="16"/>
        <v>17301-43664-06-A12A</v>
      </c>
      <c r="B1054" s="162" t="s">
        <v>1118</v>
      </c>
      <c r="D1054" s="162" t="s">
        <v>1122</v>
      </c>
      <c r="E1054" s="162" t="s">
        <v>1560</v>
      </c>
      <c r="F1054" s="171">
        <v>51498</v>
      </c>
      <c r="G1054" s="141" t="s">
        <v>900</v>
      </c>
      <c r="H1054" s="174">
        <v>6</v>
      </c>
      <c r="I1054" s="190" t="s">
        <v>27</v>
      </c>
      <c r="L1054" s="149"/>
      <c r="M1054" s="185"/>
    </row>
    <row r="1055" spans="1:15" hidden="1">
      <c r="A1055" s="140" t="str">
        <f t="shared" si="16"/>
        <v>17301-43664-06-A12B</v>
      </c>
      <c r="B1055" s="162" t="s">
        <v>1118</v>
      </c>
      <c r="D1055" s="162" t="s">
        <v>1122</v>
      </c>
      <c r="E1055" s="162" t="s">
        <v>1560</v>
      </c>
      <c r="F1055" s="171">
        <v>51498</v>
      </c>
      <c r="G1055" s="141" t="s">
        <v>900</v>
      </c>
      <c r="H1055" s="174">
        <v>6</v>
      </c>
      <c r="I1055" s="190" t="s">
        <v>147</v>
      </c>
      <c r="L1055" s="149"/>
      <c r="M1055" s="185"/>
    </row>
    <row r="1056" spans="1:15" hidden="1">
      <c r="A1056" s="140" t="str">
        <f t="shared" si="16"/>
        <v>17301-43664-06-F14F</v>
      </c>
      <c r="B1056" s="162" t="s">
        <v>1118</v>
      </c>
      <c r="D1056" s="162" t="s">
        <v>1122</v>
      </c>
      <c r="E1056" s="162" t="s">
        <v>1560</v>
      </c>
      <c r="F1056" s="171">
        <v>51498</v>
      </c>
      <c r="G1056" s="141" t="s">
        <v>900</v>
      </c>
      <c r="H1056" s="174">
        <v>6</v>
      </c>
      <c r="I1056" s="186" t="s">
        <v>185</v>
      </c>
      <c r="J1056" s="174">
        <v>1895</v>
      </c>
      <c r="K1056" s="174">
        <v>1895</v>
      </c>
      <c r="L1056" s="149"/>
      <c r="M1056" s="185"/>
    </row>
    <row r="1057" spans="1:24" hidden="1">
      <c r="A1057" s="140" t="str">
        <f t="shared" si="16"/>
        <v>17301-43664-06-A14FW</v>
      </c>
      <c r="B1057" s="162" t="s">
        <v>1118</v>
      </c>
      <c r="D1057" s="162" t="s">
        <v>1122</v>
      </c>
      <c r="E1057" s="162" t="s">
        <v>1560</v>
      </c>
      <c r="F1057" s="171">
        <v>51498</v>
      </c>
      <c r="G1057" s="141" t="s">
        <v>900</v>
      </c>
      <c r="H1057" s="174">
        <v>6</v>
      </c>
      <c r="I1057" s="186" t="s">
        <v>52</v>
      </c>
    </row>
    <row r="1058" spans="1:24" hidden="1">
      <c r="A1058" s="140" t="str">
        <f t="shared" si="16"/>
        <v>17301-43664-06-L9ER</v>
      </c>
      <c r="B1058" s="162" t="s">
        <v>1118</v>
      </c>
      <c r="D1058" s="162" t="s">
        <v>1122</v>
      </c>
      <c r="E1058" s="162" t="s">
        <v>1560</v>
      </c>
      <c r="F1058" s="171">
        <v>51498</v>
      </c>
      <c r="G1058" s="141" t="s">
        <v>900</v>
      </c>
      <c r="H1058" s="174">
        <v>6</v>
      </c>
      <c r="I1058" s="188" t="s">
        <v>532</v>
      </c>
    </row>
    <row r="1059" spans="1:24" hidden="1">
      <c r="A1059" s="140" t="str">
        <f t="shared" si="16"/>
        <v>17301-43664-06-L9EV</v>
      </c>
      <c r="B1059" s="162" t="s">
        <v>1118</v>
      </c>
      <c r="D1059" s="162" t="s">
        <v>1122</v>
      </c>
      <c r="E1059" s="162" t="s">
        <v>1560</v>
      </c>
      <c r="F1059" s="171">
        <v>51498</v>
      </c>
      <c r="G1059" s="141" t="s">
        <v>900</v>
      </c>
      <c r="H1059" s="174">
        <v>6</v>
      </c>
      <c r="I1059" s="186" t="s">
        <v>537</v>
      </c>
    </row>
    <row r="1060" spans="1:24" hidden="1">
      <c r="A1060" s="140" t="str">
        <f t="shared" si="16"/>
        <v>17301-43664-06-L8EV</v>
      </c>
      <c r="B1060" s="162" t="s">
        <v>1118</v>
      </c>
      <c r="D1060" s="162" t="s">
        <v>1122</v>
      </c>
      <c r="E1060" s="162" t="s">
        <v>1560</v>
      </c>
      <c r="F1060" s="171">
        <v>51498</v>
      </c>
      <c r="G1060" s="141" t="s">
        <v>900</v>
      </c>
      <c r="H1060" s="174">
        <v>6</v>
      </c>
      <c r="I1060" s="190" t="s">
        <v>225</v>
      </c>
      <c r="L1060" s="149"/>
      <c r="M1060" s="185"/>
    </row>
    <row r="1061" spans="1:24" hidden="1">
      <c r="A1061" s="140" t="str">
        <f t="shared" si="16"/>
        <v>17301-43664-07-A14I</v>
      </c>
      <c r="B1061" s="162" t="s">
        <v>1118</v>
      </c>
      <c r="D1061" s="162" t="s">
        <v>1122</v>
      </c>
      <c r="E1061" s="162" t="s">
        <v>1560</v>
      </c>
      <c r="F1061" s="171">
        <v>47167</v>
      </c>
      <c r="G1061" s="141" t="s">
        <v>19</v>
      </c>
      <c r="H1061" s="174">
        <v>7</v>
      </c>
      <c r="I1061" s="196" t="s">
        <v>505</v>
      </c>
      <c r="R1061" s="146"/>
      <c r="S1061" s="147"/>
      <c r="T1061" s="148"/>
      <c r="U1061" s="150"/>
      <c r="V1061" s="148"/>
      <c r="X1061" s="150"/>
    </row>
    <row r="1062" spans="1:24" hidden="1">
      <c r="A1062" s="140" t="str">
        <f t="shared" si="16"/>
        <v>17301-43664-07-L5E</v>
      </c>
      <c r="B1062" s="162" t="s">
        <v>1118</v>
      </c>
      <c r="D1062" s="162" t="s">
        <v>1122</v>
      </c>
      <c r="E1062" s="162" t="s">
        <v>1560</v>
      </c>
      <c r="F1062" s="171">
        <v>47167</v>
      </c>
      <c r="G1062" s="141" t="s">
        <v>19</v>
      </c>
      <c r="H1062" s="174">
        <v>7</v>
      </c>
      <c r="I1062" s="198" t="s">
        <v>815</v>
      </c>
      <c r="R1062" s="146"/>
      <c r="S1062" s="147"/>
      <c r="T1062" s="148"/>
      <c r="U1062" s="150"/>
      <c r="V1062" s="148"/>
      <c r="X1062" s="150"/>
    </row>
    <row r="1063" spans="1:24" hidden="1">
      <c r="A1063" s="140" t="str">
        <f t="shared" si="16"/>
        <v>17301-43664-07-A5F</v>
      </c>
      <c r="B1063" s="162" t="s">
        <v>1118</v>
      </c>
      <c r="D1063" s="162" t="s">
        <v>1122</v>
      </c>
      <c r="E1063" s="162" t="s">
        <v>1560</v>
      </c>
      <c r="F1063" s="171">
        <v>47167</v>
      </c>
      <c r="G1063" s="141" t="s">
        <v>19</v>
      </c>
      <c r="H1063" s="174">
        <v>7</v>
      </c>
      <c r="I1063" s="186" t="s">
        <v>833</v>
      </c>
      <c r="R1063" s="146"/>
      <c r="S1063" s="147"/>
      <c r="T1063" s="148"/>
      <c r="U1063" s="150"/>
      <c r="V1063" s="148"/>
      <c r="X1063" s="150"/>
    </row>
    <row r="1064" spans="1:24" hidden="1">
      <c r="A1064" s="140" t="str">
        <f t="shared" si="16"/>
        <v>17301-43664-07-A6E</v>
      </c>
      <c r="B1064" s="162" t="s">
        <v>1118</v>
      </c>
      <c r="D1064" s="162" t="s">
        <v>1122</v>
      </c>
      <c r="E1064" s="162" t="s">
        <v>1560</v>
      </c>
      <c r="F1064" s="171">
        <v>47167</v>
      </c>
      <c r="G1064" s="141" t="s">
        <v>19</v>
      </c>
      <c r="H1064" s="174">
        <v>7</v>
      </c>
      <c r="I1064" s="186" t="s">
        <v>834</v>
      </c>
    </row>
    <row r="1065" spans="1:24" hidden="1">
      <c r="A1065" s="140" t="str">
        <f t="shared" si="16"/>
        <v>17301-43664-07-A7G</v>
      </c>
      <c r="B1065" s="162" t="s">
        <v>1118</v>
      </c>
      <c r="D1065" s="162" t="s">
        <v>1122</v>
      </c>
      <c r="E1065" s="162" t="s">
        <v>1560</v>
      </c>
      <c r="F1065" s="171">
        <v>47167</v>
      </c>
      <c r="G1065" s="141" t="s">
        <v>19</v>
      </c>
      <c r="H1065" s="174">
        <v>7</v>
      </c>
      <c r="I1065" s="190" t="s">
        <v>497</v>
      </c>
    </row>
    <row r="1066" spans="1:24" hidden="1">
      <c r="A1066" s="140" t="str">
        <f t="shared" si="16"/>
        <v>17301-43664-07-A9F</v>
      </c>
      <c r="B1066" s="162" t="s">
        <v>1118</v>
      </c>
      <c r="D1066" s="162" t="s">
        <v>1122</v>
      </c>
      <c r="E1066" s="162" t="s">
        <v>1560</v>
      </c>
      <c r="F1066" s="171">
        <v>47167</v>
      </c>
      <c r="G1066" s="141" t="s">
        <v>19</v>
      </c>
      <c r="H1066" s="174">
        <v>7</v>
      </c>
      <c r="I1066" s="186" t="s">
        <v>863</v>
      </c>
      <c r="R1066" s="151"/>
      <c r="S1066" s="147"/>
      <c r="T1066" s="148"/>
    </row>
    <row r="1067" spans="1:24" hidden="1">
      <c r="A1067" s="140" t="str">
        <f t="shared" si="16"/>
        <v>17301-43664-07-F10E</v>
      </c>
      <c r="B1067" s="162" t="s">
        <v>1118</v>
      </c>
      <c r="D1067" s="162" t="s">
        <v>1122</v>
      </c>
      <c r="E1067" s="162" t="s">
        <v>1560</v>
      </c>
      <c r="F1067" s="171">
        <v>47167</v>
      </c>
      <c r="G1067" s="141" t="s">
        <v>19</v>
      </c>
      <c r="H1067" s="174">
        <v>7</v>
      </c>
      <c r="I1067" s="186" t="s">
        <v>183</v>
      </c>
      <c r="R1067" s="151"/>
      <c r="S1067" s="147"/>
      <c r="T1067" s="148"/>
    </row>
    <row r="1068" spans="1:24" hidden="1">
      <c r="A1068" s="140" t="str">
        <f t="shared" si="16"/>
        <v>17301-43664-07-A12A</v>
      </c>
      <c r="B1068" s="162" t="s">
        <v>1118</v>
      </c>
      <c r="D1068" s="162" t="s">
        <v>1122</v>
      </c>
      <c r="E1068" s="162" t="s">
        <v>1560</v>
      </c>
      <c r="F1068" s="171">
        <v>47167</v>
      </c>
      <c r="G1068" s="141" t="s">
        <v>19</v>
      </c>
      <c r="H1068" s="174">
        <v>7</v>
      </c>
      <c r="I1068" s="186" t="s">
        <v>27</v>
      </c>
      <c r="R1068" s="151"/>
      <c r="S1068" s="147"/>
      <c r="T1068" s="148"/>
    </row>
    <row r="1069" spans="1:24" hidden="1">
      <c r="A1069" s="140" t="str">
        <f t="shared" si="16"/>
        <v>17301-43664-07-A12B</v>
      </c>
      <c r="B1069" s="162" t="s">
        <v>1118</v>
      </c>
      <c r="D1069" s="162" t="s">
        <v>1122</v>
      </c>
      <c r="E1069" s="162" t="s">
        <v>1560</v>
      </c>
      <c r="F1069" s="171">
        <v>47167</v>
      </c>
      <c r="G1069" s="141" t="s">
        <v>19</v>
      </c>
      <c r="H1069" s="174">
        <v>7</v>
      </c>
      <c r="I1069" s="186" t="s">
        <v>147</v>
      </c>
      <c r="R1069" s="151"/>
      <c r="S1069" s="147"/>
      <c r="T1069" s="148"/>
    </row>
    <row r="1070" spans="1:24" hidden="1">
      <c r="A1070" s="140" t="str">
        <f t="shared" si="16"/>
        <v>17301-43664-07-F14F</v>
      </c>
      <c r="B1070" s="162" t="s">
        <v>1118</v>
      </c>
      <c r="D1070" s="162" t="s">
        <v>1122</v>
      </c>
      <c r="E1070" s="162" t="s">
        <v>1560</v>
      </c>
      <c r="F1070" s="171">
        <v>47167</v>
      </c>
      <c r="G1070" s="141" t="s">
        <v>19</v>
      </c>
      <c r="H1070" s="174">
        <v>7</v>
      </c>
      <c r="I1070" s="186" t="s">
        <v>185</v>
      </c>
      <c r="P1070" s="155"/>
    </row>
    <row r="1071" spans="1:24" hidden="1">
      <c r="A1071" s="140" t="str">
        <f t="shared" si="16"/>
        <v>17301-43664-07-A14FW</v>
      </c>
      <c r="B1071" s="162" t="s">
        <v>1118</v>
      </c>
      <c r="D1071" s="162" t="s">
        <v>1122</v>
      </c>
      <c r="E1071" s="162" t="s">
        <v>1560</v>
      </c>
      <c r="F1071" s="171">
        <v>47167</v>
      </c>
      <c r="G1071" s="141" t="s">
        <v>19</v>
      </c>
      <c r="H1071" s="174">
        <v>7</v>
      </c>
      <c r="I1071" s="186" t="s">
        <v>835</v>
      </c>
      <c r="P1071" s="155"/>
      <c r="R1071" s="146"/>
      <c r="S1071" s="147"/>
      <c r="T1071" s="148"/>
    </row>
    <row r="1072" spans="1:24" hidden="1">
      <c r="A1072" s="140" t="str">
        <f t="shared" si="16"/>
        <v>17301-43664-07-L9ER</v>
      </c>
      <c r="B1072" s="162" t="s">
        <v>1118</v>
      </c>
      <c r="D1072" s="162" t="s">
        <v>1122</v>
      </c>
      <c r="E1072" s="162" t="s">
        <v>1560</v>
      </c>
      <c r="F1072" s="171">
        <v>47167</v>
      </c>
      <c r="G1072" s="141" t="s">
        <v>19</v>
      </c>
      <c r="H1072" s="174">
        <v>7</v>
      </c>
      <c r="I1072" s="188" t="s">
        <v>532</v>
      </c>
      <c r="P1072" s="155"/>
      <c r="R1072" s="151"/>
      <c r="S1072" s="147"/>
      <c r="T1072" s="148"/>
    </row>
    <row r="1073" spans="1:20" hidden="1">
      <c r="A1073" s="140" t="str">
        <f t="shared" si="16"/>
        <v>17301-43664-07-L9EV</v>
      </c>
      <c r="B1073" s="162" t="s">
        <v>1118</v>
      </c>
      <c r="D1073" s="162" t="s">
        <v>1122</v>
      </c>
      <c r="E1073" s="162" t="s">
        <v>1560</v>
      </c>
      <c r="F1073" s="171">
        <v>47167</v>
      </c>
      <c r="G1073" s="141" t="s">
        <v>19</v>
      </c>
      <c r="H1073" s="174">
        <v>7</v>
      </c>
      <c r="I1073" s="186" t="s">
        <v>836</v>
      </c>
      <c r="P1073" s="155"/>
      <c r="R1073" s="151"/>
      <c r="S1073" s="147"/>
      <c r="T1073" s="148"/>
    </row>
    <row r="1074" spans="1:20" hidden="1">
      <c r="A1074" s="140" t="str">
        <f t="shared" si="16"/>
        <v>17301-43664-07-L8EV</v>
      </c>
      <c r="B1074" s="162" t="s">
        <v>1118</v>
      </c>
      <c r="D1074" s="162" t="s">
        <v>1122</v>
      </c>
      <c r="E1074" s="162" t="s">
        <v>1560</v>
      </c>
      <c r="F1074" s="171">
        <v>47167</v>
      </c>
      <c r="G1074" s="141" t="s">
        <v>19</v>
      </c>
      <c r="H1074" s="174">
        <v>7</v>
      </c>
      <c r="I1074" s="198" t="s">
        <v>531</v>
      </c>
      <c r="P1074" s="155"/>
      <c r="R1074" s="151"/>
      <c r="S1074" s="147"/>
      <c r="T1074" s="148"/>
    </row>
    <row r="1075" spans="1:20" ht="14.25" hidden="1" thickBot="1">
      <c r="A1075" s="140" t="str">
        <f t="shared" si="16"/>
        <v>17301-43664-08-A14I</v>
      </c>
      <c r="B1075" s="162" t="s">
        <v>1118</v>
      </c>
      <c r="D1075" s="162" t="s">
        <v>1122</v>
      </c>
      <c r="E1075" s="162" t="s">
        <v>1560</v>
      </c>
      <c r="F1075" s="171">
        <v>52999</v>
      </c>
      <c r="G1075" s="141" t="s">
        <v>19</v>
      </c>
      <c r="H1075" s="174">
        <v>8</v>
      </c>
      <c r="I1075" s="212" t="s">
        <v>493</v>
      </c>
      <c r="J1075" s="174">
        <v>8550</v>
      </c>
      <c r="K1075" s="174">
        <v>8550</v>
      </c>
      <c r="L1075" s="149"/>
      <c r="M1075" s="185"/>
      <c r="O1075" s="156"/>
    </row>
    <row r="1076" spans="1:20" hidden="1">
      <c r="A1076" s="140" t="str">
        <f t="shared" si="16"/>
        <v>17301-43664-08-L5E</v>
      </c>
      <c r="B1076" s="162" t="s">
        <v>1118</v>
      </c>
      <c r="D1076" s="162" t="s">
        <v>1122</v>
      </c>
      <c r="E1076" s="162" t="s">
        <v>1560</v>
      </c>
      <c r="F1076" s="171">
        <v>52999</v>
      </c>
      <c r="G1076" s="141" t="s">
        <v>19</v>
      </c>
      <c r="H1076" s="174">
        <v>8</v>
      </c>
      <c r="I1076" s="186" t="s">
        <v>202</v>
      </c>
    </row>
    <row r="1077" spans="1:20" hidden="1">
      <c r="A1077" s="140" t="str">
        <f t="shared" si="16"/>
        <v>17301-43664-08-A5F</v>
      </c>
      <c r="B1077" s="162" t="s">
        <v>1118</v>
      </c>
      <c r="D1077" s="162" t="s">
        <v>1122</v>
      </c>
      <c r="E1077" s="162" t="s">
        <v>1560</v>
      </c>
      <c r="F1077" s="171">
        <v>52999</v>
      </c>
      <c r="G1077" s="141" t="s">
        <v>900</v>
      </c>
      <c r="H1077" s="174">
        <v>8</v>
      </c>
      <c r="I1077" s="190" t="s">
        <v>803</v>
      </c>
      <c r="J1077" s="174">
        <v>7904</v>
      </c>
      <c r="K1077" s="174">
        <v>7904</v>
      </c>
      <c r="L1077" s="149"/>
      <c r="M1077" s="185"/>
    </row>
    <row r="1078" spans="1:20" hidden="1">
      <c r="A1078" s="140" t="str">
        <f t="shared" si="16"/>
        <v>17301-43664-08-A6E</v>
      </c>
      <c r="B1078" s="162" t="s">
        <v>1118</v>
      </c>
      <c r="D1078" s="162" t="s">
        <v>1122</v>
      </c>
      <c r="E1078" s="162" t="s">
        <v>1560</v>
      </c>
      <c r="F1078" s="171">
        <v>52999</v>
      </c>
      <c r="G1078" s="141" t="s">
        <v>900</v>
      </c>
      <c r="H1078" s="174">
        <v>8</v>
      </c>
      <c r="I1078" s="186" t="s">
        <v>403</v>
      </c>
      <c r="J1078" s="174">
        <v>2927</v>
      </c>
      <c r="K1078" s="174">
        <v>2927</v>
      </c>
      <c r="L1078" s="149"/>
      <c r="M1078" s="185"/>
    </row>
    <row r="1079" spans="1:20" hidden="1">
      <c r="A1079" s="140" t="str">
        <f t="shared" si="16"/>
        <v>17301-43664-08-A7G</v>
      </c>
      <c r="B1079" s="162" t="s">
        <v>1118</v>
      </c>
      <c r="D1079" s="162" t="s">
        <v>1122</v>
      </c>
      <c r="E1079" s="162" t="s">
        <v>1560</v>
      </c>
      <c r="F1079" s="171">
        <v>52999</v>
      </c>
      <c r="G1079" s="141" t="s">
        <v>900</v>
      </c>
      <c r="H1079" s="174">
        <v>8</v>
      </c>
      <c r="I1079" s="190" t="s">
        <v>497</v>
      </c>
      <c r="J1079" s="174">
        <v>6388</v>
      </c>
      <c r="K1079" s="174">
        <v>6388</v>
      </c>
      <c r="L1079" s="149"/>
      <c r="M1079" s="185"/>
    </row>
    <row r="1080" spans="1:20" hidden="1">
      <c r="A1080" s="140" t="str">
        <f t="shared" ref="A1080:A1143" si="17">G1080&amp;"-"&amp;TEXT(H1080,"00")&amp;"-"&amp;I1080</f>
        <v>17301-43664-08-A7F</v>
      </c>
      <c r="B1080" s="162" t="s">
        <v>1118</v>
      </c>
      <c r="D1080" s="162" t="s">
        <v>1122</v>
      </c>
      <c r="E1080" s="162" t="s">
        <v>1560</v>
      </c>
      <c r="F1080" s="171">
        <v>52999</v>
      </c>
      <c r="G1080" s="141" t="s">
        <v>900</v>
      </c>
      <c r="H1080" s="174">
        <v>8</v>
      </c>
      <c r="I1080" s="190" t="s">
        <v>804</v>
      </c>
      <c r="J1080" s="174">
        <v>1861</v>
      </c>
      <c r="K1080" s="174">
        <v>1861</v>
      </c>
      <c r="L1080" s="149"/>
      <c r="M1080" s="185"/>
    </row>
    <row r="1081" spans="1:20" ht="13.5" hidden="1" customHeight="1">
      <c r="A1081" s="140" t="str">
        <f t="shared" si="17"/>
        <v>17301-43664-08-A9F</v>
      </c>
      <c r="B1081" s="162" t="s">
        <v>1118</v>
      </c>
      <c r="D1081" s="162" t="s">
        <v>1122</v>
      </c>
      <c r="E1081" s="162" t="s">
        <v>1560</v>
      </c>
      <c r="F1081" s="171">
        <v>52999</v>
      </c>
      <c r="G1081" s="141" t="s">
        <v>900</v>
      </c>
      <c r="H1081" s="174">
        <v>8</v>
      </c>
      <c r="I1081" s="186" t="s">
        <v>863</v>
      </c>
      <c r="J1081" s="174">
        <v>2415</v>
      </c>
      <c r="K1081" s="174">
        <v>2415</v>
      </c>
      <c r="L1081" s="149"/>
      <c r="M1081" s="185"/>
    </row>
    <row r="1082" spans="1:20" hidden="1">
      <c r="A1082" s="140" t="str">
        <f t="shared" si="17"/>
        <v>17301-43664-08-F10E</v>
      </c>
      <c r="B1082" s="162" t="s">
        <v>1118</v>
      </c>
      <c r="D1082" s="162" t="s">
        <v>1122</v>
      </c>
      <c r="E1082" s="162" t="s">
        <v>1560</v>
      </c>
      <c r="F1082" s="171">
        <v>52999</v>
      </c>
      <c r="G1082" s="141" t="s">
        <v>900</v>
      </c>
      <c r="H1082" s="174">
        <v>8</v>
      </c>
      <c r="I1082" s="186" t="s">
        <v>183</v>
      </c>
      <c r="J1082" s="174">
        <v>580</v>
      </c>
      <c r="K1082" s="174">
        <v>580</v>
      </c>
      <c r="L1082" s="149"/>
      <c r="M1082" s="185"/>
    </row>
    <row r="1083" spans="1:20" hidden="1">
      <c r="A1083" s="140" t="str">
        <f t="shared" si="17"/>
        <v>17301-43664-08-A12A</v>
      </c>
      <c r="B1083" s="162" t="s">
        <v>1118</v>
      </c>
      <c r="D1083" s="162" t="s">
        <v>1122</v>
      </c>
      <c r="E1083" s="162" t="s">
        <v>1560</v>
      </c>
      <c r="F1083" s="171">
        <v>52999</v>
      </c>
      <c r="G1083" s="141" t="s">
        <v>900</v>
      </c>
      <c r="H1083" s="174">
        <v>8</v>
      </c>
      <c r="I1083" s="215" t="s">
        <v>27</v>
      </c>
      <c r="J1083" s="174">
        <v>3832</v>
      </c>
      <c r="K1083" s="174">
        <v>3832</v>
      </c>
      <c r="L1083" s="149"/>
      <c r="M1083" s="185"/>
      <c r="O1083" s="156"/>
    </row>
    <row r="1084" spans="1:20" hidden="1">
      <c r="A1084" s="140" t="str">
        <f t="shared" si="17"/>
        <v>17301-43664-08-A12B</v>
      </c>
      <c r="B1084" s="162" t="s">
        <v>1118</v>
      </c>
      <c r="D1084" s="162" t="s">
        <v>1122</v>
      </c>
      <c r="E1084" s="162" t="s">
        <v>1560</v>
      </c>
      <c r="F1084" s="171">
        <v>52999</v>
      </c>
      <c r="G1084" s="141" t="s">
        <v>900</v>
      </c>
      <c r="H1084" s="174">
        <v>8</v>
      </c>
      <c r="I1084" s="190" t="s">
        <v>147</v>
      </c>
      <c r="J1084" s="174">
        <v>6504</v>
      </c>
      <c r="K1084" s="174">
        <v>6504</v>
      </c>
      <c r="L1084" s="149"/>
      <c r="M1084" s="185"/>
      <c r="O1084" s="156"/>
    </row>
    <row r="1085" spans="1:20" hidden="1">
      <c r="A1085" s="140" t="str">
        <f t="shared" si="17"/>
        <v>17301-43664-08-F14F</v>
      </c>
      <c r="B1085" s="162" t="s">
        <v>1118</v>
      </c>
      <c r="D1085" s="162" t="s">
        <v>1122</v>
      </c>
      <c r="E1085" s="162" t="s">
        <v>1560</v>
      </c>
      <c r="F1085" s="171">
        <v>52999</v>
      </c>
      <c r="G1085" s="141" t="s">
        <v>900</v>
      </c>
      <c r="H1085" s="174">
        <v>8</v>
      </c>
      <c r="I1085" s="186" t="s">
        <v>185</v>
      </c>
      <c r="J1085" s="174">
        <v>2030</v>
      </c>
      <c r="K1085" s="174">
        <v>2030</v>
      </c>
      <c r="L1085" s="149"/>
      <c r="M1085" s="185"/>
    </row>
    <row r="1086" spans="1:20" hidden="1">
      <c r="A1086" s="140" t="str">
        <f t="shared" si="17"/>
        <v>17301-43664-08-A14FW</v>
      </c>
      <c r="B1086" s="162" t="s">
        <v>1118</v>
      </c>
      <c r="D1086" s="162" t="s">
        <v>1122</v>
      </c>
      <c r="E1086" s="162" t="s">
        <v>1560</v>
      </c>
      <c r="F1086" s="171">
        <v>52999</v>
      </c>
      <c r="G1086" s="141" t="s">
        <v>900</v>
      </c>
      <c r="H1086" s="174">
        <v>8</v>
      </c>
      <c r="I1086" s="186" t="s">
        <v>52</v>
      </c>
    </row>
    <row r="1087" spans="1:20" hidden="1">
      <c r="A1087" s="140" t="str">
        <f t="shared" si="17"/>
        <v>17301-43664-08-L9ER</v>
      </c>
      <c r="B1087" s="162" t="s">
        <v>1118</v>
      </c>
      <c r="D1087" s="162" t="s">
        <v>1122</v>
      </c>
      <c r="E1087" s="162" t="s">
        <v>1560</v>
      </c>
      <c r="F1087" s="171">
        <v>52999</v>
      </c>
      <c r="G1087" s="141" t="s">
        <v>900</v>
      </c>
      <c r="H1087" s="174">
        <v>8</v>
      </c>
      <c r="I1087" s="188" t="s">
        <v>532</v>
      </c>
    </row>
    <row r="1088" spans="1:20" hidden="1">
      <c r="A1088" s="140" t="str">
        <f t="shared" si="17"/>
        <v>17301-43664-08-L9EV</v>
      </c>
      <c r="B1088" s="162" t="s">
        <v>1118</v>
      </c>
      <c r="D1088" s="162" t="s">
        <v>1122</v>
      </c>
      <c r="E1088" s="162" t="s">
        <v>1560</v>
      </c>
      <c r="F1088" s="171">
        <v>52999</v>
      </c>
      <c r="G1088" s="141" t="s">
        <v>900</v>
      </c>
      <c r="H1088" s="174">
        <v>8</v>
      </c>
      <c r="I1088" s="186" t="s">
        <v>537</v>
      </c>
    </row>
    <row r="1089" spans="1:15" hidden="1">
      <c r="A1089" s="140" t="str">
        <f t="shared" si="17"/>
        <v>17301-43664-08-L8EV</v>
      </c>
      <c r="B1089" s="162" t="s">
        <v>1118</v>
      </c>
      <c r="D1089" s="162" t="s">
        <v>1122</v>
      </c>
      <c r="E1089" s="162" t="s">
        <v>1560</v>
      </c>
      <c r="F1089" s="171">
        <v>52999</v>
      </c>
      <c r="G1089" s="141" t="s">
        <v>900</v>
      </c>
      <c r="H1089" s="174">
        <v>8</v>
      </c>
      <c r="I1089" s="215" t="s">
        <v>225</v>
      </c>
      <c r="J1089" s="174">
        <v>5239</v>
      </c>
      <c r="K1089" s="174">
        <v>5239</v>
      </c>
      <c r="L1089" s="149"/>
      <c r="M1089" s="185"/>
      <c r="O1089" s="156"/>
    </row>
    <row r="1090" spans="1:15" ht="14.25" hidden="1" thickBot="1">
      <c r="A1090" s="140" t="str">
        <f t="shared" si="17"/>
        <v>17301-43664-09-A14I</v>
      </c>
      <c r="B1090" s="162" t="s">
        <v>1118</v>
      </c>
      <c r="D1090" s="162" t="s">
        <v>1122</v>
      </c>
      <c r="E1090" s="162" t="s">
        <v>1560</v>
      </c>
      <c r="F1090" s="171">
        <v>53855</v>
      </c>
      <c r="G1090" s="141" t="s">
        <v>19</v>
      </c>
      <c r="H1090" s="174">
        <v>9</v>
      </c>
      <c r="I1090" s="203" t="s">
        <v>493</v>
      </c>
    </row>
    <row r="1091" spans="1:15" hidden="1">
      <c r="A1091" s="140" t="str">
        <f t="shared" si="17"/>
        <v>17301-43664-09-L5E</v>
      </c>
      <c r="B1091" s="162" t="s">
        <v>1118</v>
      </c>
      <c r="D1091" s="162" t="s">
        <v>1122</v>
      </c>
      <c r="E1091" s="162" t="s">
        <v>1560</v>
      </c>
      <c r="F1091" s="171">
        <v>53855</v>
      </c>
      <c r="G1091" s="141" t="s">
        <v>19</v>
      </c>
      <c r="H1091" s="174">
        <v>9</v>
      </c>
      <c r="I1091" s="186" t="s">
        <v>202</v>
      </c>
      <c r="L1091" s="149"/>
      <c r="M1091" s="185"/>
    </row>
    <row r="1092" spans="1:15" hidden="1">
      <c r="A1092" s="140" t="str">
        <f t="shared" si="17"/>
        <v>17301-43664-09-A5F</v>
      </c>
      <c r="B1092" s="162" t="s">
        <v>1118</v>
      </c>
      <c r="D1092" s="162" t="s">
        <v>1122</v>
      </c>
      <c r="E1092" s="162" t="s">
        <v>1560</v>
      </c>
      <c r="F1092" s="171">
        <v>53855</v>
      </c>
      <c r="G1092" s="141" t="s">
        <v>19</v>
      </c>
      <c r="H1092" s="174">
        <v>9</v>
      </c>
      <c r="I1092" s="190" t="s">
        <v>803</v>
      </c>
      <c r="J1092" s="174">
        <v>8522</v>
      </c>
      <c r="K1092" s="174">
        <v>8522</v>
      </c>
      <c r="L1092" s="149"/>
      <c r="M1092" s="185"/>
    </row>
    <row r="1093" spans="1:15" hidden="1">
      <c r="A1093" s="140" t="str">
        <f t="shared" si="17"/>
        <v>17301-43664-09-A6E</v>
      </c>
      <c r="B1093" s="162" t="s">
        <v>1118</v>
      </c>
      <c r="D1093" s="162" t="s">
        <v>1122</v>
      </c>
      <c r="E1093" s="162" t="s">
        <v>1560</v>
      </c>
      <c r="F1093" s="171">
        <v>53855</v>
      </c>
      <c r="G1093" s="141" t="s">
        <v>19</v>
      </c>
      <c r="H1093" s="174">
        <v>9</v>
      </c>
      <c r="I1093" s="186" t="s">
        <v>403</v>
      </c>
      <c r="J1093" s="174">
        <v>3404</v>
      </c>
      <c r="K1093" s="174">
        <v>3404</v>
      </c>
      <c r="L1093" s="149"/>
      <c r="M1093" s="185"/>
    </row>
    <row r="1094" spans="1:15" hidden="1">
      <c r="A1094" s="140" t="str">
        <f t="shared" si="17"/>
        <v>17301-43664-09-A7G</v>
      </c>
      <c r="B1094" s="162" t="s">
        <v>1118</v>
      </c>
      <c r="D1094" s="162" t="s">
        <v>1122</v>
      </c>
      <c r="E1094" s="162" t="s">
        <v>1560</v>
      </c>
      <c r="F1094" s="171">
        <v>53855</v>
      </c>
      <c r="G1094" s="141" t="s">
        <v>19</v>
      </c>
      <c r="H1094" s="174">
        <v>9</v>
      </c>
      <c r="I1094" s="190" t="s">
        <v>497</v>
      </c>
      <c r="J1094" s="174">
        <v>6805</v>
      </c>
      <c r="K1094" s="174">
        <v>6805</v>
      </c>
      <c r="L1094" s="149"/>
      <c r="M1094" s="185"/>
    </row>
    <row r="1095" spans="1:15" hidden="1">
      <c r="A1095" s="140" t="str">
        <f t="shared" si="17"/>
        <v>17301-43664-09-A7F</v>
      </c>
      <c r="B1095" s="162" t="s">
        <v>1118</v>
      </c>
      <c r="D1095" s="162" t="s">
        <v>1122</v>
      </c>
      <c r="E1095" s="162" t="s">
        <v>1560</v>
      </c>
      <c r="F1095" s="171">
        <v>53855</v>
      </c>
      <c r="G1095" s="141" t="s">
        <v>19</v>
      </c>
      <c r="H1095" s="174">
        <v>9</v>
      </c>
      <c r="I1095" s="190" t="s">
        <v>804</v>
      </c>
      <c r="J1095" s="174">
        <v>1883</v>
      </c>
      <c r="K1095" s="174">
        <v>1883</v>
      </c>
      <c r="L1095" s="149"/>
      <c r="M1095" s="185"/>
    </row>
    <row r="1096" spans="1:15" hidden="1">
      <c r="A1096" s="140" t="str">
        <f t="shared" si="17"/>
        <v>17301-43664-09-A9F</v>
      </c>
      <c r="B1096" s="162" t="s">
        <v>1118</v>
      </c>
      <c r="D1096" s="162" t="s">
        <v>1122</v>
      </c>
      <c r="E1096" s="162" t="s">
        <v>1560</v>
      </c>
      <c r="F1096" s="171">
        <v>53855</v>
      </c>
      <c r="G1096" s="141" t="s">
        <v>19</v>
      </c>
      <c r="H1096" s="174">
        <v>9</v>
      </c>
      <c r="I1096" s="186" t="s">
        <v>863</v>
      </c>
      <c r="J1096" s="174">
        <v>2847</v>
      </c>
      <c r="K1096" s="174">
        <v>2847</v>
      </c>
      <c r="L1096" s="149"/>
      <c r="M1096" s="185"/>
    </row>
    <row r="1097" spans="1:15" hidden="1">
      <c r="A1097" s="140" t="str">
        <f t="shared" si="17"/>
        <v>17301-43664-09-F10E</v>
      </c>
      <c r="B1097" s="162" t="s">
        <v>1118</v>
      </c>
      <c r="D1097" s="162" t="s">
        <v>1122</v>
      </c>
      <c r="E1097" s="162" t="s">
        <v>1560</v>
      </c>
      <c r="F1097" s="171">
        <v>53855</v>
      </c>
      <c r="G1097" s="141" t="s">
        <v>19</v>
      </c>
      <c r="H1097" s="174">
        <v>9</v>
      </c>
      <c r="I1097" s="186" t="s">
        <v>183</v>
      </c>
      <c r="J1097" s="174">
        <v>878</v>
      </c>
      <c r="K1097" s="174">
        <v>878</v>
      </c>
      <c r="L1097" s="149"/>
      <c r="M1097" s="185"/>
    </row>
    <row r="1098" spans="1:15" hidden="1">
      <c r="A1098" s="140" t="str">
        <f t="shared" si="17"/>
        <v>17301-43664-09-A12A</v>
      </c>
      <c r="B1098" s="162" t="s">
        <v>1118</v>
      </c>
      <c r="D1098" s="162" t="s">
        <v>1122</v>
      </c>
      <c r="E1098" s="162" t="s">
        <v>1560</v>
      </c>
      <c r="F1098" s="171">
        <v>53855</v>
      </c>
      <c r="G1098" s="141" t="s">
        <v>19</v>
      </c>
      <c r="H1098" s="174">
        <v>9</v>
      </c>
      <c r="I1098" s="190" t="s">
        <v>27</v>
      </c>
      <c r="J1098" s="174">
        <v>3854</v>
      </c>
      <c r="K1098" s="174">
        <v>3854</v>
      </c>
      <c r="L1098" s="149"/>
      <c r="M1098" s="185"/>
    </row>
    <row r="1099" spans="1:15" hidden="1">
      <c r="A1099" s="140" t="str">
        <f t="shared" si="17"/>
        <v>17301-43664-09-A12B</v>
      </c>
      <c r="B1099" s="162" t="s">
        <v>1118</v>
      </c>
      <c r="D1099" s="162" t="s">
        <v>1122</v>
      </c>
      <c r="E1099" s="162" t="s">
        <v>1560</v>
      </c>
      <c r="F1099" s="171">
        <v>53855</v>
      </c>
      <c r="G1099" s="141" t="s">
        <v>19</v>
      </c>
      <c r="H1099" s="174">
        <v>9</v>
      </c>
      <c r="I1099" s="190" t="s">
        <v>147</v>
      </c>
      <c r="J1099" s="174">
        <v>6982</v>
      </c>
      <c r="K1099" s="174">
        <v>6983</v>
      </c>
      <c r="L1099" s="149"/>
      <c r="M1099" s="185"/>
    </row>
    <row r="1100" spans="1:15" hidden="1">
      <c r="A1100" s="140" t="str">
        <f t="shared" si="17"/>
        <v>17301-43664-09-F14F</v>
      </c>
      <c r="B1100" s="162" t="s">
        <v>1118</v>
      </c>
      <c r="D1100" s="162" t="s">
        <v>1122</v>
      </c>
      <c r="E1100" s="162" t="s">
        <v>1560</v>
      </c>
      <c r="F1100" s="171">
        <v>53855</v>
      </c>
      <c r="G1100" s="141" t="s">
        <v>19</v>
      </c>
      <c r="H1100" s="174">
        <v>9</v>
      </c>
      <c r="I1100" s="186" t="s">
        <v>185</v>
      </c>
      <c r="J1100" s="174">
        <v>2149</v>
      </c>
      <c r="K1100" s="174">
        <v>2149</v>
      </c>
      <c r="L1100" s="149"/>
      <c r="M1100" s="185"/>
    </row>
    <row r="1101" spans="1:15" hidden="1">
      <c r="A1101" s="140" t="str">
        <f t="shared" si="17"/>
        <v>17301-43664-09-A14FW</v>
      </c>
      <c r="B1101" s="162" t="s">
        <v>1118</v>
      </c>
      <c r="D1101" s="162" t="s">
        <v>1122</v>
      </c>
      <c r="E1101" s="162" t="s">
        <v>1560</v>
      </c>
      <c r="F1101" s="171">
        <v>53855</v>
      </c>
      <c r="G1101" s="141" t="s">
        <v>19</v>
      </c>
      <c r="H1101" s="174">
        <v>9</v>
      </c>
      <c r="I1101" s="186" t="s">
        <v>52</v>
      </c>
    </row>
    <row r="1102" spans="1:15" hidden="1">
      <c r="A1102" s="140" t="str">
        <f t="shared" si="17"/>
        <v>17301-43664-09-L9ER</v>
      </c>
      <c r="B1102" s="162" t="s">
        <v>1118</v>
      </c>
      <c r="D1102" s="162" t="s">
        <v>1122</v>
      </c>
      <c r="E1102" s="162" t="s">
        <v>1560</v>
      </c>
      <c r="F1102" s="171">
        <v>53855</v>
      </c>
      <c r="G1102" s="141" t="s">
        <v>19</v>
      </c>
      <c r="H1102" s="174">
        <v>9</v>
      </c>
      <c r="I1102" s="188" t="s">
        <v>532</v>
      </c>
    </row>
    <row r="1103" spans="1:15" hidden="1">
      <c r="A1103" s="140" t="str">
        <f t="shared" si="17"/>
        <v>17301-43664-09-L9EV</v>
      </c>
      <c r="B1103" s="162" t="s">
        <v>1118</v>
      </c>
      <c r="D1103" s="162" t="s">
        <v>1122</v>
      </c>
      <c r="E1103" s="162" t="s">
        <v>1560</v>
      </c>
      <c r="F1103" s="171">
        <v>53855</v>
      </c>
      <c r="G1103" s="141" t="s">
        <v>19</v>
      </c>
      <c r="H1103" s="174">
        <v>9</v>
      </c>
      <c r="I1103" s="186" t="s">
        <v>537</v>
      </c>
    </row>
    <row r="1104" spans="1:15" hidden="1">
      <c r="A1104" s="140" t="str">
        <f t="shared" si="17"/>
        <v>17301-43664-09-L8EV</v>
      </c>
      <c r="B1104" s="162" t="s">
        <v>1118</v>
      </c>
      <c r="D1104" s="162" t="s">
        <v>1122</v>
      </c>
      <c r="E1104" s="162" t="s">
        <v>1560</v>
      </c>
      <c r="F1104" s="171">
        <v>53855</v>
      </c>
      <c r="G1104" s="141" t="s">
        <v>19</v>
      </c>
      <c r="H1104" s="174">
        <v>9</v>
      </c>
      <c r="I1104" s="190" t="s">
        <v>225</v>
      </c>
    </row>
    <row r="1105" spans="1:9" ht="14.25" hidden="1" thickBot="1">
      <c r="A1105" s="140" t="str">
        <f t="shared" si="17"/>
        <v>17301-43664-10-A14I</v>
      </c>
      <c r="B1105" s="162" t="s">
        <v>1118</v>
      </c>
      <c r="D1105" s="162" t="s">
        <v>1122</v>
      </c>
      <c r="E1105" s="162" t="s">
        <v>1560</v>
      </c>
      <c r="F1105" s="171">
        <v>54923</v>
      </c>
      <c r="G1105" s="141" t="s">
        <v>19</v>
      </c>
      <c r="H1105" s="174">
        <v>10</v>
      </c>
      <c r="I1105" s="203" t="s">
        <v>493</v>
      </c>
    </row>
    <row r="1106" spans="1:9" hidden="1">
      <c r="A1106" s="140" t="str">
        <f t="shared" si="17"/>
        <v>17301-43664-10-L5E</v>
      </c>
      <c r="B1106" s="162" t="s">
        <v>1118</v>
      </c>
      <c r="D1106" s="162" t="s">
        <v>1122</v>
      </c>
      <c r="E1106" s="162" t="s">
        <v>1560</v>
      </c>
      <c r="F1106" s="171">
        <v>54923</v>
      </c>
      <c r="G1106" s="141" t="s">
        <v>19</v>
      </c>
      <c r="H1106" s="174">
        <v>10</v>
      </c>
      <c r="I1106" s="186" t="s">
        <v>202</v>
      </c>
    </row>
    <row r="1107" spans="1:9" hidden="1">
      <c r="A1107" s="140" t="str">
        <f t="shared" si="17"/>
        <v>17301-43664-10-A5F</v>
      </c>
      <c r="B1107" s="162" t="s">
        <v>1118</v>
      </c>
      <c r="D1107" s="162" t="s">
        <v>1122</v>
      </c>
      <c r="E1107" s="162" t="s">
        <v>1560</v>
      </c>
      <c r="F1107" s="171">
        <v>54923</v>
      </c>
      <c r="G1107" s="141" t="s">
        <v>900</v>
      </c>
      <c r="H1107" s="174">
        <v>10</v>
      </c>
      <c r="I1107" s="190" t="s">
        <v>803</v>
      </c>
    </row>
    <row r="1108" spans="1:9" hidden="1">
      <c r="A1108" s="140" t="str">
        <f t="shared" si="17"/>
        <v>17301-43664-10-A6E</v>
      </c>
      <c r="B1108" s="162" t="s">
        <v>1118</v>
      </c>
      <c r="D1108" s="162" t="s">
        <v>1122</v>
      </c>
      <c r="E1108" s="162" t="s">
        <v>1560</v>
      </c>
      <c r="F1108" s="171">
        <v>54923</v>
      </c>
      <c r="G1108" s="141" t="s">
        <v>900</v>
      </c>
      <c r="H1108" s="174">
        <v>10</v>
      </c>
      <c r="I1108" s="186" t="s">
        <v>403</v>
      </c>
    </row>
    <row r="1109" spans="1:9" hidden="1">
      <c r="A1109" s="140" t="str">
        <f t="shared" si="17"/>
        <v>17301-43664-10-A7G</v>
      </c>
      <c r="B1109" s="162" t="s">
        <v>1118</v>
      </c>
      <c r="D1109" s="162" t="s">
        <v>1122</v>
      </c>
      <c r="E1109" s="162" t="s">
        <v>1560</v>
      </c>
      <c r="F1109" s="171">
        <v>54923</v>
      </c>
      <c r="G1109" s="141" t="s">
        <v>900</v>
      </c>
      <c r="H1109" s="174">
        <v>10</v>
      </c>
      <c r="I1109" s="190" t="s">
        <v>497</v>
      </c>
    </row>
    <row r="1110" spans="1:9" hidden="1">
      <c r="A1110" s="140" t="str">
        <f t="shared" si="17"/>
        <v>17301-43664-10-A7F</v>
      </c>
      <c r="B1110" s="162" t="s">
        <v>1118</v>
      </c>
      <c r="D1110" s="162" t="s">
        <v>1122</v>
      </c>
      <c r="E1110" s="162" t="s">
        <v>1560</v>
      </c>
      <c r="F1110" s="171">
        <v>54923</v>
      </c>
      <c r="G1110" s="141" t="s">
        <v>900</v>
      </c>
      <c r="H1110" s="174">
        <v>10</v>
      </c>
      <c r="I1110" s="190" t="s">
        <v>804</v>
      </c>
    </row>
    <row r="1111" spans="1:9" hidden="1">
      <c r="A1111" s="140" t="str">
        <f t="shared" si="17"/>
        <v>17301-43664-10-A9F</v>
      </c>
      <c r="B1111" s="162" t="s">
        <v>1118</v>
      </c>
      <c r="D1111" s="162" t="s">
        <v>1122</v>
      </c>
      <c r="E1111" s="162" t="s">
        <v>1560</v>
      </c>
      <c r="F1111" s="171">
        <v>54923</v>
      </c>
      <c r="G1111" s="141" t="s">
        <v>900</v>
      </c>
      <c r="H1111" s="174">
        <v>10</v>
      </c>
      <c r="I1111" s="186" t="s">
        <v>863</v>
      </c>
    </row>
    <row r="1112" spans="1:9" hidden="1">
      <c r="A1112" s="140" t="str">
        <f t="shared" si="17"/>
        <v>17301-43664-10-F10E</v>
      </c>
      <c r="B1112" s="162" t="s">
        <v>1118</v>
      </c>
      <c r="D1112" s="162" t="s">
        <v>1122</v>
      </c>
      <c r="E1112" s="162" t="s">
        <v>1560</v>
      </c>
      <c r="F1112" s="171">
        <v>54923</v>
      </c>
      <c r="G1112" s="141" t="s">
        <v>900</v>
      </c>
      <c r="H1112" s="174">
        <v>10</v>
      </c>
      <c r="I1112" s="186" t="s">
        <v>183</v>
      </c>
    </row>
    <row r="1113" spans="1:9" hidden="1">
      <c r="A1113" s="140" t="str">
        <f t="shared" si="17"/>
        <v>17301-43664-10-A12A</v>
      </c>
      <c r="B1113" s="162" t="s">
        <v>1118</v>
      </c>
      <c r="D1113" s="162" t="s">
        <v>1122</v>
      </c>
      <c r="E1113" s="162" t="s">
        <v>1560</v>
      </c>
      <c r="F1113" s="171">
        <v>54923</v>
      </c>
      <c r="G1113" s="141" t="s">
        <v>900</v>
      </c>
      <c r="H1113" s="174">
        <v>10</v>
      </c>
      <c r="I1113" s="190" t="s">
        <v>27</v>
      </c>
    </row>
    <row r="1114" spans="1:9" hidden="1">
      <c r="A1114" s="140" t="str">
        <f t="shared" si="17"/>
        <v>17301-43664-10-A12B</v>
      </c>
      <c r="B1114" s="162" t="s">
        <v>1118</v>
      </c>
      <c r="D1114" s="162" t="s">
        <v>1122</v>
      </c>
      <c r="E1114" s="162" t="s">
        <v>1560</v>
      </c>
      <c r="F1114" s="171">
        <v>54923</v>
      </c>
      <c r="G1114" s="141" t="s">
        <v>900</v>
      </c>
      <c r="H1114" s="174">
        <v>10</v>
      </c>
      <c r="I1114" s="190" t="s">
        <v>147</v>
      </c>
    </row>
    <row r="1115" spans="1:9" hidden="1">
      <c r="A1115" s="140" t="str">
        <f t="shared" si="17"/>
        <v>17301-43664-10-F14F</v>
      </c>
      <c r="B1115" s="162" t="s">
        <v>1118</v>
      </c>
      <c r="D1115" s="162" t="s">
        <v>1122</v>
      </c>
      <c r="E1115" s="162" t="s">
        <v>1560</v>
      </c>
      <c r="F1115" s="171">
        <v>54923</v>
      </c>
      <c r="G1115" s="141" t="s">
        <v>900</v>
      </c>
      <c r="H1115" s="174">
        <v>10</v>
      </c>
      <c r="I1115" s="186" t="s">
        <v>185</v>
      </c>
    </row>
    <row r="1116" spans="1:9" hidden="1">
      <c r="A1116" s="140" t="str">
        <f t="shared" si="17"/>
        <v>17301-43664-10-A14FW</v>
      </c>
      <c r="B1116" s="162" t="s">
        <v>1118</v>
      </c>
      <c r="D1116" s="162" t="s">
        <v>1122</v>
      </c>
      <c r="E1116" s="162" t="s">
        <v>1560</v>
      </c>
      <c r="F1116" s="171">
        <v>54923</v>
      </c>
      <c r="G1116" s="141" t="s">
        <v>900</v>
      </c>
      <c r="H1116" s="174">
        <v>10</v>
      </c>
      <c r="I1116" s="186" t="s">
        <v>52</v>
      </c>
    </row>
    <row r="1117" spans="1:9" hidden="1">
      <c r="A1117" s="140" t="str">
        <f t="shared" si="17"/>
        <v>17301-43664-10-L9ER</v>
      </c>
      <c r="B1117" s="162" t="s">
        <v>1118</v>
      </c>
      <c r="D1117" s="162" t="s">
        <v>1122</v>
      </c>
      <c r="E1117" s="162" t="s">
        <v>1560</v>
      </c>
      <c r="F1117" s="171">
        <v>54923</v>
      </c>
      <c r="G1117" s="141" t="s">
        <v>900</v>
      </c>
      <c r="H1117" s="174">
        <v>10</v>
      </c>
      <c r="I1117" s="188" t="s">
        <v>532</v>
      </c>
    </row>
    <row r="1118" spans="1:9" hidden="1">
      <c r="A1118" s="140" t="str">
        <f t="shared" si="17"/>
        <v>17301-43664-10-L9EV</v>
      </c>
      <c r="B1118" s="162" t="s">
        <v>1118</v>
      </c>
      <c r="D1118" s="162" t="s">
        <v>1122</v>
      </c>
      <c r="E1118" s="162" t="s">
        <v>1560</v>
      </c>
      <c r="F1118" s="171">
        <v>54923</v>
      </c>
      <c r="G1118" s="141" t="s">
        <v>900</v>
      </c>
      <c r="H1118" s="174">
        <v>10</v>
      </c>
      <c r="I1118" s="186" t="s">
        <v>537</v>
      </c>
    </row>
    <row r="1119" spans="1:9" hidden="1">
      <c r="A1119" s="140" t="str">
        <f t="shared" si="17"/>
        <v>17301-43664-10-L8EV</v>
      </c>
      <c r="B1119" s="162" t="s">
        <v>1118</v>
      </c>
      <c r="D1119" s="162" t="s">
        <v>1122</v>
      </c>
      <c r="E1119" s="162" t="s">
        <v>1560</v>
      </c>
      <c r="F1119" s="171">
        <v>54923</v>
      </c>
      <c r="G1119" s="141" t="s">
        <v>900</v>
      </c>
      <c r="H1119" s="174">
        <v>10</v>
      </c>
      <c r="I1119" s="190" t="s">
        <v>225</v>
      </c>
    </row>
    <row r="1120" spans="1:9" ht="14.25" hidden="1" thickBot="1">
      <c r="A1120" s="140" t="str">
        <f t="shared" si="17"/>
        <v>17301-43664-11-A14I</v>
      </c>
      <c r="B1120" s="162" t="s">
        <v>1118</v>
      </c>
      <c r="D1120" s="162" t="s">
        <v>1122</v>
      </c>
      <c r="E1120" s="162" t="s">
        <v>1560</v>
      </c>
      <c r="F1120" s="171">
        <v>55660</v>
      </c>
      <c r="G1120" s="141" t="s">
        <v>19</v>
      </c>
      <c r="H1120" s="174">
        <v>11</v>
      </c>
      <c r="I1120" s="203" t="s">
        <v>493</v>
      </c>
    </row>
    <row r="1121" spans="1:15" hidden="1">
      <c r="A1121" s="140" t="str">
        <f t="shared" si="17"/>
        <v>17301-43664-11-L5E</v>
      </c>
      <c r="B1121" s="162" t="s">
        <v>1118</v>
      </c>
      <c r="D1121" s="162" t="s">
        <v>1122</v>
      </c>
      <c r="E1121" s="162" t="s">
        <v>1560</v>
      </c>
      <c r="F1121" s="171">
        <v>55660</v>
      </c>
      <c r="G1121" s="141" t="s">
        <v>19</v>
      </c>
      <c r="H1121" s="174">
        <v>11</v>
      </c>
      <c r="I1121" s="186" t="s">
        <v>202</v>
      </c>
    </row>
    <row r="1122" spans="1:15" hidden="1">
      <c r="A1122" s="140" t="str">
        <f t="shared" si="17"/>
        <v>17301-43664-11-A5F</v>
      </c>
      <c r="B1122" s="162" t="s">
        <v>1118</v>
      </c>
      <c r="D1122" s="162" t="s">
        <v>1122</v>
      </c>
      <c r="E1122" s="162" t="s">
        <v>1560</v>
      </c>
      <c r="F1122" s="171">
        <v>55660</v>
      </c>
      <c r="G1122" s="141" t="s">
        <v>19</v>
      </c>
      <c r="H1122" s="174">
        <v>11</v>
      </c>
      <c r="I1122" s="190" t="s">
        <v>803</v>
      </c>
    </row>
    <row r="1123" spans="1:15" hidden="1">
      <c r="A1123" s="140" t="str">
        <f t="shared" si="17"/>
        <v>17301-43664-11-A6E</v>
      </c>
      <c r="B1123" s="162" t="s">
        <v>1118</v>
      </c>
      <c r="D1123" s="162" t="s">
        <v>1122</v>
      </c>
      <c r="E1123" s="162" t="s">
        <v>1560</v>
      </c>
      <c r="F1123" s="171">
        <v>55660</v>
      </c>
      <c r="G1123" s="141" t="s">
        <v>19</v>
      </c>
      <c r="H1123" s="174">
        <v>11</v>
      </c>
      <c r="I1123" s="186" t="s">
        <v>403</v>
      </c>
    </row>
    <row r="1124" spans="1:15" hidden="1">
      <c r="A1124" s="140" t="str">
        <f t="shared" si="17"/>
        <v>17301-43664-11-A7G</v>
      </c>
      <c r="B1124" s="162" t="s">
        <v>1118</v>
      </c>
      <c r="D1124" s="162" t="s">
        <v>1122</v>
      </c>
      <c r="E1124" s="162" t="s">
        <v>1560</v>
      </c>
      <c r="F1124" s="171">
        <v>55660</v>
      </c>
      <c r="G1124" s="141" t="s">
        <v>19</v>
      </c>
      <c r="H1124" s="174">
        <v>11</v>
      </c>
      <c r="I1124" s="190" t="s">
        <v>497</v>
      </c>
    </row>
    <row r="1125" spans="1:15" hidden="1">
      <c r="A1125" s="140" t="str">
        <f t="shared" si="17"/>
        <v>17301-43664-11-A7F</v>
      </c>
      <c r="B1125" s="162" t="s">
        <v>1118</v>
      </c>
      <c r="D1125" s="162" t="s">
        <v>1122</v>
      </c>
      <c r="E1125" s="162" t="s">
        <v>1560</v>
      </c>
      <c r="F1125" s="171">
        <v>55660</v>
      </c>
      <c r="G1125" s="141" t="s">
        <v>19</v>
      </c>
      <c r="H1125" s="174">
        <v>11</v>
      </c>
      <c r="I1125" s="190" t="s">
        <v>804</v>
      </c>
    </row>
    <row r="1126" spans="1:15" hidden="1">
      <c r="A1126" s="140" t="str">
        <f t="shared" si="17"/>
        <v>17301-43664-11-A9F</v>
      </c>
      <c r="B1126" s="162" t="s">
        <v>1118</v>
      </c>
      <c r="D1126" s="162" t="s">
        <v>1122</v>
      </c>
      <c r="E1126" s="162" t="s">
        <v>1560</v>
      </c>
      <c r="F1126" s="171">
        <v>55660</v>
      </c>
      <c r="G1126" s="141" t="s">
        <v>19</v>
      </c>
      <c r="H1126" s="174">
        <v>11</v>
      </c>
      <c r="I1126" s="186" t="s">
        <v>863</v>
      </c>
    </row>
    <row r="1127" spans="1:15" hidden="1">
      <c r="A1127" s="140" t="str">
        <f t="shared" si="17"/>
        <v>17301-43664-11-F10E</v>
      </c>
      <c r="B1127" s="162" t="s">
        <v>1118</v>
      </c>
      <c r="D1127" s="162" t="s">
        <v>1122</v>
      </c>
      <c r="E1127" s="162" t="s">
        <v>1560</v>
      </c>
      <c r="F1127" s="171">
        <v>55660</v>
      </c>
      <c r="G1127" s="141" t="s">
        <v>19</v>
      </c>
      <c r="H1127" s="174">
        <v>11</v>
      </c>
      <c r="I1127" s="186" t="s">
        <v>183</v>
      </c>
    </row>
    <row r="1128" spans="1:15" hidden="1">
      <c r="A1128" s="140" t="str">
        <f t="shared" si="17"/>
        <v>17301-43664-11-A12A</v>
      </c>
      <c r="B1128" s="162" t="s">
        <v>1118</v>
      </c>
      <c r="D1128" s="162" t="s">
        <v>1122</v>
      </c>
      <c r="E1128" s="162" t="s">
        <v>1560</v>
      </c>
      <c r="F1128" s="171">
        <v>55660</v>
      </c>
      <c r="G1128" s="141" t="s">
        <v>19</v>
      </c>
      <c r="H1128" s="174">
        <v>11</v>
      </c>
      <c r="I1128" s="190" t="s">
        <v>27</v>
      </c>
    </row>
    <row r="1129" spans="1:15" hidden="1">
      <c r="A1129" s="140" t="str">
        <f t="shared" si="17"/>
        <v>17301-43664-11-A12B</v>
      </c>
      <c r="B1129" s="162" t="s">
        <v>1118</v>
      </c>
      <c r="D1129" s="162" t="s">
        <v>1122</v>
      </c>
      <c r="E1129" s="162" t="s">
        <v>1560</v>
      </c>
      <c r="F1129" s="171">
        <v>55660</v>
      </c>
      <c r="G1129" s="141" t="s">
        <v>19</v>
      </c>
      <c r="H1129" s="174">
        <v>11</v>
      </c>
      <c r="I1129" s="190" t="s">
        <v>147</v>
      </c>
    </row>
    <row r="1130" spans="1:15" hidden="1">
      <c r="A1130" s="140" t="str">
        <f t="shared" si="17"/>
        <v>17301-43664-11-F14F</v>
      </c>
      <c r="B1130" s="162" t="s">
        <v>1118</v>
      </c>
      <c r="D1130" s="162" t="s">
        <v>1122</v>
      </c>
      <c r="E1130" s="162" t="s">
        <v>1560</v>
      </c>
      <c r="F1130" s="171">
        <v>55660</v>
      </c>
      <c r="G1130" s="141" t="s">
        <v>19</v>
      </c>
      <c r="H1130" s="174">
        <v>11</v>
      </c>
      <c r="I1130" s="186" t="s">
        <v>185</v>
      </c>
    </row>
    <row r="1131" spans="1:15" hidden="1">
      <c r="A1131" s="140" t="str">
        <f t="shared" si="17"/>
        <v>17301-43664-11-A14FW</v>
      </c>
      <c r="B1131" s="162" t="s">
        <v>1118</v>
      </c>
      <c r="D1131" s="162" t="s">
        <v>1122</v>
      </c>
      <c r="E1131" s="162" t="s">
        <v>1560</v>
      </c>
      <c r="F1131" s="171">
        <v>55660</v>
      </c>
      <c r="G1131" s="141" t="s">
        <v>19</v>
      </c>
      <c r="H1131" s="174">
        <v>11</v>
      </c>
      <c r="I1131" s="186" t="s">
        <v>52</v>
      </c>
    </row>
    <row r="1132" spans="1:15" hidden="1">
      <c r="A1132" s="140" t="str">
        <f t="shared" si="17"/>
        <v>17301-43664-11-L9ER</v>
      </c>
      <c r="B1132" s="162" t="s">
        <v>1118</v>
      </c>
      <c r="D1132" s="162" t="s">
        <v>1122</v>
      </c>
      <c r="E1132" s="162" t="s">
        <v>1560</v>
      </c>
      <c r="F1132" s="171">
        <v>55660</v>
      </c>
      <c r="G1132" s="141" t="s">
        <v>19</v>
      </c>
      <c r="H1132" s="174">
        <v>11</v>
      </c>
      <c r="I1132" s="188" t="s">
        <v>532</v>
      </c>
    </row>
    <row r="1133" spans="1:15" hidden="1">
      <c r="A1133" s="140" t="str">
        <f t="shared" si="17"/>
        <v>17301-43664-11-L9EV</v>
      </c>
      <c r="B1133" s="162" t="s">
        <v>1118</v>
      </c>
      <c r="D1133" s="162" t="s">
        <v>1122</v>
      </c>
      <c r="E1133" s="162" t="s">
        <v>1560</v>
      </c>
      <c r="F1133" s="171">
        <v>55660</v>
      </c>
      <c r="G1133" s="141" t="s">
        <v>19</v>
      </c>
      <c r="H1133" s="174">
        <v>11</v>
      </c>
      <c r="I1133" s="186" t="s">
        <v>537</v>
      </c>
    </row>
    <row r="1134" spans="1:15" hidden="1">
      <c r="A1134" s="140" t="str">
        <f t="shared" si="17"/>
        <v>17301-43664-11-L8EV</v>
      </c>
      <c r="B1134" s="162" t="s">
        <v>1118</v>
      </c>
      <c r="D1134" s="162" t="s">
        <v>1122</v>
      </c>
      <c r="E1134" s="162" t="s">
        <v>1560</v>
      </c>
      <c r="F1134" s="171">
        <v>55660</v>
      </c>
      <c r="G1134" s="141" t="s">
        <v>19</v>
      </c>
      <c r="H1134" s="174">
        <v>11</v>
      </c>
      <c r="I1134" s="190" t="s">
        <v>225</v>
      </c>
    </row>
    <row r="1135" spans="1:15" ht="14.25" hidden="1" thickBot="1">
      <c r="A1135" s="140" t="str">
        <f t="shared" si="17"/>
        <v>17301-43664-12-A14I</v>
      </c>
      <c r="B1135" s="162" t="s">
        <v>1118</v>
      </c>
      <c r="D1135" s="162" t="s">
        <v>1122</v>
      </c>
      <c r="E1135" s="162" t="s">
        <v>1560</v>
      </c>
      <c r="F1135" s="171">
        <v>56577</v>
      </c>
      <c r="G1135" s="141" t="s">
        <v>19</v>
      </c>
      <c r="H1135" s="174">
        <v>12</v>
      </c>
      <c r="I1135" s="212" t="s">
        <v>493</v>
      </c>
      <c r="J1135" s="174">
        <v>10764</v>
      </c>
      <c r="K1135" s="174">
        <v>10790</v>
      </c>
      <c r="M1135" s="217">
        <v>1.65</v>
      </c>
      <c r="O1135" s="156"/>
    </row>
    <row r="1136" spans="1:15" hidden="1">
      <c r="A1136" s="140" t="str">
        <f t="shared" si="17"/>
        <v>17301-43664-12-L5E</v>
      </c>
      <c r="B1136" s="162" t="s">
        <v>1118</v>
      </c>
      <c r="D1136" s="162" t="s">
        <v>1122</v>
      </c>
      <c r="E1136" s="162" t="s">
        <v>1560</v>
      </c>
      <c r="F1136" s="171">
        <v>56577</v>
      </c>
      <c r="G1136" s="141" t="s">
        <v>19</v>
      </c>
      <c r="H1136" s="174">
        <v>12</v>
      </c>
      <c r="I1136" s="186" t="s">
        <v>202</v>
      </c>
      <c r="M1136" s="217">
        <v>1.65</v>
      </c>
    </row>
    <row r="1137" spans="1:15" hidden="1">
      <c r="A1137" s="140" t="str">
        <f t="shared" si="17"/>
        <v>17301-43664-12-A5F</v>
      </c>
      <c r="B1137" s="162" t="s">
        <v>1118</v>
      </c>
      <c r="D1137" s="162" t="s">
        <v>1122</v>
      </c>
      <c r="E1137" s="162" t="s">
        <v>1560</v>
      </c>
      <c r="F1137" s="171">
        <v>56577</v>
      </c>
      <c r="G1137" s="141" t="s">
        <v>900</v>
      </c>
      <c r="H1137" s="174">
        <v>12</v>
      </c>
      <c r="I1137" s="190" t="s">
        <v>803</v>
      </c>
      <c r="J1137" s="174">
        <v>11375</v>
      </c>
      <c r="K1137" s="174">
        <v>11375</v>
      </c>
      <c r="M1137" s="217">
        <v>1.65</v>
      </c>
    </row>
    <row r="1138" spans="1:15" hidden="1">
      <c r="A1138" s="140" t="str">
        <f t="shared" si="17"/>
        <v>17301-43664-12-A6E</v>
      </c>
      <c r="B1138" s="162" t="s">
        <v>1118</v>
      </c>
      <c r="D1138" s="162" t="s">
        <v>1122</v>
      </c>
      <c r="E1138" s="162" t="s">
        <v>1560</v>
      </c>
      <c r="F1138" s="171">
        <v>56577</v>
      </c>
      <c r="G1138" s="141" t="s">
        <v>900</v>
      </c>
      <c r="H1138" s="174">
        <v>12</v>
      </c>
      <c r="I1138" s="186" t="s">
        <v>403</v>
      </c>
      <c r="J1138" s="174">
        <v>5858</v>
      </c>
      <c r="K1138" s="174">
        <v>5858</v>
      </c>
      <c r="M1138" s="217">
        <v>1.65</v>
      </c>
    </row>
    <row r="1139" spans="1:15" hidden="1">
      <c r="A1139" s="140" t="str">
        <f t="shared" si="17"/>
        <v>17301-43664-12-A7G</v>
      </c>
      <c r="B1139" s="162" t="s">
        <v>1118</v>
      </c>
      <c r="D1139" s="162" t="s">
        <v>1122</v>
      </c>
      <c r="E1139" s="162" t="s">
        <v>1560</v>
      </c>
      <c r="F1139" s="171">
        <v>56577</v>
      </c>
      <c r="G1139" s="141" t="s">
        <v>900</v>
      </c>
      <c r="H1139" s="174">
        <v>12</v>
      </c>
      <c r="I1139" s="190" t="s">
        <v>497</v>
      </c>
      <c r="J1139" s="174">
        <v>9284</v>
      </c>
      <c r="K1139" s="174">
        <v>9284</v>
      </c>
      <c r="M1139" s="217">
        <v>1.65</v>
      </c>
    </row>
    <row r="1140" spans="1:15" hidden="1">
      <c r="A1140" s="140" t="str">
        <f t="shared" si="17"/>
        <v>17301-43664-12-A7F</v>
      </c>
      <c r="B1140" s="162" t="s">
        <v>1118</v>
      </c>
      <c r="D1140" s="162" t="s">
        <v>1122</v>
      </c>
      <c r="E1140" s="162" t="s">
        <v>1560</v>
      </c>
      <c r="F1140" s="171">
        <v>56577</v>
      </c>
      <c r="G1140" s="141" t="s">
        <v>900</v>
      </c>
      <c r="H1140" s="174">
        <v>12</v>
      </c>
      <c r="I1140" s="190" t="s">
        <v>804</v>
      </c>
      <c r="M1140" s="217">
        <v>1.65</v>
      </c>
    </row>
    <row r="1141" spans="1:15" hidden="1">
      <c r="A1141" s="140" t="str">
        <f t="shared" si="17"/>
        <v>17301-43664-12-A9F</v>
      </c>
      <c r="B1141" s="162" t="s">
        <v>1118</v>
      </c>
      <c r="D1141" s="162" t="s">
        <v>1122</v>
      </c>
      <c r="E1141" s="162" t="s">
        <v>1560</v>
      </c>
      <c r="F1141" s="171">
        <v>56577</v>
      </c>
      <c r="G1141" s="141" t="s">
        <v>900</v>
      </c>
      <c r="H1141" s="174">
        <v>12</v>
      </c>
      <c r="I1141" s="186" t="s">
        <v>863</v>
      </c>
      <c r="J1141" s="174">
        <v>5025</v>
      </c>
      <c r="K1141" s="174">
        <v>5025</v>
      </c>
      <c r="M1141" s="217">
        <v>1.65</v>
      </c>
    </row>
    <row r="1142" spans="1:15" hidden="1">
      <c r="A1142" s="140" t="str">
        <f t="shared" si="17"/>
        <v>17301-43664-12-F10E</v>
      </c>
      <c r="B1142" s="162" t="s">
        <v>1118</v>
      </c>
      <c r="D1142" s="162" t="s">
        <v>1122</v>
      </c>
      <c r="E1142" s="162" t="s">
        <v>1560</v>
      </c>
      <c r="F1142" s="171">
        <v>56577</v>
      </c>
      <c r="G1142" s="141" t="s">
        <v>900</v>
      </c>
      <c r="H1142" s="174">
        <v>12</v>
      </c>
      <c r="I1142" s="186" t="s">
        <v>183</v>
      </c>
      <c r="J1142" s="174">
        <v>2294</v>
      </c>
      <c r="K1142" s="174">
        <v>2294</v>
      </c>
      <c r="M1142" s="217">
        <v>1.65</v>
      </c>
    </row>
    <row r="1143" spans="1:15" hidden="1">
      <c r="A1143" s="140" t="str">
        <f t="shared" si="17"/>
        <v>17301-43664-12-A12A</v>
      </c>
      <c r="B1143" s="162" t="s">
        <v>1118</v>
      </c>
      <c r="D1143" s="162" t="s">
        <v>1122</v>
      </c>
      <c r="E1143" s="162" t="s">
        <v>1560</v>
      </c>
      <c r="F1143" s="171">
        <v>56577</v>
      </c>
      <c r="G1143" s="141" t="s">
        <v>900</v>
      </c>
      <c r="H1143" s="174">
        <v>12</v>
      </c>
      <c r="I1143" s="190" t="s">
        <v>27</v>
      </c>
      <c r="M1143" s="217">
        <v>1.65</v>
      </c>
    </row>
    <row r="1144" spans="1:15" hidden="1">
      <c r="A1144" s="140" t="str">
        <f t="shared" ref="A1144:A1207" si="18">G1144&amp;"-"&amp;TEXT(H1144,"00")&amp;"-"&amp;I1144</f>
        <v>17301-43664-12-A12B</v>
      </c>
      <c r="B1144" s="162" t="s">
        <v>1118</v>
      </c>
      <c r="D1144" s="162" t="s">
        <v>1122</v>
      </c>
      <c r="E1144" s="162" t="s">
        <v>1560</v>
      </c>
      <c r="F1144" s="171">
        <v>56577</v>
      </c>
      <c r="G1144" s="141" t="s">
        <v>900</v>
      </c>
      <c r="H1144" s="174">
        <v>12</v>
      </c>
      <c r="I1144" s="190" t="s">
        <v>147</v>
      </c>
      <c r="J1144" s="174">
        <v>9356</v>
      </c>
      <c r="K1144" s="174">
        <v>9356</v>
      </c>
      <c r="M1144" s="217">
        <v>1.65</v>
      </c>
      <c r="O1144" s="156"/>
    </row>
    <row r="1145" spans="1:15" hidden="1">
      <c r="A1145" s="140" t="str">
        <f t="shared" si="18"/>
        <v>17301-43664-12-F14F</v>
      </c>
      <c r="B1145" s="162" t="s">
        <v>1118</v>
      </c>
      <c r="D1145" s="162" t="s">
        <v>1122</v>
      </c>
      <c r="E1145" s="162" t="s">
        <v>1560</v>
      </c>
      <c r="F1145" s="171">
        <v>56577</v>
      </c>
      <c r="G1145" s="141" t="s">
        <v>900</v>
      </c>
      <c r="H1145" s="174">
        <v>12</v>
      </c>
      <c r="I1145" s="186" t="s">
        <v>185</v>
      </c>
      <c r="J1145" s="174">
        <v>2878</v>
      </c>
      <c r="K1145" s="174">
        <v>2879</v>
      </c>
      <c r="M1145" s="217">
        <v>1.65</v>
      </c>
    </row>
    <row r="1146" spans="1:15" hidden="1">
      <c r="A1146" s="140" t="str">
        <f t="shared" si="18"/>
        <v>17301-43664-12-A14FW</v>
      </c>
      <c r="B1146" s="162" t="s">
        <v>1118</v>
      </c>
      <c r="D1146" s="162" t="s">
        <v>1122</v>
      </c>
      <c r="E1146" s="162" t="s">
        <v>1560</v>
      </c>
      <c r="F1146" s="171">
        <v>56577</v>
      </c>
      <c r="G1146" s="141" t="s">
        <v>900</v>
      </c>
      <c r="H1146" s="174">
        <v>12</v>
      </c>
      <c r="I1146" s="186" t="s">
        <v>52</v>
      </c>
      <c r="M1146" s="217">
        <v>1.65</v>
      </c>
    </row>
    <row r="1147" spans="1:15" hidden="1">
      <c r="A1147" s="140" t="str">
        <f t="shared" si="18"/>
        <v>17301-43664-12-L9ER</v>
      </c>
      <c r="B1147" s="162" t="s">
        <v>1118</v>
      </c>
      <c r="D1147" s="162" t="s">
        <v>1122</v>
      </c>
      <c r="E1147" s="162" t="s">
        <v>1560</v>
      </c>
      <c r="F1147" s="171">
        <v>56577</v>
      </c>
      <c r="G1147" s="141" t="s">
        <v>900</v>
      </c>
      <c r="H1147" s="174">
        <v>12</v>
      </c>
      <c r="I1147" s="188" t="s">
        <v>532</v>
      </c>
      <c r="M1147" s="217">
        <v>1.65</v>
      </c>
    </row>
    <row r="1148" spans="1:15" hidden="1">
      <c r="A1148" s="140" t="str">
        <f t="shared" si="18"/>
        <v>17301-43664-12-L9EV</v>
      </c>
      <c r="B1148" s="162" t="s">
        <v>1118</v>
      </c>
      <c r="D1148" s="162" t="s">
        <v>1122</v>
      </c>
      <c r="E1148" s="162" t="s">
        <v>1560</v>
      </c>
      <c r="F1148" s="171">
        <v>56577</v>
      </c>
      <c r="G1148" s="141" t="s">
        <v>900</v>
      </c>
      <c r="H1148" s="174">
        <v>12</v>
      </c>
      <c r="I1148" s="186" t="s">
        <v>537</v>
      </c>
      <c r="M1148" s="217">
        <v>1.65</v>
      </c>
    </row>
    <row r="1149" spans="1:15" hidden="1">
      <c r="A1149" s="140" t="str">
        <f t="shared" si="18"/>
        <v>17301-43664-12-L8EV</v>
      </c>
      <c r="B1149" s="162" t="s">
        <v>1118</v>
      </c>
      <c r="D1149" s="162" t="s">
        <v>1122</v>
      </c>
      <c r="E1149" s="162" t="s">
        <v>1560</v>
      </c>
      <c r="F1149" s="171">
        <v>56577</v>
      </c>
      <c r="G1149" s="141" t="s">
        <v>900</v>
      </c>
      <c r="H1149" s="174">
        <v>12</v>
      </c>
      <c r="I1149" s="190" t="s">
        <v>225</v>
      </c>
      <c r="M1149" s="217">
        <v>1.65</v>
      </c>
    </row>
    <row r="1150" spans="1:15" ht="14.25" hidden="1" thickBot="1">
      <c r="A1150" s="140" t="str">
        <f t="shared" si="18"/>
        <v>17301-43665-00-A14I</v>
      </c>
      <c r="B1150" s="162" t="s">
        <v>1118</v>
      </c>
      <c r="D1150" s="162" t="s">
        <v>1122</v>
      </c>
      <c r="E1150" s="162" t="s">
        <v>1561</v>
      </c>
      <c r="F1150" s="171">
        <v>49074</v>
      </c>
      <c r="G1150" s="141" t="s">
        <v>21</v>
      </c>
      <c r="H1150" s="174">
        <v>0</v>
      </c>
      <c r="I1150" s="212" t="s">
        <v>493</v>
      </c>
      <c r="J1150" s="174">
        <v>7120</v>
      </c>
      <c r="K1150" s="174">
        <v>7120</v>
      </c>
      <c r="L1150" s="149"/>
      <c r="M1150" s="185"/>
      <c r="O1150" s="156"/>
    </row>
    <row r="1151" spans="1:15" hidden="1">
      <c r="A1151" s="140" t="str">
        <f t="shared" si="18"/>
        <v>17301-43665-00-A14H</v>
      </c>
      <c r="B1151" s="162" t="s">
        <v>1118</v>
      </c>
      <c r="D1151" s="162" t="s">
        <v>1122</v>
      </c>
      <c r="E1151" s="162" t="s">
        <v>1561</v>
      </c>
      <c r="F1151" s="171">
        <v>49074</v>
      </c>
      <c r="G1151" s="141" t="s">
        <v>21</v>
      </c>
      <c r="H1151" s="174">
        <v>0</v>
      </c>
      <c r="I1151" s="210" t="s">
        <v>492</v>
      </c>
      <c r="J1151" s="174">
        <v>1366</v>
      </c>
      <c r="K1151" s="174">
        <v>1366</v>
      </c>
      <c r="L1151" s="149"/>
      <c r="M1151" s="185"/>
      <c r="O1151" s="156"/>
    </row>
    <row r="1152" spans="1:15" hidden="1">
      <c r="A1152" s="140" t="str">
        <f t="shared" si="18"/>
        <v>17301-43665-00-A14J</v>
      </c>
      <c r="B1152" s="162" t="s">
        <v>1118</v>
      </c>
      <c r="D1152" s="162" t="s">
        <v>1122</v>
      </c>
      <c r="E1152" s="162" t="s">
        <v>1561</v>
      </c>
      <c r="F1152" s="171">
        <v>49074</v>
      </c>
      <c r="G1152" s="141" t="s">
        <v>21</v>
      </c>
      <c r="H1152" s="174">
        <v>0</v>
      </c>
      <c r="I1152" s="186" t="s">
        <v>99</v>
      </c>
    </row>
    <row r="1153" spans="1:15" hidden="1">
      <c r="A1153" s="140" t="str">
        <f t="shared" si="18"/>
        <v>17301-43665-00-L5E</v>
      </c>
      <c r="B1153" s="162" t="s">
        <v>1118</v>
      </c>
      <c r="D1153" s="162" t="s">
        <v>1122</v>
      </c>
      <c r="E1153" s="162" t="s">
        <v>1561</v>
      </c>
      <c r="F1153" s="171">
        <v>49074</v>
      </c>
      <c r="G1153" s="141" t="s">
        <v>21</v>
      </c>
      <c r="H1153" s="174">
        <v>0</v>
      </c>
      <c r="I1153" s="186" t="s">
        <v>202</v>
      </c>
      <c r="J1153" s="174">
        <v>1564</v>
      </c>
      <c r="K1153" s="174">
        <v>1564</v>
      </c>
      <c r="L1153" s="149"/>
      <c r="M1153" s="185"/>
      <c r="O1153" s="156"/>
    </row>
    <row r="1154" spans="1:15" hidden="1">
      <c r="A1154" s="140" t="str">
        <f t="shared" si="18"/>
        <v>17301-43665-00-L5E2</v>
      </c>
      <c r="B1154" s="162" t="s">
        <v>1118</v>
      </c>
      <c r="D1154" s="162" t="s">
        <v>1122</v>
      </c>
      <c r="E1154" s="162" t="s">
        <v>1561</v>
      </c>
      <c r="F1154" s="171">
        <v>49074</v>
      </c>
      <c r="G1154" s="141" t="s">
        <v>21</v>
      </c>
      <c r="H1154" s="174">
        <v>0</v>
      </c>
      <c r="I1154" s="186" t="s">
        <v>891</v>
      </c>
    </row>
    <row r="1155" spans="1:15" hidden="1">
      <c r="A1155" s="140" t="str">
        <f t="shared" si="18"/>
        <v>17301-43665-00-A12B</v>
      </c>
      <c r="B1155" s="162" t="s">
        <v>1118</v>
      </c>
      <c r="D1155" s="162" t="s">
        <v>1122</v>
      </c>
      <c r="E1155" s="162" t="s">
        <v>1561</v>
      </c>
      <c r="F1155" s="171">
        <v>49074</v>
      </c>
      <c r="G1155" s="141" t="s">
        <v>21</v>
      </c>
      <c r="H1155" s="174">
        <v>0</v>
      </c>
      <c r="I1155" s="186" t="s">
        <v>147</v>
      </c>
      <c r="J1155" s="174">
        <v>3816</v>
      </c>
      <c r="K1155" s="174">
        <v>3816</v>
      </c>
      <c r="L1155" s="149"/>
      <c r="M1155" s="185"/>
      <c r="O1155" s="156"/>
    </row>
    <row r="1156" spans="1:15" hidden="1">
      <c r="A1156" s="140" t="str">
        <f t="shared" si="18"/>
        <v>17301-43665-00-A12A</v>
      </c>
      <c r="B1156" s="162" t="s">
        <v>1118</v>
      </c>
      <c r="D1156" s="162" t="s">
        <v>1122</v>
      </c>
      <c r="E1156" s="162" t="s">
        <v>1561</v>
      </c>
      <c r="F1156" s="171">
        <v>49074</v>
      </c>
      <c r="G1156" s="141" t="s">
        <v>21</v>
      </c>
      <c r="H1156" s="174">
        <v>0</v>
      </c>
      <c r="I1156" s="186" t="s">
        <v>27</v>
      </c>
      <c r="J1156" s="174">
        <v>3612</v>
      </c>
      <c r="K1156" s="174">
        <v>3612</v>
      </c>
      <c r="L1156" s="149"/>
      <c r="M1156" s="185"/>
      <c r="O1156" s="156"/>
    </row>
    <row r="1157" spans="1:15" hidden="1">
      <c r="A1157" s="140" t="str">
        <f t="shared" si="18"/>
        <v>17301-43665-00-A14FW</v>
      </c>
      <c r="B1157" s="162" t="s">
        <v>1118</v>
      </c>
      <c r="D1157" s="162" t="s">
        <v>1122</v>
      </c>
      <c r="E1157" s="162" t="s">
        <v>1561</v>
      </c>
      <c r="F1157" s="171">
        <v>49074</v>
      </c>
      <c r="G1157" s="141" t="s">
        <v>21</v>
      </c>
      <c r="H1157" s="174">
        <v>0</v>
      </c>
      <c r="I1157" s="186" t="s">
        <v>52</v>
      </c>
    </row>
    <row r="1158" spans="1:15" hidden="1">
      <c r="A1158" s="140" t="str">
        <f t="shared" si="18"/>
        <v>17301-43665-00-L6F</v>
      </c>
      <c r="B1158" s="162" t="s">
        <v>1118</v>
      </c>
      <c r="D1158" s="162" t="s">
        <v>1122</v>
      </c>
      <c r="E1158" s="162" t="s">
        <v>1561</v>
      </c>
      <c r="F1158" s="171">
        <v>49074</v>
      </c>
      <c r="G1158" s="141" t="s">
        <v>21</v>
      </c>
      <c r="H1158" s="174">
        <v>0</v>
      </c>
      <c r="I1158" s="186" t="s">
        <v>215</v>
      </c>
    </row>
    <row r="1159" spans="1:15" hidden="1">
      <c r="A1159" s="140" t="str">
        <f t="shared" si="18"/>
        <v>17301-43665-00-L9ER</v>
      </c>
      <c r="B1159" s="162" t="s">
        <v>1118</v>
      </c>
      <c r="D1159" s="162" t="s">
        <v>1122</v>
      </c>
      <c r="E1159" s="162" t="s">
        <v>1561</v>
      </c>
      <c r="F1159" s="171">
        <v>49074</v>
      </c>
      <c r="G1159" s="141" t="s">
        <v>21</v>
      </c>
      <c r="H1159" s="174">
        <v>0</v>
      </c>
      <c r="I1159" s="188" t="s">
        <v>532</v>
      </c>
      <c r="J1159" s="174">
        <v>1746</v>
      </c>
      <c r="K1159" s="174">
        <v>1746</v>
      </c>
      <c r="L1159" s="149"/>
      <c r="M1159" s="185"/>
      <c r="O1159" s="156"/>
    </row>
    <row r="1160" spans="1:15" hidden="1">
      <c r="A1160" s="140" t="str">
        <f t="shared" si="18"/>
        <v>17301-43665-00-L9EV</v>
      </c>
      <c r="B1160" s="162" t="s">
        <v>1118</v>
      </c>
      <c r="D1160" s="162" t="s">
        <v>1122</v>
      </c>
      <c r="E1160" s="162" t="s">
        <v>1561</v>
      </c>
      <c r="F1160" s="171">
        <v>49074</v>
      </c>
      <c r="G1160" s="141" t="s">
        <v>21</v>
      </c>
      <c r="H1160" s="174">
        <v>0</v>
      </c>
      <c r="I1160" s="210" t="s">
        <v>537</v>
      </c>
      <c r="J1160" s="174">
        <v>2049</v>
      </c>
      <c r="K1160" s="174">
        <v>2049</v>
      </c>
      <c r="L1160" s="149"/>
      <c r="M1160" s="185"/>
      <c r="O1160" s="156"/>
    </row>
    <row r="1161" spans="1:15" hidden="1">
      <c r="A1161" s="140" t="str">
        <f t="shared" si="18"/>
        <v>17301-43665-00-L8EV</v>
      </c>
      <c r="B1161" s="162" t="s">
        <v>1118</v>
      </c>
      <c r="D1161" s="162" t="s">
        <v>1122</v>
      </c>
      <c r="E1161" s="162" t="s">
        <v>1561</v>
      </c>
      <c r="F1161" s="171">
        <v>49074</v>
      </c>
      <c r="G1161" s="141" t="s">
        <v>21</v>
      </c>
      <c r="H1161" s="174">
        <v>0</v>
      </c>
      <c r="I1161" s="210" t="s">
        <v>225</v>
      </c>
      <c r="J1161" s="174">
        <v>2545</v>
      </c>
      <c r="K1161" s="174">
        <v>2545</v>
      </c>
      <c r="L1161" s="149"/>
      <c r="M1161" s="185"/>
      <c r="O1161" s="156"/>
    </row>
    <row r="1162" spans="1:15" hidden="1">
      <c r="A1162" s="140" t="str">
        <f t="shared" si="18"/>
        <v>17301-43665-00-L8EV2</v>
      </c>
      <c r="B1162" s="162" t="s">
        <v>1118</v>
      </c>
      <c r="D1162" s="162" t="s">
        <v>1122</v>
      </c>
      <c r="E1162" s="162" t="s">
        <v>1561</v>
      </c>
      <c r="F1162" s="171">
        <v>49074</v>
      </c>
      <c r="G1162" s="141" t="s">
        <v>21</v>
      </c>
      <c r="H1162" s="174">
        <v>0</v>
      </c>
      <c r="I1162" s="189" t="s">
        <v>539</v>
      </c>
    </row>
    <row r="1163" spans="1:15" hidden="1">
      <c r="A1163" s="140" t="str">
        <f t="shared" si="18"/>
        <v>17301-43665-00-L9EV2</v>
      </c>
      <c r="B1163" s="162" t="s">
        <v>1118</v>
      </c>
      <c r="D1163" s="162" t="s">
        <v>1122</v>
      </c>
      <c r="E1163" s="162" t="s">
        <v>1561</v>
      </c>
      <c r="F1163" s="171">
        <v>49074</v>
      </c>
      <c r="G1163" s="141" t="s">
        <v>21</v>
      </c>
      <c r="H1163" s="174">
        <v>0</v>
      </c>
      <c r="I1163" s="210" t="s">
        <v>846</v>
      </c>
      <c r="J1163" s="174">
        <v>1</v>
      </c>
      <c r="K1163" s="174">
        <v>1</v>
      </c>
      <c r="L1163" s="149"/>
      <c r="M1163" s="185"/>
      <c r="O1163" s="156"/>
    </row>
    <row r="1164" spans="1:15" hidden="1">
      <c r="A1164" s="140" t="str">
        <f t="shared" si="18"/>
        <v>17301-43665-00-L9ER2</v>
      </c>
      <c r="B1164" s="162" t="s">
        <v>1118</v>
      </c>
      <c r="D1164" s="162" t="s">
        <v>1122</v>
      </c>
      <c r="E1164" s="162" t="s">
        <v>1561</v>
      </c>
      <c r="F1164" s="171">
        <v>49074</v>
      </c>
      <c r="G1164" s="141" t="s">
        <v>21</v>
      </c>
      <c r="H1164" s="174">
        <v>0</v>
      </c>
      <c r="I1164" s="186" t="s">
        <v>941</v>
      </c>
    </row>
    <row r="1165" spans="1:15" hidden="1">
      <c r="A1165" s="140" t="str">
        <f t="shared" si="18"/>
        <v>17301-43665-01-A14I</v>
      </c>
      <c r="B1165" s="162" t="s">
        <v>1118</v>
      </c>
      <c r="D1165" s="162" t="s">
        <v>1122</v>
      </c>
      <c r="E1165" s="162" t="s">
        <v>1561</v>
      </c>
      <c r="F1165" s="171">
        <v>49660</v>
      </c>
      <c r="G1165" s="141" t="s">
        <v>21</v>
      </c>
      <c r="H1165" s="174">
        <v>1</v>
      </c>
      <c r="I1165" s="211" t="s">
        <v>505</v>
      </c>
      <c r="J1165" s="174">
        <v>7164</v>
      </c>
      <c r="K1165" s="174">
        <v>7164</v>
      </c>
      <c r="L1165" s="149"/>
      <c r="M1165" s="185"/>
      <c r="O1165" s="156"/>
    </row>
    <row r="1166" spans="1:15" hidden="1">
      <c r="A1166" s="140" t="str">
        <f t="shared" si="18"/>
        <v>17301-43665-01-A14H</v>
      </c>
      <c r="B1166" s="162" t="s">
        <v>1118</v>
      </c>
      <c r="D1166" s="162" t="s">
        <v>1122</v>
      </c>
      <c r="E1166" s="162" t="s">
        <v>1561</v>
      </c>
      <c r="F1166" s="171">
        <v>49660</v>
      </c>
      <c r="G1166" s="141" t="s">
        <v>21</v>
      </c>
      <c r="H1166" s="174">
        <v>1</v>
      </c>
      <c r="I1166" s="196" t="s">
        <v>511</v>
      </c>
    </row>
    <row r="1167" spans="1:15" hidden="1">
      <c r="A1167" s="140" t="str">
        <f t="shared" si="18"/>
        <v>17301-43665-01-A14J</v>
      </c>
      <c r="B1167" s="162" t="s">
        <v>1118</v>
      </c>
      <c r="D1167" s="162" t="s">
        <v>1122</v>
      </c>
      <c r="E1167" s="162" t="s">
        <v>1561</v>
      </c>
      <c r="F1167" s="171">
        <v>49660</v>
      </c>
      <c r="G1167" s="141" t="s">
        <v>21</v>
      </c>
      <c r="H1167" s="174">
        <v>1</v>
      </c>
      <c r="I1167" s="198" t="s">
        <v>879</v>
      </c>
      <c r="J1167" s="174">
        <v>93</v>
      </c>
      <c r="K1167" s="174">
        <v>93</v>
      </c>
      <c r="L1167" s="149"/>
      <c r="M1167" s="185"/>
    </row>
    <row r="1168" spans="1:15" hidden="1">
      <c r="A1168" s="140" t="str">
        <f t="shared" si="18"/>
        <v>17301-43665-01-L5E</v>
      </c>
      <c r="B1168" s="162" t="s">
        <v>1118</v>
      </c>
      <c r="D1168" s="162" t="s">
        <v>1122</v>
      </c>
      <c r="E1168" s="162" t="s">
        <v>1561</v>
      </c>
      <c r="F1168" s="171">
        <v>49660</v>
      </c>
      <c r="G1168" s="141" t="s">
        <v>21</v>
      </c>
      <c r="H1168" s="174">
        <v>1</v>
      </c>
      <c r="I1168" s="198" t="s">
        <v>815</v>
      </c>
    </row>
    <row r="1169" spans="1:9" hidden="1">
      <c r="A1169" s="140" t="str">
        <f t="shared" si="18"/>
        <v>17301-43665-01-L5E2</v>
      </c>
      <c r="B1169" s="162" t="s">
        <v>1118</v>
      </c>
      <c r="D1169" s="162" t="s">
        <v>1122</v>
      </c>
      <c r="E1169" s="162" t="s">
        <v>1561</v>
      </c>
      <c r="F1169" s="171">
        <v>49660</v>
      </c>
      <c r="G1169" s="141" t="s">
        <v>21</v>
      </c>
      <c r="H1169" s="174">
        <v>1</v>
      </c>
      <c r="I1169" s="196" t="s">
        <v>838</v>
      </c>
    </row>
    <row r="1170" spans="1:9" hidden="1">
      <c r="A1170" s="140" t="str">
        <f t="shared" si="18"/>
        <v>17301-43665-01-A12B</v>
      </c>
      <c r="B1170" s="162" t="s">
        <v>1118</v>
      </c>
      <c r="D1170" s="162" t="s">
        <v>1122</v>
      </c>
      <c r="E1170" s="162" t="s">
        <v>1561</v>
      </c>
      <c r="F1170" s="171">
        <v>49660</v>
      </c>
      <c r="G1170" s="141" t="s">
        <v>21</v>
      </c>
      <c r="H1170" s="174">
        <v>1</v>
      </c>
      <c r="I1170" s="196" t="s">
        <v>503</v>
      </c>
    </row>
    <row r="1171" spans="1:9" hidden="1">
      <c r="A1171" s="140" t="str">
        <f t="shared" si="18"/>
        <v>17301-43665-01-A12A</v>
      </c>
      <c r="B1171" s="162" t="s">
        <v>1118</v>
      </c>
      <c r="D1171" s="162" t="s">
        <v>1122</v>
      </c>
      <c r="E1171" s="162" t="s">
        <v>1561</v>
      </c>
      <c r="F1171" s="171">
        <v>49660</v>
      </c>
      <c r="G1171" s="141" t="s">
        <v>21</v>
      </c>
      <c r="H1171" s="174">
        <v>1</v>
      </c>
      <c r="I1171" s="198" t="s">
        <v>1999</v>
      </c>
    </row>
    <row r="1172" spans="1:9" hidden="1">
      <c r="A1172" s="140" t="str">
        <f t="shared" si="18"/>
        <v>17301-43665-01-A14FW</v>
      </c>
      <c r="B1172" s="162" t="s">
        <v>1118</v>
      </c>
      <c r="D1172" s="162" t="s">
        <v>1122</v>
      </c>
      <c r="E1172" s="162" t="s">
        <v>1561</v>
      </c>
      <c r="F1172" s="171">
        <v>49660</v>
      </c>
      <c r="G1172" s="141" t="s">
        <v>21</v>
      </c>
      <c r="H1172" s="174">
        <v>1</v>
      </c>
      <c r="I1172" s="196" t="s">
        <v>513</v>
      </c>
    </row>
    <row r="1173" spans="1:9" hidden="1">
      <c r="A1173" s="140" t="str">
        <f t="shared" si="18"/>
        <v>17301-43665-01-L6F</v>
      </c>
      <c r="B1173" s="162" t="s">
        <v>1118</v>
      </c>
      <c r="D1173" s="162" t="s">
        <v>1122</v>
      </c>
      <c r="E1173" s="162" t="s">
        <v>1561</v>
      </c>
      <c r="F1173" s="171">
        <v>49660</v>
      </c>
      <c r="G1173" s="141" t="s">
        <v>21</v>
      </c>
      <c r="H1173" s="174">
        <v>1</v>
      </c>
      <c r="I1173" s="196" t="s">
        <v>880</v>
      </c>
    </row>
    <row r="1174" spans="1:9" hidden="1">
      <c r="A1174" s="140" t="str">
        <f t="shared" si="18"/>
        <v>17301-43665-01-L9ER</v>
      </c>
      <c r="B1174" s="162" t="s">
        <v>1118</v>
      </c>
      <c r="D1174" s="162" t="s">
        <v>1122</v>
      </c>
      <c r="E1174" s="162" t="s">
        <v>1561</v>
      </c>
      <c r="F1174" s="171">
        <v>49660</v>
      </c>
      <c r="G1174" s="141" t="s">
        <v>21</v>
      </c>
      <c r="H1174" s="174">
        <v>1</v>
      </c>
      <c r="I1174" s="188" t="s">
        <v>532</v>
      </c>
    </row>
    <row r="1175" spans="1:9" hidden="1">
      <c r="A1175" s="140" t="str">
        <f t="shared" si="18"/>
        <v>17301-43665-01-L9EV</v>
      </c>
      <c r="B1175" s="162" t="s">
        <v>1118</v>
      </c>
      <c r="D1175" s="162" t="s">
        <v>1122</v>
      </c>
      <c r="E1175" s="162" t="s">
        <v>1561</v>
      </c>
      <c r="F1175" s="171">
        <v>49660</v>
      </c>
      <c r="G1175" s="141" t="s">
        <v>21</v>
      </c>
      <c r="H1175" s="174">
        <v>1</v>
      </c>
      <c r="I1175" s="198" t="s">
        <v>510</v>
      </c>
    </row>
    <row r="1176" spans="1:9" hidden="1">
      <c r="A1176" s="140" t="str">
        <f t="shared" si="18"/>
        <v>17301-43665-01-L8EV</v>
      </c>
      <c r="B1176" s="162" t="s">
        <v>1118</v>
      </c>
      <c r="D1176" s="162" t="s">
        <v>1122</v>
      </c>
      <c r="E1176" s="162" t="s">
        <v>1561</v>
      </c>
      <c r="F1176" s="171">
        <v>49660</v>
      </c>
      <c r="G1176" s="141" t="s">
        <v>21</v>
      </c>
      <c r="H1176" s="174">
        <v>1</v>
      </c>
      <c r="I1176" s="198" t="s">
        <v>531</v>
      </c>
    </row>
    <row r="1177" spans="1:9" ht="13.5" hidden="1" customHeight="1">
      <c r="A1177" s="140" t="str">
        <f t="shared" si="18"/>
        <v>17301-43665-01-L8EV2</v>
      </c>
      <c r="B1177" s="162" t="s">
        <v>1118</v>
      </c>
      <c r="D1177" s="162" t="s">
        <v>1122</v>
      </c>
      <c r="E1177" s="162" t="s">
        <v>1561</v>
      </c>
      <c r="F1177" s="171">
        <v>49660</v>
      </c>
      <c r="G1177" s="141" t="s">
        <v>21</v>
      </c>
      <c r="H1177" s="174">
        <v>1</v>
      </c>
      <c r="I1177" s="196" t="s">
        <v>539</v>
      </c>
    </row>
    <row r="1178" spans="1:9" hidden="1">
      <c r="A1178" s="140" t="str">
        <f t="shared" si="18"/>
        <v>17301-43665-01-L9EV2</v>
      </c>
      <c r="B1178" s="162" t="s">
        <v>1118</v>
      </c>
      <c r="D1178" s="162" t="s">
        <v>1122</v>
      </c>
      <c r="E1178" s="162" t="s">
        <v>1561</v>
      </c>
      <c r="F1178" s="171">
        <v>49660</v>
      </c>
      <c r="G1178" s="141" t="s">
        <v>21</v>
      </c>
      <c r="H1178" s="174">
        <v>1</v>
      </c>
      <c r="I1178" s="196" t="s">
        <v>541</v>
      </c>
    </row>
    <row r="1179" spans="1:9" hidden="1">
      <c r="A1179" s="140" t="str">
        <f t="shared" si="18"/>
        <v>17301-43665-01-L9ER2</v>
      </c>
      <c r="B1179" s="162" t="s">
        <v>1118</v>
      </c>
      <c r="D1179" s="162" t="s">
        <v>1122</v>
      </c>
      <c r="E1179" s="162" t="s">
        <v>1561</v>
      </c>
      <c r="F1179" s="171">
        <v>49660</v>
      </c>
      <c r="G1179" s="141" t="s">
        <v>21</v>
      </c>
      <c r="H1179" s="174">
        <v>1</v>
      </c>
      <c r="I1179" s="198" t="s">
        <v>540</v>
      </c>
    </row>
    <row r="1180" spans="1:9" hidden="1">
      <c r="A1180" s="140" t="str">
        <f t="shared" si="18"/>
        <v>17301-43665-02-A14I</v>
      </c>
      <c r="B1180" s="162" t="s">
        <v>1118</v>
      </c>
      <c r="D1180" s="162" t="s">
        <v>1122</v>
      </c>
      <c r="E1180" s="162" t="s">
        <v>1561</v>
      </c>
      <c r="F1180" s="171">
        <v>50119</v>
      </c>
      <c r="G1180" s="141" t="s">
        <v>21</v>
      </c>
      <c r="H1180" s="174">
        <v>2</v>
      </c>
      <c r="I1180" s="199" t="s">
        <v>505</v>
      </c>
    </row>
    <row r="1181" spans="1:9" hidden="1">
      <c r="A1181" s="140" t="str">
        <f t="shared" si="18"/>
        <v>17301-43665-02-A14H</v>
      </c>
      <c r="B1181" s="162" t="s">
        <v>1118</v>
      </c>
      <c r="D1181" s="162" t="s">
        <v>1122</v>
      </c>
      <c r="E1181" s="162" t="s">
        <v>1561</v>
      </c>
      <c r="F1181" s="171">
        <v>50119</v>
      </c>
      <c r="G1181" s="141" t="s">
        <v>21</v>
      </c>
      <c r="H1181" s="174">
        <v>2</v>
      </c>
      <c r="I1181" s="190" t="s">
        <v>492</v>
      </c>
    </row>
    <row r="1182" spans="1:9" hidden="1">
      <c r="A1182" s="140" t="str">
        <f t="shared" si="18"/>
        <v>17301-43665-02-A14J</v>
      </c>
      <c r="B1182" s="162" t="s">
        <v>1118</v>
      </c>
      <c r="D1182" s="162" t="s">
        <v>1122</v>
      </c>
      <c r="E1182" s="162" t="s">
        <v>1561</v>
      </c>
      <c r="F1182" s="171">
        <v>50119</v>
      </c>
      <c r="G1182" s="141" t="s">
        <v>21</v>
      </c>
      <c r="H1182" s="174">
        <v>2</v>
      </c>
      <c r="I1182" s="186" t="s">
        <v>99</v>
      </c>
    </row>
    <row r="1183" spans="1:9" hidden="1">
      <c r="A1183" s="140" t="str">
        <f t="shared" si="18"/>
        <v>17301-43665-02-L5E</v>
      </c>
      <c r="B1183" s="162" t="s">
        <v>1118</v>
      </c>
      <c r="D1183" s="162" t="s">
        <v>1122</v>
      </c>
      <c r="E1183" s="162" t="s">
        <v>1561</v>
      </c>
      <c r="F1183" s="171">
        <v>50119</v>
      </c>
      <c r="G1183" s="141" t="s">
        <v>21</v>
      </c>
      <c r="H1183" s="174">
        <v>2</v>
      </c>
      <c r="I1183" s="190" t="s">
        <v>887</v>
      </c>
    </row>
    <row r="1184" spans="1:9" hidden="1">
      <c r="A1184" s="140" t="str">
        <f t="shared" si="18"/>
        <v>17301-43665-02-L5E2</v>
      </c>
      <c r="B1184" s="162" t="s">
        <v>1118</v>
      </c>
      <c r="D1184" s="162" t="s">
        <v>1122</v>
      </c>
      <c r="E1184" s="162" t="s">
        <v>1561</v>
      </c>
      <c r="F1184" s="171">
        <v>50119</v>
      </c>
      <c r="G1184" s="141" t="s">
        <v>21</v>
      </c>
      <c r="H1184" s="174">
        <v>2</v>
      </c>
      <c r="I1184" s="186" t="s">
        <v>891</v>
      </c>
    </row>
    <row r="1185" spans="1:15" hidden="1">
      <c r="A1185" s="140" t="str">
        <f t="shared" si="18"/>
        <v>17301-43665-02-A12B</v>
      </c>
      <c r="B1185" s="162" t="s">
        <v>1118</v>
      </c>
      <c r="D1185" s="162" t="s">
        <v>1122</v>
      </c>
      <c r="E1185" s="162" t="s">
        <v>1561</v>
      </c>
      <c r="F1185" s="171">
        <v>50119</v>
      </c>
      <c r="G1185" s="141" t="s">
        <v>21</v>
      </c>
      <c r="H1185" s="174">
        <v>2</v>
      </c>
      <c r="I1185" s="190" t="s">
        <v>147</v>
      </c>
    </row>
    <row r="1186" spans="1:15" hidden="1">
      <c r="A1186" s="140" t="str">
        <f t="shared" si="18"/>
        <v>17301-43665-02-A12A</v>
      </c>
      <c r="B1186" s="162" t="s">
        <v>1118</v>
      </c>
      <c r="D1186" s="162" t="s">
        <v>1122</v>
      </c>
      <c r="E1186" s="162" t="s">
        <v>1561</v>
      </c>
      <c r="F1186" s="171">
        <v>50119</v>
      </c>
      <c r="G1186" s="141" t="s">
        <v>21</v>
      </c>
      <c r="H1186" s="174">
        <v>2</v>
      </c>
      <c r="I1186" s="190" t="s">
        <v>27</v>
      </c>
    </row>
    <row r="1187" spans="1:15" hidden="1">
      <c r="A1187" s="140" t="str">
        <f t="shared" si="18"/>
        <v>17301-43665-02-A14FW</v>
      </c>
      <c r="B1187" s="162" t="s">
        <v>1118</v>
      </c>
      <c r="D1187" s="162" t="s">
        <v>1122</v>
      </c>
      <c r="E1187" s="162" t="s">
        <v>1561</v>
      </c>
      <c r="F1187" s="171">
        <v>50119</v>
      </c>
      <c r="G1187" s="141" t="s">
        <v>21</v>
      </c>
      <c r="H1187" s="174">
        <v>2</v>
      </c>
      <c r="I1187" s="186" t="s">
        <v>52</v>
      </c>
    </row>
    <row r="1188" spans="1:15" hidden="1">
      <c r="A1188" s="140" t="str">
        <f t="shared" si="18"/>
        <v>17301-43665-02-L6F</v>
      </c>
      <c r="B1188" s="162" t="s">
        <v>1118</v>
      </c>
      <c r="D1188" s="162" t="s">
        <v>1122</v>
      </c>
      <c r="E1188" s="162" t="s">
        <v>1561</v>
      </c>
      <c r="F1188" s="171">
        <v>50119</v>
      </c>
      <c r="G1188" s="141" t="s">
        <v>21</v>
      </c>
      <c r="H1188" s="174">
        <v>2</v>
      </c>
      <c r="I1188" s="190" t="s">
        <v>888</v>
      </c>
    </row>
    <row r="1189" spans="1:15" hidden="1">
      <c r="A1189" s="140" t="str">
        <f t="shared" si="18"/>
        <v>17301-43665-02-L9ER</v>
      </c>
      <c r="B1189" s="162" t="s">
        <v>1118</v>
      </c>
      <c r="D1189" s="162" t="s">
        <v>1122</v>
      </c>
      <c r="E1189" s="162" t="s">
        <v>1561</v>
      </c>
      <c r="F1189" s="171">
        <v>50119</v>
      </c>
      <c r="G1189" s="141" t="s">
        <v>21</v>
      </c>
      <c r="H1189" s="174">
        <v>2</v>
      </c>
      <c r="I1189" s="188" t="s">
        <v>532</v>
      </c>
    </row>
    <row r="1190" spans="1:15" hidden="1">
      <c r="A1190" s="140" t="str">
        <f t="shared" si="18"/>
        <v>17301-43665-02-L9EV</v>
      </c>
      <c r="B1190" s="162" t="s">
        <v>1118</v>
      </c>
      <c r="D1190" s="162" t="s">
        <v>1122</v>
      </c>
      <c r="E1190" s="162" t="s">
        <v>1561</v>
      </c>
      <c r="F1190" s="171">
        <v>50119</v>
      </c>
      <c r="G1190" s="141" t="s">
        <v>21</v>
      </c>
      <c r="H1190" s="174">
        <v>2</v>
      </c>
      <c r="I1190" s="186" t="s">
        <v>537</v>
      </c>
    </row>
    <row r="1191" spans="1:15" hidden="1">
      <c r="A1191" s="140" t="str">
        <f t="shared" si="18"/>
        <v>17301-43665-02-L8EV2</v>
      </c>
      <c r="B1191" s="162" t="s">
        <v>1118</v>
      </c>
      <c r="D1191" s="162" t="s">
        <v>1122</v>
      </c>
      <c r="E1191" s="162" t="s">
        <v>1561</v>
      </c>
      <c r="F1191" s="171">
        <v>50119</v>
      </c>
      <c r="G1191" s="141" t="s">
        <v>21</v>
      </c>
      <c r="H1191" s="174">
        <v>2</v>
      </c>
      <c r="I1191" s="186" t="s">
        <v>867</v>
      </c>
    </row>
    <row r="1192" spans="1:15" hidden="1">
      <c r="A1192" s="140" t="str">
        <f t="shared" si="18"/>
        <v>17301-43665-02-L8EV</v>
      </c>
      <c r="B1192" s="162" t="s">
        <v>1118</v>
      </c>
      <c r="D1192" s="162" t="s">
        <v>1122</v>
      </c>
      <c r="E1192" s="162" t="s">
        <v>1561</v>
      </c>
      <c r="F1192" s="171">
        <v>50119</v>
      </c>
      <c r="G1192" s="141" t="s">
        <v>21</v>
      </c>
      <c r="H1192" s="174">
        <v>2</v>
      </c>
      <c r="I1192" s="186" t="s">
        <v>225</v>
      </c>
    </row>
    <row r="1193" spans="1:15" hidden="1">
      <c r="A1193" s="140" t="str">
        <f t="shared" si="18"/>
        <v>17301-43665-02-L9EV2</v>
      </c>
      <c r="B1193" s="162" t="s">
        <v>1118</v>
      </c>
      <c r="D1193" s="162" t="s">
        <v>1122</v>
      </c>
      <c r="E1193" s="162" t="s">
        <v>1561</v>
      </c>
      <c r="F1193" s="171">
        <v>50119</v>
      </c>
      <c r="G1193" s="141" t="s">
        <v>21</v>
      </c>
      <c r="H1193" s="174">
        <v>2</v>
      </c>
      <c r="I1193" s="190" t="s">
        <v>889</v>
      </c>
    </row>
    <row r="1194" spans="1:15" hidden="1">
      <c r="A1194" s="140" t="str">
        <f t="shared" si="18"/>
        <v>17301-43665-02-L9ER2</v>
      </c>
      <c r="B1194" s="162" t="s">
        <v>1118</v>
      </c>
      <c r="D1194" s="162" t="s">
        <v>1122</v>
      </c>
      <c r="E1194" s="162" t="s">
        <v>1561</v>
      </c>
      <c r="F1194" s="171">
        <v>50119</v>
      </c>
      <c r="G1194" s="141" t="s">
        <v>21</v>
      </c>
      <c r="H1194" s="174">
        <v>2</v>
      </c>
      <c r="I1194" s="186" t="s">
        <v>941</v>
      </c>
    </row>
    <row r="1195" spans="1:15" hidden="1">
      <c r="A1195" s="140" t="str">
        <f t="shared" si="18"/>
        <v>17301-43665-03-A14I</v>
      </c>
      <c r="B1195" s="162" t="s">
        <v>1118</v>
      </c>
      <c r="D1195" s="162" t="s">
        <v>1122</v>
      </c>
      <c r="E1195" s="162" t="s">
        <v>1561</v>
      </c>
      <c r="F1195" s="171">
        <v>50924</v>
      </c>
      <c r="G1195" s="141" t="s">
        <v>21</v>
      </c>
      <c r="H1195" s="174">
        <v>3</v>
      </c>
      <c r="I1195" s="199" t="s">
        <v>505</v>
      </c>
    </row>
    <row r="1196" spans="1:15" hidden="1">
      <c r="A1196" s="140" t="str">
        <f t="shared" si="18"/>
        <v>17301-43665-03-A14H</v>
      </c>
      <c r="B1196" s="162" t="s">
        <v>1118</v>
      </c>
      <c r="D1196" s="162" t="s">
        <v>1122</v>
      </c>
      <c r="E1196" s="162" t="s">
        <v>1561</v>
      </c>
      <c r="F1196" s="171">
        <v>50924</v>
      </c>
      <c r="G1196" s="141" t="s">
        <v>21</v>
      </c>
      <c r="H1196" s="174">
        <v>3</v>
      </c>
      <c r="I1196" s="190" t="s">
        <v>492</v>
      </c>
    </row>
    <row r="1197" spans="1:15" hidden="1">
      <c r="A1197" s="140" t="str">
        <f t="shared" si="18"/>
        <v>17301-43665-03-A14J</v>
      </c>
      <c r="B1197" s="162" t="s">
        <v>1118</v>
      </c>
      <c r="D1197" s="162" t="s">
        <v>1122</v>
      </c>
      <c r="E1197" s="162" t="s">
        <v>1561</v>
      </c>
      <c r="F1197" s="171">
        <v>50924</v>
      </c>
      <c r="G1197" s="141" t="s">
        <v>901</v>
      </c>
      <c r="H1197" s="174">
        <v>3</v>
      </c>
      <c r="I1197" s="186" t="s">
        <v>99</v>
      </c>
    </row>
    <row r="1198" spans="1:15" hidden="1">
      <c r="A1198" s="140" t="str">
        <f t="shared" si="18"/>
        <v>17301-43665-03-L5E</v>
      </c>
      <c r="B1198" s="162" t="s">
        <v>1118</v>
      </c>
      <c r="D1198" s="162" t="s">
        <v>1122</v>
      </c>
      <c r="E1198" s="162" t="s">
        <v>1561</v>
      </c>
      <c r="F1198" s="171">
        <v>50924</v>
      </c>
      <c r="G1198" s="141" t="s">
        <v>901</v>
      </c>
      <c r="H1198" s="174">
        <v>3</v>
      </c>
      <c r="I1198" s="190" t="s">
        <v>887</v>
      </c>
      <c r="L1198" s="149"/>
      <c r="M1198" s="185"/>
    </row>
    <row r="1199" spans="1:15" hidden="1">
      <c r="A1199" s="140" t="str">
        <f t="shared" si="18"/>
        <v>17301-43665-03-L5E2</v>
      </c>
      <c r="B1199" s="162" t="s">
        <v>1118</v>
      </c>
      <c r="D1199" s="162" t="s">
        <v>1122</v>
      </c>
      <c r="E1199" s="162" t="s">
        <v>1561</v>
      </c>
      <c r="F1199" s="171">
        <v>50924</v>
      </c>
      <c r="G1199" s="141" t="s">
        <v>901</v>
      </c>
      <c r="H1199" s="174">
        <v>3</v>
      </c>
      <c r="I1199" s="186" t="s">
        <v>891</v>
      </c>
      <c r="L1199" s="149"/>
      <c r="M1199" s="185"/>
    </row>
    <row r="1200" spans="1:15" hidden="1">
      <c r="A1200" s="140" t="str">
        <f t="shared" si="18"/>
        <v>17301-43665-03-A12B</v>
      </c>
      <c r="B1200" s="162" t="s">
        <v>1118</v>
      </c>
      <c r="D1200" s="162" t="s">
        <v>1122</v>
      </c>
      <c r="E1200" s="162" t="s">
        <v>1561</v>
      </c>
      <c r="F1200" s="171">
        <v>50924</v>
      </c>
      <c r="G1200" s="141" t="s">
        <v>901</v>
      </c>
      <c r="H1200" s="174">
        <v>3</v>
      </c>
      <c r="I1200" s="190" t="s">
        <v>147</v>
      </c>
      <c r="L1200" s="149"/>
      <c r="M1200" s="185"/>
      <c r="O1200" s="156"/>
    </row>
    <row r="1201" spans="1:15" hidden="1">
      <c r="A1201" s="140" t="str">
        <f t="shared" si="18"/>
        <v>17301-43665-03-A12A</v>
      </c>
      <c r="B1201" s="162" t="s">
        <v>1118</v>
      </c>
      <c r="D1201" s="162" t="s">
        <v>1122</v>
      </c>
      <c r="E1201" s="162" t="s">
        <v>1561</v>
      </c>
      <c r="F1201" s="171">
        <v>50924</v>
      </c>
      <c r="G1201" s="141" t="s">
        <v>901</v>
      </c>
      <c r="H1201" s="174">
        <v>3</v>
      </c>
      <c r="I1201" s="190" t="s">
        <v>27</v>
      </c>
      <c r="L1201" s="149"/>
      <c r="M1201" s="185"/>
      <c r="O1201" s="156"/>
    </row>
    <row r="1202" spans="1:15" hidden="1">
      <c r="A1202" s="140" t="str">
        <f t="shared" si="18"/>
        <v>17301-43665-03-A14FW</v>
      </c>
      <c r="B1202" s="162" t="s">
        <v>1118</v>
      </c>
      <c r="D1202" s="162" t="s">
        <v>1122</v>
      </c>
      <c r="E1202" s="162" t="s">
        <v>1561</v>
      </c>
      <c r="F1202" s="171">
        <v>50924</v>
      </c>
      <c r="G1202" s="141" t="s">
        <v>901</v>
      </c>
      <c r="H1202" s="174">
        <v>3</v>
      </c>
      <c r="I1202" s="186" t="s">
        <v>52</v>
      </c>
    </row>
    <row r="1203" spans="1:15" hidden="1">
      <c r="A1203" s="140" t="str">
        <f t="shared" si="18"/>
        <v>17301-43665-03-L6F</v>
      </c>
      <c r="B1203" s="162" t="s">
        <v>1118</v>
      </c>
      <c r="D1203" s="162" t="s">
        <v>1122</v>
      </c>
      <c r="E1203" s="162" t="s">
        <v>1561</v>
      </c>
      <c r="F1203" s="171">
        <v>50924</v>
      </c>
      <c r="G1203" s="141" t="s">
        <v>901</v>
      </c>
      <c r="H1203" s="174">
        <v>3</v>
      </c>
      <c r="I1203" s="190" t="s">
        <v>888</v>
      </c>
      <c r="J1203" s="174">
        <v>6</v>
      </c>
      <c r="K1203" s="174">
        <v>6</v>
      </c>
      <c r="L1203" s="149"/>
      <c r="M1203" s="185"/>
    </row>
    <row r="1204" spans="1:15" hidden="1">
      <c r="A1204" s="140" t="str">
        <f t="shared" si="18"/>
        <v>17301-43665-03-L9ER</v>
      </c>
      <c r="B1204" s="162" t="s">
        <v>1118</v>
      </c>
      <c r="D1204" s="162" t="s">
        <v>1122</v>
      </c>
      <c r="E1204" s="162" t="s">
        <v>1561</v>
      </c>
      <c r="F1204" s="171">
        <v>50924</v>
      </c>
      <c r="G1204" s="141" t="s">
        <v>901</v>
      </c>
      <c r="H1204" s="174">
        <v>3</v>
      </c>
      <c r="I1204" s="188" t="s">
        <v>532</v>
      </c>
      <c r="L1204" s="149"/>
      <c r="M1204" s="185"/>
      <c r="O1204" s="156"/>
    </row>
    <row r="1205" spans="1:15" hidden="1">
      <c r="A1205" s="140" t="str">
        <f t="shared" si="18"/>
        <v>17301-43665-03-L9EV</v>
      </c>
      <c r="B1205" s="162" t="s">
        <v>1118</v>
      </c>
      <c r="D1205" s="162" t="s">
        <v>1122</v>
      </c>
      <c r="E1205" s="162" t="s">
        <v>1561</v>
      </c>
      <c r="F1205" s="171">
        <v>50924</v>
      </c>
      <c r="G1205" s="141" t="s">
        <v>901</v>
      </c>
      <c r="H1205" s="174">
        <v>3</v>
      </c>
      <c r="I1205" s="186" t="s">
        <v>537</v>
      </c>
      <c r="L1205" s="149"/>
      <c r="M1205" s="185"/>
      <c r="O1205" s="156"/>
    </row>
    <row r="1206" spans="1:15" hidden="1">
      <c r="A1206" s="140" t="str">
        <f t="shared" si="18"/>
        <v>17301-43665-03-L8EV2</v>
      </c>
      <c r="B1206" s="162" t="s">
        <v>1118</v>
      </c>
      <c r="D1206" s="162" t="s">
        <v>1122</v>
      </c>
      <c r="E1206" s="162" t="s">
        <v>1561</v>
      </c>
      <c r="F1206" s="171">
        <v>50924</v>
      </c>
      <c r="G1206" s="141" t="s">
        <v>901</v>
      </c>
      <c r="H1206" s="174">
        <v>3</v>
      </c>
      <c r="I1206" s="186" t="s">
        <v>867</v>
      </c>
      <c r="L1206" s="149"/>
      <c r="M1206" s="185"/>
    </row>
    <row r="1207" spans="1:15" hidden="1">
      <c r="A1207" s="140" t="str">
        <f t="shared" si="18"/>
        <v>17301-43665-03-L8EV</v>
      </c>
      <c r="B1207" s="162" t="s">
        <v>1118</v>
      </c>
      <c r="D1207" s="162" t="s">
        <v>1122</v>
      </c>
      <c r="E1207" s="162" t="s">
        <v>1561</v>
      </c>
      <c r="F1207" s="171">
        <v>50924</v>
      </c>
      <c r="G1207" s="141" t="s">
        <v>901</v>
      </c>
      <c r="H1207" s="174">
        <v>3</v>
      </c>
      <c r="I1207" s="190" t="s">
        <v>225</v>
      </c>
      <c r="L1207" s="149"/>
      <c r="M1207" s="185"/>
    </row>
    <row r="1208" spans="1:15" hidden="1">
      <c r="A1208" s="140" t="str">
        <f t="shared" ref="A1208:A1271" si="19">G1208&amp;"-"&amp;TEXT(H1208,"00")&amp;"-"&amp;I1208</f>
        <v>17301-43665-03-L9EV2</v>
      </c>
      <c r="B1208" s="162" t="s">
        <v>1118</v>
      </c>
      <c r="D1208" s="162" t="s">
        <v>1122</v>
      </c>
      <c r="E1208" s="162" t="s">
        <v>1561</v>
      </c>
      <c r="F1208" s="171">
        <v>50924</v>
      </c>
      <c r="G1208" s="141" t="s">
        <v>901</v>
      </c>
      <c r="H1208" s="174">
        <v>3</v>
      </c>
      <c r="I1208" s="190" t="s">
        <v>889</v>
      </c>
      <c r="L1208" s="149"/>
      <c r="M1208" s="185"/>
    </row>
    <row r="1209" spans="1:15" ht="13.5" hidden="1" customHeight="1">
      <c r="A1209" s="140" t="str">
        <f t="shared" si="19"/>
        <v>17301-43665-03-L9ER2</v>
      </c>
      <c r="B1209" s="162" t="s">
        <v>1118</v>
      </c>
      <c r="D1209" s="162" t="s">
        <v>1122</v>
      </c>
      <c r="E1209" s="162" t="s">
        <v>1561</v>
      </c>
      <c r="F1209" s="171">
        <v>50924</v>
      </c>
      <c r="G1209" s="141" t="s">
        <v>901</v>
      </c>
      <c r="H1209" s="174">
        <v>3</v>
      </c>
      <c r="I1209" s="186" t="s">
        <v>941</v>
      </c>
      <c r="L1209" s="149"/>
      <c r="M1209" s="185"/>
    </row>
    <row r="1210" spans="1:15" hidden="1">
      <c r="A1210" s="140" t="str">
        <f t="shared" si="19"/>
        <v>17301-43665-04-A14I</v>
      </c>
      <c r="B1210" s="162" t="s">
        <v>1118</v>
      </c>
      <c r="D1210" s="162" t="s">
        <v>1122</v>
      </c>
      <c r="E1210" s="162" t="s">
        <v>1561</v>
      </c>
      <c r="F1210" s="171">
        <v>51129</v>
      </c>
      <c r="G1210" s="141" t="s">
        <v>21</v>
      </c>
      <c r="H1210" s="174">
        <v>4</v>
      </c>
      <c r="I1210" s="216" t="s">
        <v>505</v>
      </c>
      <c r="J1210" s="174">
        <v>7953</v>
      </c>
      <c r="K1210" s="174">
        <v>7953</v>
      </c>
      <c r="L1210" s="149"/>
      <c r="M1210" s="185"/>
      <c r="O1210" s="156"/>
    </row>
    <row r="1211" spans="1:15" ht="13.5" hidden="1" customHeight="1">
      <c r="A1211" s="140" t="str">
        <f t="shared" si="19"/>
        <v>17301-43665-04-A14H</v>
      </c>
      <c r="B1211" s="162" t="s">
        <v>1118</v>
      </c>
      <c r="D1211" s="162" t="s">
        <v>1122</v>
      </c>
      <c r="E1211" s="162" t="s">
        <v>1561</v>
      </c>
      <c r="F1211" s="171">
        <v>51129</v>
      </c>
      <c r="G1211" s="141" t="s">
        <v>21</v>
      </c>
      <c r="H1211" s="174">
        <v>4</v>
      </c>
      <c r="I1211" s="190" t="s">
        <v>492</v>
      </c>
    </row>
    <row r="1212" spans="1:15" hidden="1">
      <c r="A1212" s="140" t="str">
        <f t="shared" si="19"/>
        <v>17301-43665-04-A14J</v>
      </c>
      <c r="B1212" s="162" t="s">
        <v>1118</v>
      </c>
      <c r="D1212" s="162" t="s">
        <v>1122</v>
      </c>
      <c r="E1212" s="162" t="s">
        <v>1561</v>
      </c>
      <c r="F1212" s="171">
        <v>51129</v>
      </c>
      <c r="G1212" s="141" t="s">
        <v>901</v>
      </c>
      <c r="H1212" s="174">
        <v>4</v>
      </c>
      <c r="I1212" s="186" t="s">
        <v>99</v>
      </c>
      <c r="J1212" s="174">
        <v>1665</v>
      </c>
      <c r="K1212" s="174">
        <v>1665</v>
      </c>
      <c r="L1212" s="149"/>
      <c r="M1212" s="185"/>
    </row>
    <row r="1213" spans="1:15" hidden="1">
      <c r="A1213" s="140" t="str">
        <f t="shared" si="19"/>
        <v>17301-43665-04-L5E</v>
      </c>
      <c r="B1213" s="162" t="s">
        <v>1118</v>
      </c>
      <c r="D1213" s="162" t="s">
        <v>1122</v>
      </c>
      <c r="E1213" s="162" t="s">
        <v>1561</v>
      </c>
      <c r="F1213" s="171">
        <v>51129</v>
      </c>
      <c r="G1213" s="141" t="s">
        <v>901</v>
      </c>
      <c r="H1213" s="174">
        <v>4</v>
      </c>
      <c r="I1213" s="215" t="s">
        <v>202</v>
      </c>
      <c r="J1213" s="174">
        <v>2241</v>
      </c>
      <c r="K1213" s="174">
        <v>2241</v>
      </c>
      <c r="L1213" s="149"/>
      <c r="M1213" s="185"/>
      <c r="O1213" s="156"/>
    </row>
    <row r="1214" spans="1:15" hidden="1">
      <c r="A1214" s="140" t="str">
        <f t="shared" si="19"/>
        <v>17301-43665-04-L5E2</v>
      </c>
      <c r="B1214" s="162" t="s">
        <v>1118</v>
      </c>
      <c r="D1214" s="162" t="s">
        <v>1122</v>
      </c>
      <c r="E1214" s="162" t="s">
        <v>1561</v>
      </c>
      <c r="F1214" s="171">
        <v>51129</v>
      </c>
      <c r="G1214" s="141" t="s">
        <v>901</v>
      </c>
      <c r="H1214" s="174">
        <v>4</v>
      </c>
      <c r="I1214" s="186" t="s">
        <v>891</v>
      </c>
      <c r="J1214" s="174">
        <v>15</v>
      </c>
      <c r="K1214" s="174">
        <v>15</v>
      </c>
      <c r="L1214" s="149"/>
      <c r="M1214" s="185"/>
    </row>
    <row r="1215" spans="1:15" hidden="1">
      <c r="A1215" s="140" t="str">
        <f t="shared" si="19"/>
        <v>17301-43665-04-A12B</v>
      </c>
      <c r="B1215" s="162" t="s">
        <v>1118</v>
      </c>
      <c r="D1215" s="162" t="s">
        <v>1122</v>
      </c>
      <c r="E1215" s="162" t="s">
        <v>1561</v>
      </c>
      <c r="F1215" s="171">
        <v>51129</v>
      </c>
      <c r="G1215" s="141" t="s">
        <v>901</v>
      </c>
      <c r="H1215" s="174">
        <v>4</v>
      </c>
      <c r="I1215" s="190" t="s">
        <v>147</v>
      </c>
      <c r="J1215" s="174">
        <v>5398</v>
      </c>
      <c r="K1215" s="174">
        <v>5398</v>
      </c>
      <c r="L1215" s="149"/>
      <c r="M1215" s="185"/>
      <c r="O1215" s="156"/>
    </row>
    <row r="1216" spans="1:15" hidden="1">
      <c r="A1216" s="140" t="str">
        <f t="shared" si="19"/>
        <v>17301-43665-04-A12A</v>
      </c>
      <c r="B1216" s="162" t="s">
        <v>1118</v>
      </c>
      <c r="D1216" s="162" t="s">
        <v>1122</v>
      </c>
      <c r="E1216" s="162" t="s">
        <v>1561</v>
      </c>
      <c r="F1216" s="171">
        <v>51129</v>
      </c>
      <c r="G1216" s="141" t="s">
        <v>901</v>
      </c>
      <c r="H1216" s="174">
        <v>4</v>
      </c>
      <c r="I1216" s="190" t="s">
        <v>27</v>
      </c>
      <c r="J1216" s="174">
        <v>3787</v>
      </c>
      <c r="K1216" s="174">
        <v>3787</v>
      </c>
      <c r="L1216" s="149"/>
      <c r="M1216" s="185"/>
      <c r="O1216" s="156"/>
    </row>
    <row r="1217" spans="1:15" hidden="1">
      <c r="A1217" s="140" t="str">
        <f t="shared" si="19"/>
        <v>17301-43665-04-A14FW</v>
      </c>
      <c r="B1217" s="162" t="s">
        <v>1118</v>
      </c>
      <c r="D1217" s="162" t="s">
        <v>1122</v>
      </c>
      <c r="E1217" s="162" t="s">
        <v>1561</v>
      </c>
      <c r="F1217" s="171">
        <v>51129</v>
      </c>
      <c r="G1217" s="141" t="s">
        <v>901</v>
      </c>
      <c r="H1217" s="174">
        <v>4</v>
      </c>
      <c r="I1217" s="186" t="s">
        <v>52</v>
      </c>
    </row>
    <row r="1218" spans="1:15" hidden="1">
      <c r="A1218" s="140" t="str">
        <f t="shared" si="19"/>
        <v>17301-43665-04-L6F</v>
      </c>
      <c r="B1218" s="162" t="s">
        <v>1118</v>
      </c>
      <c r="D1218" s="162" t="s">
        <v>1122</v>
      </c>
      <c r="E1218" s="162" t="s">
        <v>1561</v>
      </c>
      <c r="F1218" s="171">
        <v>51129</v>
      </c>
      <c r="G1218" s="141" t="s">
        <v>901</v>
      </c>
      <c r="H1218" s="174">
        <v>4</v>
      </c>
      <c r="I1218" s="190" t="s">
        <v>215</v>
      </c>
      <c r="J1218" s="174">
        <v>9</v>
      </c>
      <c r="K1218" s="174">
        <v>9</v>
      </c>
      <c r="L1218" s="149"/>
      <c r="M1218" s="185"/>
    </row>
    <row r="1219" spans="1:15" hidden="1">
      <c r="A1219" s="140" t="str">
        <f t="shared" si="19"/>
        <v>17301-43665-04-L9ER</v>
      </c>
      <c r="B1219" s="162" t="s">
        <v>1118</v>
      </c>
      <c r="D1219" s="162" t="s">
        <v>1122</v>
      </c>
      <c r="E1219" s="162" t="s">
        <v>1561</v>
      </c>
      <c r="F1219" s="171">
        <v>51129</v>
      </c>
      <c r="G1219" s="141" t="s">
        <v>901</v>
      </c>
      <c r="H1219" s="174">
        <v>4</v>
      </c>
      <c r="I1219" s="188" t="s">
        <v>532</v>
      </c>
      <c r="J1219" s="174">
        <v>2544</v>
      </c>
      <c r="K1219" s="174">
        <v>2544</v>
      </c>
      <c r="L1219" s="149"/>
      <c r="M1219" s="185"/>
      <c r="O1219" s="156"/>
    </row>
    <row r="1220" spans="1:15" hidden="1">
      <c r="A1220" s="140" t="str">
        <f t="shared" si="19"/>
        <v>17301-43665-04-L9EV</v>
      </c>
      <c r="B1220" s="162" t="s">
        <v>1118</v>
      </c>
      <c r="D1220" s="162" t="s">
        <v>1122</v>
      </c>
      <c r="E1220" s="162" t="s">
        <v>1561</v>
      </c>
      <c r="F1220" s="171">
        <v>51129</v>
      </c>
      <c r="G1220" s="141" t="s">
        <v>901</v>
      </c>
      <c r="H1220" s="174">
        <v>4</v>
      </c>
      <c r="I1220" s="210" t="s">
        <v>537</v>
      </c>
      <c r="J1220" s="174">
        <v>2895</v>
      </c>
      <c r="K1220" s="174">
        <v>2895</v>
      </c>
      <c r="L1220" s="149"/>
      <c r="M1220" s="185"/>
      <c r="O1220" s="156"/>
    </row>
    <row r="1221" spans="1:15" hidden="1">
      <c r="A1221" s="140" t="str">
        <f t="shared" si="19"/>
        <v>17301-43665-04-L8EV2</v>
      </c>
      <c r="B1221" s="162" t="s">
        <v>1118</v>
      </c>
      <c r="D1221" s="162" t="s">
        <v>1122</v>
      </c>
      <c r="E1221" s="162" t="s">
        <v>1561</v>
      </c>
      <c r="F1221" s="171">
        <v>51129</v>
      </c>
      <c r="G1221" s="141" t="s">
        <v>901</v>
      </c>
      <c r="H1221" s="174">
        <v>4</v>
      </c>
      <c r="I1221" s="186" t="s">
        <v>867</v>
      </c>
      <c r="J1221" s="174">
        <v>71</v>
      </c>
      <c r="K1221" s="174">
        <v>71</v>
      </c>
      <c r="L1221" s="149"/>
      <c r="M1221" s="185"/>
    </row>
    <row r="1222" spans="1:15" hidden="1">
      <c r="A1222" s="140" t="str">
        <f t="shared" si="19"/>
        <v>17301-43665-04-L8EV</v>
      </c>
      <c r="B1222" s="162" t="s">
        <v>1118</v>
      </c>
      <c r="D1222" s="162" t="s">
        <v>1122</v>
      </c>
      <c r="E1222" s="162" t="s">
        <v>1561</v>
      </c>
      <c r="F1222" s="171">
        <v>51129</v>
      </c>
      <c r="G1222" s="141" t="s">
        <v>901</v>
      </c>
      <c r="H1222" s="174">
        <v>4</v>
      </c>
      <c r="I1222" s="210" t="s">
        <v>225</v>
      </c>
      <c r="J1222" s="174">
        <v>3763</v>
      </c>
      <c r="K1222" s="174">
        <v>3763</v>
      </c>
      <c r="L1222" s="149"/>
      <c r="M1222" s="185"/>
      <c r="O1222" s="156"/>
    </row>
    <row r="1223" spans="1:15" hidden="1">
      <c r="A1223" s="140" t="str">
        <f t="shared" si="19"/>
        <v>17301-43665-04-L9EV2</v>
      </c>
      <c r="B1223" s="162" t="s">
        <v>1118</v>
      </c>
      <c r="D1223" s="162" t="s">
        <v>1122</v>
      </c>
      <c r="E1223" s="162" t="s">
        <v>1561</v>
      </c>
      <c r="F1223" s="171">
        <v>51129</v>
      </c>
      <c r="G1223" s="141" t="s">
        <v>901</v>
      </c>
      <c r="H1223" s="174">
        <v>4</v>
      </c>
      <c r="I1223" s="190" t="s">
        <v>846</v>
      </c>
      <c r="J1223" s="174">
        <v>1</v>
      </c>
      <c r="K1223" s="174">
        <v>1</v>
      </c>
      <c r="L1223" s="149"/>
      <c r="M1223" s="185"/>
    </row>
    <row r="1224" spans="1:15" hidden="1">
      <c r="A1224" s="140" t="str">
        <f t="shared" si="19"/>
        <v>17301-43665-04-L9ER2</v>
      </c>
      <c r="B1224" s="162" t="s">
        <v>1118</v>
      </c>
      <c r="D1224" s="162" t="s">
        <v>1122</v>
      </c>
      <c r="E1224" s="162" t="s">
        <v>1561</v>
      </c>
      <c r="F1224" s="171">
        <v>51129</v>
      </c>
      <c r="G1224" s="141" t="s">
        <v>901</v>
      </c>
      <c r="H1224" s="174">
        <v>4</v>
      </c>
      <c r="I1224" s="186" t="s">
        <v>941</v>
      </c>
      <c r="J1224" s="174">
        <v>1</v>
      </c>
      <c r="K1224" s="174">
        <v>1</v>
      </c>
      <c r="L1224" s="149"/>
      <c r="M1224" s="185"/>
    </row>
    <row r="1225" spans="1:15" hidden="1">
      <c r="A1225" s="140" t="str">
        <f t="shared" si="19"/>
        <v>17301-43665-05-A14I</v>
      </c>
      <c r="B1225" s="162" t="s">
        <v>1118</v>
      </c>
      <c r="D1225" s="162" t="s">
        <v>1122</v>
      </c>
      <c r="E1225" s="162" t="s">
        <v>1561</v>
      </c>
      <c r="F1225" s="171">
        <v>50879</v>
      </c>
      <c r="G1225" s="141" t="s">
        <v>21</v>
      </c>
      <c r="H1225" s="174">
        <v>5</v>
      </c>
      <c r="I1225" s="199" t="s">
        <v>505</v>
      </c>
    </row>
    <row r="1226" spans="1:15" hidden="1">
      <c r="A1226" s="140" t="str">
        <f t="shared" si="19"/>
        <v>17301-43665-05-A14H</v>
      </c>
      <c r="B1226" s="162" t="s">
        <v>1118</v>
      </c>
      <c r="D1226" s="162" t="s">
        <v>1122</v>
      </c>
      <c r="E1226" s="162" t="s">
        <v>1561</v>
      </c>
      <c r="F1226" s="171">
        <v>50879</v>
      </c>
      <c r="G1226" s="141" t="s">
        <v>21</v>
      </c>
      <c r="H1226" s="174">
        <v>5</v>
      </c>
      <c r="I1226" s="190" t="s">
        <v>492</v>
      </c>
    </row>
    <row r="1227" spans="1:15" hidden="1">
      <c r="A1227" s="140" t="str">
        <f t="shared" si="19"/>
        <v>17301-43665-05-A14J</v>
      </c>
      <c r="B1227" s="162" t="s">
        <v>1118</v>
      </c>
      <c r="D1227" s="162" t="s">
        <v>1122</v>
      </c>
      <c r="E1227" s="162" t="s">
        <v>1561</v>
      </c>
      <c r="F1227" s="171">
        <v>50879</v>
      </c>
      <c r="G1227" s="141" t="s">
        <v>901</v>
      </c>
      <c r="H1227" s="174">
        <v>5</v>
      </c>
      <c r="I1227" s="186" t="s">
        <v>99</v>
      </c>
    </row>
    <row r="1228" spans="1:15" hidden="1">
      <c r="A1228" s="140" t="str">
        <f t="shared" si="19"/>
        <v>17301-43665-05-L5E</v>
      </c>
      <c r="B1228" s="162" t="s">
        <v>1118</v>
      </c>
      <c r="D1228" s="162" t="s">
        <v>1122</v>
      </c>
      <c r="E1228" s="162" t="s">
        <v>1561</v>
      </c>
      <c r="F1228" s="171">
        <v>50879</v>
      </c>
      <c r="G1228" s="141" t="s">
        <v>901</v>
      </c>
      <c r="H1228" s="174">
        <v>5</v>
      </c>
      <c r="I1228" s="190" t="s">
        <v>887</v>
      </c>
      <c r="J1228" s="174">
        <v>2379</v>
      </c>
      <c r="K1228" s="174">
        <v>2379</v>
      </c>
      <c r="L1228" s="149"/>
      <c r="M1228" s="185"/>
    </row>
    <row r="1229" spans="1:15" hidden="1">
      <c r="A1229" s="140" t="str">
        <f t="shared" si="19"/>
        <v>17301-43665-05-L5E2</v>
      </c>
      <c r="B1229" s="162" t="s">
        <v>1118</v>
      </c>
      <c r="D1229" s="162" t="s">
        <v>1122</v>
      </c>
      <c r="E1229" s="162" t="s">
        <v>1561</v>
      </c>
      <c r="F1229" s="171">
        <v>50879</v>
      </c>
      <c r="G1229" s="141" t="s">
        <v>901</v>
      </c>
      <c r="H1229" s="174">
        <v>5</v>
      </c>
      <c r="I1229" s="186" t="s">
        <v>891</v>
      </c>
      <c r="J1229" s="174">
        <v>24</v>
      </c>
      <c r="K1229" s="174">
        <v>24</v>
      </c>
      <c r="L1229" s="149"/>
      <c r="M1229" s="185"/>
    </row>
    <row r="1230" spans="1:15" hidden="1">
      <c r="A1230" s="140" t="str">
        <f t="shared" si="19"/>
        <v>17301-43665-05-A12B</v>
      </c>
      <c r="B1230" s="162" t="s">
        <v>1118</v>
      </c>
      <c r="D1230" s="162" t="s">
        <v>1122</v>
      </c>
      <c r="E1230" s="162" t="s">
        <v>1561</v>
      </c>
      <c r="F1230" s="171">
        <v>50879</v>
      </c>
      <c r="G1230" s="141" t="s">
        <v>901</v>
      </c>
      <c r="H1230" s="174">
        <v>5</v>
      </c>
      <c r="I1230" s="190" t="s">
        <v>147</v>
      </c>
      <c r="J1230" s="174">
        <v>5642</v>
      </c>
      <c r="K1230" s="174">
        <v>5642</v>
      </c>
      <c r="L1230" s="149"/>
      <c r="M1230" s="185"/>
      <c r="O1230" s="156"/>
    </row>
    <row r="1231" spans="1:15" hidden="1">
      <c r="A1231" s="140" t="str">
        <f t="shared" si="19"/>
        <v>17301-43665-05-A12A</v>
      </c>
      <c r="B1231" s="162" t="s">
        <v>1118</v>
      </c>
      <c r="D1231" s="162" t="s">
        <v>1122</v>
      </c>
      <c r="E1231" s="162" t="s">
        <v>1561</v>
      </c>
      <c r="F1231" s="171">
        <v>50879</v>
      </c>
      <c r="G1231" s="141" t="s">
        <v>901</v>
      </c>
      <c r="H1231" s="174">
        <v>5</v>
      </c>
      <c r="I1231" s="190" t="s">
        <v>27</v>
      </c>
      <c r="J1231" s="174">
        <v>3795</v>
      </c>
      <c r="K1231" s="174">
        <v>3795</v>
      </c>
      <c r="L1231" s="149"/>
      <c r="M1231" s="185"/>
      <c r="O1231" s="156"/>
    </row>
    <row r="1232" spans="1:15" hidden="1">
      <c r="A1232" s="140" t="str">
        <f t="shared" si="19"/>
        <v>17301-43665-05-A14FW</v>
      </c>
      <c r="B1232" s="162" t="s">
        <v>1118</v>
      </c>
      <c r="D1232" s="162" t="s">
        <v>1122</v>
      </c>
      <c r="E1232" s="162" t="s">
        <v>1561</v>
      </c>
      <c r="F1232" s="171">
        <v>50879</v>
      </c>
      <c r="G1232" s="141" t="s">
        <v>901</v>
      </c>
      <c r="H1232" s="174">
        <v>5</v>
      </c>
      <c r="I1232" s="186" t="s">
        <v>52</v>
      </c>
    </row>
    <row r="1233" spans="1:15" hidden="1">
      <c r="A1233" s="140" t="str">
        <f t="shared" si="19"/>
        <v>17301-43665-05-L6F</v>
      </c>
      <c r="B1233" s="162" t="s">
        <v>1118</v>
      </c>
      <c r="D1233" s="162" t="s">
        <v>1122</v>
      </c>
      <c r="E1233" s="162" t="s">
        <v>1561</v>
      </c>
      <c r="F1233" s="171">
        <v>50879</v>
      </c>
      <c r="G1233" s="141" t="s">
        <v>901</v>
      </c>
      <c r="H1233" s="174">
        <v>5</v>
      </c>
      <c r="I1233" s="190" t="s">
        <v>888</v>
      </c>
      <c r="J1233" s="174">
        <v>379</v>
      </c>
      <c r="K1233" s="174">
        <v>379</v>
      </c>
      <c r="L1233" s="149"/>
      <c r="M1233" s="185"/>
    </row>
    <row r="1234" spans="1:15" ht="20.25" hidden="1" customHeight="1">
      <c r="A1234" s="140" t="str">
        <f t="shared" si="19"/>
        <v>17301-43665-05-L9ER</v>
      </c>
      <c r="B1234" s="162" t="s">
        <v>1118</v>
      </c>
      <c r="D1234" s="162" t="s">
        <v>1122</v>
      </c>
      <c r="E1234" s="162" t="s">
        <v>1561</v>
      </c>
      <c r="F1234" s="171">
        <v>50879</v>
      </c>
      <c r="G1234" s="141" t="s">
        <v>901</v>
      </c>
      <c r="H1234" s="174">
        <v>5</v>
      </c>
      <c r="I1234" s="188" t="s">
        <v>532</v>
      </c>
      <c r="J1234" s="174">
        <v>3113</v>
      </c>
      <c r="K1234" s="174">
        <v>3113</v>
      </c>
      <c r="L1234" s="149"/>
      <c r="M1234" s="185"/>
      <c r="O1234" s="156"/>
    </row>
    <row r="1235" spans="1:15" ht="18.75" hidden="1" customHeight="1">
      <c r="A1235" s="140" t="str">
        <f t="shared" si="19"/>
        <v>17301-43665-05-L9EV</v>
      </c>
      <c r="B1235" s="162" t="s">
        <v>1118</v>
      </c>
      <c r="D1235" s="162" t="s">
        <v>1122</v>
      </c>
      <c r="E1235" s="162" t="s">
        <v>1561</v>
      </c>
      <c r="F1235" s="171">
        <v>50879</v>
      </c>
      <c r="G1235" s="141" t="s">
        <v>901</v>
      </c>
      <c r="H1235" s="174">
        <v>5</v>
      </c>
      <c r="I1235" s="210" t="s">
        <v>537</v>
      </c>
      <c r="J1235" s="174">
        <v>3435</v>
      </c>
      <c r="K1235" s="174">
        <v>3435</v>
      </c>
      <c r="L1235" s="149"/>
      <c r="M1235" s="185"/>
      <c r="O1235" s="156"/>
    </row>
    <row r="1236" spans="1:15" ht="20.25" hidden="1" customHeight="1">
      <c r="A1236" s="140" t="str">
        <f t="shared" si="19"/>
        <v>17301-43665-05-L8EV2</v>
      </c>
      <c r="B1236" s="162" t="s">
        <v>1118</v>
      </c>
      <c r="D1236" s="162" t="s">
        <v>1122</v>
      </c>
      <c r="E1236" s="162" t="s">
        <v>1561</v>
      </c>
      <c r="F1236" s="171">
        <v>50879</v>
      </c>
      <c r="G1236" s="141" t="s">
        <v>901</v>
      </c>
      <c r="H1236" s="174">
        <v>5</v>
      </c>
      <c r="I1236" s="186" t="s">
        <v>867</v>
      </c>
      <c r="J1236" s="174">
        <v>84</v>
      </c>
      <c r="K1236" s="174">
        <v>84</v>
      </c>
      <c r="L1236" s="149"/>
      <c r="M1236" s="185"/>
    </row>
    <row r="1237" spans="1:15" ht="23.25" hidden="1" customHeight="1">
      <c r="A1237" s="140" t="str">
        <f t="shared" si="19"/>
        <v>17301-43665-05-L8EV</v>
      </c>
      <c r="B1237" s="162" t="s">
        <v>1118</v>
      </c>
      <c r="D1237" s="162" t="s">
        <v>1122</v>
      </c>
      <c r="E1237" s="162" t="s">
        <v>1561</v>
      </c>
      <c r="F1237" s="171">
        <v>50879</v>
      </c>
      <c r="G1237" s="141" t="s">
        <v>901</v>
      </c>
      <c r="H1237" s="174">
        <v>5</v>
      </c>
      <c r="I1237" s="210" t="s">
        <v>225</v>
      </c>
      <c r="J1237" s="174">
        <v>4303</v>
      </c>
      <c r="K1237" s="174">
        <v>4303</v>
      </c>
      <c r="L1237" s="149"/>
      <c r="M1237" s="185"/>
      <c r="O1237" s="156"/>
    </row>
    <row r="1238" spans="1:15" hidden="1">
      <c r="A1238" s="140" t="str">
        <f t="shared" si="19"/>
        <v>17301-43665-05-L9EV2</v>
      </c>
      <c r="B1238" s="162" t="s">
        <v>1118</v>
      </c>
      <c r="D1238" s="162" t="s">
        <v>1122</v>
      </c>
      <c r="E1238" s="162" t="s">
        <v>1561</v>
      </c>
      <c r="F1238" s="171">
        <v>50879</v>
      </c>
      <c r="G1238" s="141" t="s">
        <v>901</v>
      </c>
      <c r="H1238" s="174">
        <v>5</v>
      </c>
      <c r="I1238" s="190" t="s">
        <v>889</v>
      </c>
      <c r="J1238" s="174">
        <v>24</v>
      </c>
      <c r="K1238" s="174">
        <v>24</v>
      </c>
      <c r="L1238" s="149"/>
      <c r="M1238" s="185"/>
    </row>
    <row r="1239" spans="1:15" hidden="1">
      <c r="A1239" s="140" t="str">
        <f t="shared" si="19"/>
        <v>17301-43665-05-L9ER2</v>
      </c>
      <c r="B1239" s="162" t="s">
        <v>1118</v>
      </c>
      <c r="D1239" s="162" t="s">
        <v>1122</v>
      </c>
      <c r="E1239" s="162" t="s">
        <v>1561</v>
      </c>
      <c r="F1239" s="171">
        <v>50879</v>
      </c>
      <c r="G1239" s="141" t="s">
        <v>901</v>
      </c>
      <c r="H1239" s="174">
        <v>5</v>
      </c>
      <c r="I1239" s="186" t="s">
        <v>941</v>
      </c>
      <c r="J1239" s="174">
        <v>4</v>
      </c>
      <c r="K1239" s="174">
        <v>4</v>
      </c>
      <c r="L1239" s="149"/>
      <c r="M1239" s="185"/>
    </row>
    <row r="1240" spans="1:15" hidden="1">
      <c r="A1240" s="140" t="str">
        <f t="shared" si="19"/>
        <v>17301-43665-06-A14I</v>
      </c>
      <c r="B1240" s="162" t="s">
        <v>1118</v>
      </c>
      <c r="D1240" s="162" t="s">
        <v>1122</v>
      </c>
      <c r="E1240" s="162" t="s">
        <v>1561</v>
      </c>
      <c r="F1240" s="171">
        <v>51498</v>
      </c>
      <c r="G1240" s="141" t="s">
        <v>21</v>
      </c>
      <c r="H1240" s="174">
        <v>6</v>
      </c>
      <c r="I1240" s="199" t="s">
        <v>505</v>
      </c>
    </row>
    <row r="1241" spans="1:15" hidden="1">
      <c r="A1241" s="140" t="str">
        <f t="shared" si="19"/>
        <v>17301-43665-06-A14H</v>
      </c>
      <c r="B1241" s="162" t="s">
        <v>1118</v>
      </c>
      <c r="D1241" s="162" t="s">
        <v>1122</v>
      </c>
      <c r="E1241" s="162" t="s">
        <v>1561</v>
      </c>
      <c r="F1241" s="171">
        <v>51498</v>
      </c>
      <c r="G1241" s="141" t="s">
        <v>21</v>
      </c>
      <c r="H1241" s="174">
        <v>6</v>
      </c>
      <c r="I1241" s="190" t="s">
        <v>492</v>
      </c>
    </row>
    <row r="1242" spans="1:15" hidden="1">
      <c r="A1242" s="140" t="str">
        <f t="shared" si="19"/>
        <v>17301-43665-06-A14J</v>
      </c>
      <c r="B1242" s="162" t="s">
        <v>1118</v>
      </c>
      <c r="D1242" s="162" t="s">
        <v>1122</v>
      </c>
      <c r="E1242" s="162" t="s">
        <v>1561</v>
      </c>
      <c r="F1242" s="171">
        <v>51498</v>
      </c>
      <c r="G1242" s="141" t="s">
        <v>901</v>
      </c>
      <c r="H1242" s="174">
        <v>6</v>
      </c>
      <c r="I1242" s="186" t="s">
        <v>99</v>
      </c>
    </row>
    <row r="1243" spans="1:15" ht="13.5" hidden="1" customHeight="1">
      <c r="A1243" s="140" t="str">
        <f t="shared" si="19"/>
        <v>17301-43665-06-L5E</v>
      </c>
      <c r="B1243" s="162" t="s">
        <v>1118</v>
      </c>
      <c r="D1243" s="162" t="s">
        <v>1122</v>
      </c>
      <c r="E1243" s="162" t="s">
        <v>1561</v>
      </c>
      <c r="F1243" s="171">
        <v>51498</v>
      </c>
      <c r="G1243" s="141" t="s">
        <v>901</v>
      </c>
      <c r="H1243" s="174">
        <v>6</v>
      </c>
      <c r="I1243" s="190" t="s">
        <v>202</v>
      </c>
    </row>
    <row r="1244" spans="1:15" hidden="1">
      <c r="A1244" s="140" t="str">
        <f t="shared" si="19"/>
        <v>17301-43665-06-L5E2</v>
      </c>
      <c r="B1244" s="162" t="s">
        <v>1118</v>
      </c>
      <c r="D1244" s="162" t="s">
        <v>1122</v>
      </c>
      <c r="E1244" s="162" t="s">
        <v>1561</v>
      </c>
      <c r="F1244" s="171">
        <v>51498</v>
      </c>
      <c r="G1244" s="141" t="s">
        <v>901</v>
      </c>
      <c r="H1244" s="174">
        <v>6</v>
      </c>
      <c r="I1244" s="186" t="s">
        <v>891</v>
      </c>
    </row>
    <row r="1245" spans="1:15" ht="13.5" hidden="1" customHeight="1">
      <c r="A1245" s="140" t="str">
        <f t="shared" si="19"/>
        <v>17301-43665-06-A12B</v>
      </c>
      <c r="B1245" s="162" t="s">
        <v>1118</v>
      </c>
      <c r="D1245" s="162" t="s">
        <v>1122</v>
      </c>
      <c r="E1245" s="162" t="s">
        <v>1561</v>
      </c>
      <c r="F1245" s="171">
        <v>51498</v>
      </c>
      <c r="G1245" s="141" t="s">
        <v>901</v>
      </c>
      <c r="H1245" s="174">
        <v>6</v>
      </c>
      <c r="I1245" s="190" t="s">
        <v>147</v>
      </c>
    </row>
    <row r="1246" spans="1:15" hidden="1">
      <c r="A1246" s="140" t="str">
        <f t="shared" si="19"/>
        <v>17301-43665-06-A12A</v>
      </c>
      <c r="B1246" s="162" t="s">
        <v>1118</v>
      </c>
      <c r="D1246" s="162" t="s">
        <v>1122</v>
      </c>
      <c r="E1246" s="162" t="s">
        <v>1561</v>
      </c>
      <c r="F1246" s="171">
        <v>51498</v>
      </c>
      <c r="G1246" s="141" t="s">
        <v>901</v>
      </c>
      <c r="H1246" s="174">
        <v>6</v>
      </c>
      <c r="I1246" s="190" t="s">
        <v>27</v>
      </c>
    </row>
    <row r="1247" spans="1:15" hidden="1">
      <c r="A1247" s="140" t="str">
        <f t="shared" si="19"/>
        <v>17301-43665-06-A14FW</v>
      </c>
      <c r="B1247" s="162" t="s">
        <v>1118</v>
      </c>
      <c r="D1247" s="162" t="s">
        <v>1122</v>
      </c>
      <c r="E1247" s="162" t="s">
        <v>1561</v>
      </c>
      <c r="F1247" s="171">
        <v>51498</v>
      </c>
      <c r="G1247" s="141" t="s">
        <v>901</v>
      </c>
      <c r="H1247" s="174">
        <v>6</v>
      </c>
      <c r="I1247" s="186" t="s">
        <v>52</v>
      </c>
    </row>
    <row r="1248" spans="1:15" hidden="1">
      <c r="A1248" s="140" t="str">
        <f t="shared" si="19"/>
        <v>17301-43665-06-L6F</v>
      </c>
      <c r="B1248" s="162" t="s">
        <v>1118</v>
      </c>
      <c r="D1248" s="162" t="s">
        <v>1122</v>
      </c>
      <c r="E1248" s="162" t="s">
        <v>1561</v>
      </c>
      <c r="F1248" s="171">
        <v>51498</v>
      </c>
      <c r="G1248" s="141" t="s">
        <v>901</v>
      </c>
      <c r="H1248" s="174">
        <v>6</v>
      </c>
      <c r="I1248" s="190" t="s">
        <v>215</v>
      </c>
    </row>
    <row r="1249" spans="1:20" hidden="1">
      <c r="A1249" s="140" t="str">
        <f t="shared" si="19"/>
        <v>17301-43665-06-L9ER</v>
      </c>
      <c r="B1249" s="162" t="s">
        <v>1118</v>
      </c>
      <c r="D1249" s="162" t="s">
        <v>1122</v>
      </c>
      <c r="E1249" s="162" t="s">
        <v>1561</v>
      </c>
      <c r="F1249" s="171">
        <v>51498</v>
      </c>
      <c r="G1249" s="141" t="s">
        <v>901</v>
      </c>
      <c r="H1249" s="174">
        <v>6</v>
      </c>
      <c r="I1249" s="188" t="s">
        <v>532</v>
      </c>
    </row>
    <row r="1250" spans="1:20" ht="13.5" hidden="1" customHeight="1">
      <c r="A1250" s="140" t="str">
        <f t="shared" si="19"/>
        <v>17301-43665-06-L9EV</v>
      </c>
      <c r="B1250" s="162" t="s">
        <v>1118</v>
      </c>
      <c r="D1250" s="162" t="s">
        <v>1122</v>
      </c>
      <c r="E1250" s="162" t="s">
        <v>1561</v>
      </c>
      <c r="F1250" s="171">
        <v>51498</v>
      </c>
      <c r="G1250" s="141" t="s">
        <v>901</v>
      </c>
      <c r="H1250" s="174">
        <v>6</v>
      </c>
      <c r="I1250" s="186" t="s">
        <v>537</v>
      </c>
    </row>
    <row r="1251" spans="1:20" hidden="1">
      <c r="A1251" s="140" t="str">
        <f t="shared" si="19"/>
        <v>17301-43665-06-L8EV2</v>
      </c>
      <c r="B1251" s="162" t="s">
        <v>1118</v>
      </c>
      <c r="D1251" s="162" t="s">
        <v>1122</v>
      </c>
      <c r="E1251" s="162" t="s">
        <v>1561</v>
      </c>
      <c r="F1251" s="171">
        <v>51498</v>
      </c>
      <c r="G1251" s="141" t="s">
        <v>901</v>
      </c>
      <c r="H1251" s="174">
        <v>6</v>
      </c>
      <c r="I1251" s="186" t="s">
        <v>867</v>
      </c>
    </row>
    <row r="1252" spans="1:20" ht="13.5" hidden="1" customHeight="1">
      <c r="A1252" s="140" t="str">
        <f t="shared" si="19"/>
        <v>17301-43665-06-L8EV</v>
      </c>
      <c r="B1252" s="162" t="s">
        <v>1118</v>
      </c>
      <c r="D1252" s="162" t="s">
        <v>1122</v>
      </c>
      <c r="E1252" s="162" t="s">
        <v>1561</v>
      </c>
      <c r="F1252" s="171">
        <v>51498</v>
      </c>
      <c r="G1252" s="141" t="s">
        <v>901</v>
      </c>
      <c r="H1252" s="174">
        <v>6</v>
      </c>
      <c r="I1252" s="186" t="s">
        <v>225</v>
      </c>
    </row>
    <row r="1253" spans="1:20" hidden="1">
      <c r="A1253" s="140" t="str">
        <f t="shared" si="19"/>
        <v>17301-43665-06-L9EV2</v>
      </c>
      <c r="B1253" s="162" t="s">
        <v>1118</v>
      </c>
      <c r="D1253" s="162" t="s">
        <v>1122</v>
      </c>
      <c r="E1253" s="162" t="s">
        <v>1561</v>
      </c>
      <c r="F1253" s="171">
        <v>51498</v>
      </c>
      <c r="G1253" s="141" t="s">
        <v>901</v>
      </c>
      <c r="H1253" s="174">
        <v>6</v>
      </c>
      <c r="I1253" s="190" t="s">
        <v>846</v>
      </c>
    </row>
    <row r="1254" spans="1:20" hidden="1">
      <c r="A1254" s="140" t="str">
        <f t="shared" si="19"/>
        <v>17301-43665-06-L9ER2</v>
      </c>
      <c r="B1254" s="162" t="s">
        <v>1118</v>
      </c>
      <c r="D1254" s="162" t="s">
        <v>1122</v>
      </c>
      <c r="E1254" s="162" t="s">
        <v>1561</v>
      </c>
      <c r="F1254" s="171">
        <v>51498</v>
      </c>
      <c r="G1254" s="141" t="s">
        <v>901</v>
      </c>
      <c r="H1254" s="174">
        <v>6</v>
      </c>
      <c r="I1254" s="186" t="s">
        <v>941</v>
      </c>
    </row>
    <row r="1255" spans="1:20" ht="13.5" hidden="1" customHeight="1">
      <c r="A1255" s="140" t="str">
        <f t="shared" si="19"/>
        <v>17301-43665-07-A14I</v>
      </c>
      <c r="B1255" s="162" t="s">
        <v>1118</v>
      </c>
      <c r="D1255" s="162" t="s">
        <v>1122</v>
      </c>
      <c r="E1255" s="162" t="s">
        <v>1561</v>
      </c>
      <c r="F1255" s="171">
        <v>47167</v>
      </c>
      <c r="G1255" s="141" t="s">
        <v>21</v>
      </c>
      <c r="H1255" s="174">
        <v>7</v>
      </c>
      <c r="I1255" s="196" t="s">
        <v>505</v>
      </c>
      <c r="P1255" s="155"/>
      <c r="R1255" s="151"/>
      <c r="S1255" s="147"/>
      <c r="T1255" s="148"/>
    </row>
    <row r="1256" spans="1:20" hidden="1">
      <c r="A1256" s="140" t="str">
        <f t="shared" si="19"/>
        <v>17301-43665-07-A14H</v>
      </c>
      <c r="B1256" s="162" t="s">
        <v>1118</v>
      </c>
      <c r="D1256" s="162" t="s">
        <v>1122</v>
      </c>
      <c r="E1256" s="162" t="s">
        <v>1561</v>
      </c>
      <c r="F1256" s="171">
        <v>47167</v>
      </c>
      <c r="G1256" s="141" t="s">
        <v>21</v>
      </c>
      <c r="H1256" s="174">
        <v>7</v>
      </c>
      <c r="I1256" s="186" t="s">
        <v>837</v>
      </c>
      <c r="P1256" s="155"/>
      <c r="R1256" s="151"/>
      <c r="S1256" s="147"/>
      <c r="T1256" s="148"/>
    </row>
    <row r="1257" spans="1:20" hidden="1">
      <c r="A1257" s="140" t="str">
        <f t="shared" si="19"/>
        <v>17301-43665-07-A14J</v>
      </c>
      <c r="B1257" s="162" t="s">
        <v>1118</v>
      </c>
      <c r="D1257" s="162" t="s">
        <v>1122</v>
      </c>
      <c r="E1257" s="162" t="s">
        <v>1561</v>
      </c>
      <c r="F1257" s="171">
        <v>47167</v>
      </c>
      <c r="G1257" s="141" t="s">
        <v>21</v>
      </c>
      <c r="H1257" s="174">
        <v>7</v>
      </c>
      <c r="I1257" s="186" t="s">
        <v>99</v>
      </c>
      <c r="P1257" s="155"/>
    </row>
    <row r="1258" spans="1:20" hidden="1">
      <c r="A1258" s="140" t="str">
        <f t="shared" si="19"/>
        <v>17301-43665-07-L5E</v>
      </c>
      <c r="B1258" s="162" t="s">
        <v>1118</v>
      </c>
      <c r="D1258" s="162" t="s">
        <v>1122</v>
      </c>
      <c r="E1258" s="162" t="s">
        <v>1561</v>
      </c>
      <c r="F1258" s="171">
        <v>47167</v>
      </c>
      <c r="G1258" s="141" t="s">
        <v>21</v>
      </c>
      <c r="H1258" s="174">
        <v>7</v>
      </c>
      <c r="I1258" s="186" t="s">
        <v>202</v>
      </c>
      <c r="P1258" s="155"/>
      <c r="R1258" s="146"/>
      <c r="S1258" s="147"/>
      <c r="T1258" s="148"/>
    </row>
    <row r="1259" spans="1:20" hidden="1">
      <c r="A1259" s="140" t="str">
        <f t="shared" si="19"/>
        <v>17301-43665-07-L5E2</v>
      </c>
      <c r="B1259" s="162" t="s">
        <v>1118</v>
      </c>
      <c r="D1259" s="162" t="s">
        <v>1122</v>
      </c>
      <c r="E1259" s="162" t="s">
        <v>1561</v>
      </c>
      <c r="F1259" s="171">
        <v>47167</v>
      </c>
      <c r="G1259" s="141" t="s">
        <v>21</v>
      </c>
      <c r="H1259" s="174">
        <v>7</v>
      </c>
      <c r="I1259" s="198" t="s">
        <v>838</v>
      </c>
      <c r="P1259" s="155"/>
      <c r="R1259" s="146"/>
      <c r="S1259" s="147"/>
      <c r="T1259" s="148"/>
    </row>
    <row r="1260" spans="1:20" hidden="1">
      <c r="A1260" s="140" t="str">
        <f t="shared" si="19"/>
        <v>17301-43665-07-A12B</v>
      </c>
      <c r="B1260" s="162" t="s">
        <v>1118</v>
      </c>
      <c r="D1260" s="162" t="s">
        <v>1122</v>
      </c>
      <c r="E1260" s="162" t="s">
        <v>1561</v>
      </c>
      <c r="F1260" s="171">
        <v>47167</v>
      </c>
      <c r="G1260" s="141" t="s">
        <v>21</v>
      </c>
      <c r="H1260" s="174">
        <v>7</v>
      </c>
      <c r="I1260" s="186" t="s">
        <v>147</v>
      </c>
      <c r="P1260" s="155"/>
      <c r="R1260" s="146"/>
      <c r="S1260" s="147"/>
      <c r="T1260" s="148"/>
    </row>
    <row r="1261" spans="1:20" hidden="1">
      <c r="A1261" s="140" t="str">
        <f t="shared" si="19"/>
        <v>17301-43665-07-A12A</v>
      </c>
      <c r="B1261" s="162" t="s">
        <v>1118</v>
      </c>
      <c r="D1261" s="162" t="s">
        <v>1122</v>
      </c>
      <c r="E1261" s="162" t="s">
        <v>1561</v>
      </c>
      <c r="F1261" s="171">
        <v>47167</v>
      </c>
      <c r="G1261" s="141" t="s">
        <v>21</v>
      </c>
      <c r="H1261" s="174">
        <v>7</v>
      </c>
      <c r="I1261" s="186" t="s">
        <v>27</v>
      </c>
    </row>
    <row r="1262" spans="1:20" hidden="1">
      <c r="A1262" s="140" t="str">
        <f t="shared" si="19"/>
        <v>17301-43665-07-A14FW</v>
      </c>
      <c r="B1262" s="162" t="s">
        <v>1118</v>
      </c>
      <c r="D1262" s="162" t="s">
        <v>1122</v>
      </c>
      <c r="E1262" s="162" t="s">
        <v>1561</v>
      </c>
      <c r="F1262" s="171">
        <v>47167</v>
      </c>
      <c r="G1262" s="141" t="s">
        <v>21</v>
      </c>
      <c r="H1262" s="174">
        <v>7</v>
      </c>
      <c r="I1262" s="186" t="s">
        <v>835</v>
      </c>
      <c r="R1262" s="151"/>
      <c r="S1262" s="147"/>
      <c r="T1262" s="148"/>
    </row>
    <row r="1263" spans="1:20" hidden="1">
      <c r="A1263" s="140" t="str">
        <f t="shared" si="19"/>
        <v>17301-43665-07-L6F</v>
      </c>
      <c r="B1263" s="162" t="s">
        <v>1118</v>
      </c>
      <c r="D1263" s="162" t="s">
        <v>1122</v>
      </c>
      <c r="E1263" s="162" t="s">
        <v>1561</v>
      </c>
      <c r="F1263" s="171">
        <v>47167</v>
      </c>
      <c r="G1263" s="141" t="s">
        <v>21</v>
      </c>
      <c r="H1263" s="174">
        <v>7</v>
      </c>
      <c r="I1263" s="186" t="s">
        <v>215</v>
      </c>
      <c r="T1263" s="148"/>
    </row>
    <row r="1264" spans="1:20" hidden="1">
      <c r="A1264" s="140" t="str">
        <f t="shared" si="19"/>
        <v>17301-43665-07-L9ER</v>
      </c>
      <c r="B1264" s="162" t="s">
        <v>1118</v>
      </c>
      <c r="D1264" s="162" t="s">
        <v>1122</v>
      </c>
      <c r="E1264" s="162" t="s">
        <v>1561</v>
      </c>
      <c r="F1264" s="171">
        <v>47167</v>
      </c>
      <c r="G1264" s="141" t="s">
        <v>21</v>
      </c>
      <c r="H1264" s="174">
        <v>7</v>
      </c>
      <c r="I1264" s="188" t="s">
        <v>532</v>
      </c>
      <c r="R1264" s="151"/>
      <c r="S1264" s="147"/>
      <c r="T1264" s="148"/>
    </row>
    <row r="1265" spans="1:20" hidden="1">
      <c r="A1265" s="140" t="str">
        <f t="shared" si="19"/>
        <v>17301-43665-07-L9EV</v>
      </c>
      <c r="B1265" s="162" t="s">
        <v>1118</v>
      </c>
      <c r="D1265" s="162" t="s">
        <v>1122</v>
      </c>
      <c r="E1265" s="162" t="s">
        <v>1561</v>
      </c>
      <c r="F1265" s="171">
        <v>47167</v>
      </c>
      <c r="G1265" s="141" t="s">
        <v>21</v>
      </c>
      <c r="H1265" s="174">
        <v>7</v>
      </c>
      <c r="I1265" s="186" t="s">
        <v>836</v>
      </c>
      <c r="R1265" s="151"/>
      <c r="S1265" s="147"/>
      <c r="T1265" s="148"/>
    </row>
    <row r="1266" spans="1:20" hidden="1">
      <c r="A1266" s="140" t="str">
        <f t="shared" si="19"/>
        <v>17301-43665-07-L8EV2</v>
      </c>
      <c r="B1266" s="162" t="s">
        <v>1118</v>
      </c>
      <c r="D1266" s="162" t="s">
        <v>1122</v>
      </c>
      <c r="E1266" s="162" t="s">
        <v>1561</v>
      </c>
      <c r="F1266" s="171">
        <v>47167</v>
      </c>
      <c r="G1266" s="141" t="s">
        <v>21</v>
      </c>
      <c r="H1266" s="174">
        <v>7</v>
      </c>
      <c r="I1266" s="186" t="s">
        <v>867</v>
      </c>
      <c r="R1266" s="151"/>
      <c r="S1266" s="147"/>
      <c r="T1266" s="148"/>
    </row>
    <row r="1267" spans="1:20" hidden="1">
      <c r="A1267" s="140" t="str">
        <f t="shared" si="19"/>
        <v>17301-43665-07-L8EV</v>
      </c>
      <c r="B1267" s="162" t="s">
        <v>1118</v>
      </c>
      <c r="D1267" s="162" t="s">
        <v>1122</v>
      </c>
      <c r="E1267" s="162" t="s">
        <v>1561</v>
      </c>
      <c r="F1267" s="171">
        <v>47167</v>
      </c>
      <c r="G1267" s="141" t="s">
        <v>21</v>
      </c>
      <c r="H1267" s="174">
        <v>7</v>
      </c>
      <c r="I1267" s="186" t="s">
        <v>225</v>
      </c>
      <c r="R1267" s="151"/>
      <c r="S1267" s="147"/>
      <c r="T1267" s="148"/>
    </row>
    <row r="1268" spans="1:20" hidden="1">
      <c r="A1268" s="140" t="str">
        <f t="shared" si="19"/>
        <v>17301-43665-07-L9ER2</v>
      </c>
      <c r="B1268" s="162" t="s">
        <v>1118</v>
      </c>
      <c r="D1268" s="162" t="s">
        <v>1122</v>
      </c>
      <c r="E1268" s="162" t="s">
        <v>1561</v>
      </c>
      <c r="F1268" s="171">
        <v>47167</v>
      </c>
      <c r="G1268" s="141" t="s">
        <v>21</v>
      </c>
      <c r="H1268" s="174">
        <v>7</v>
      </c>
      <c r="I1268" s="186" t="s">
        <v>941</v>
      </c>
      <c r="R1268" s="151"/>
      <c r="S1268" s="147"/>
      <c r="T1268" s="148"/>
    </row>
    <row r="1269" spans="1:20" hidden="1">
      <c r="A1269" s="140" t="str">
        <f t="shared" si="19"/>
        <v>17301-43665-08-A14I</v>
      </c>
      <c r="B1269" s="162" t="s">
        <v>1118</v>
      </c>
      <c r="D1269" s="162" t="s">
        <v>1122</v>
      </c>
      <c r="E1269" s="162" t="s">
        <v>1561</v>
      </c>
      <c r="F1269" s="171">
        <v>52999</v>
      </c>
      <c r="G1269" s="141" t="s">
        <v>21</v>
      </c>
      <c r="H1269" s="174">
        <v>8</v>
      </c>
      <c r="I1269" s="216" t="s">
        <v>505</v>
      </c>
      <c r="J1269" s="174">
        <v>8550</v>
      </c>
      <c r="K1269" s="174">
        <v>8550</v>
      </c>
      <c r="L1269" s="149"/>
      <c r="M1269" s="185"/>
      <c r="O1269" s="156"/>
    </row>
    <row r="1270" spans="1:20" hidden="1">
      <c r="A1270" s="140" t="str">
        <f t="shared" si="19"/>
        <v>17301-43665-08-A14H</v>
      </c>
      <c r="B1270" s="162" t="s">
        <v>1118</v>
      </c>
      <c r="D1270" s="162" t="s">
        <v>1122</v>
      </c>
      <c r="E1270" s="162" t="s">
        <v>1561</v>
      </c>
      <c r="F1270" s="171">
        <v>52999</v>
      </c>
      <c r="G1270" s="141" t="s">
        <v>21</v>
      </c>
      <c r="H1270" s="174">
        <v>8</v>
      </c>
      <c r="I1270" s="190" t="s">
        <v>492</v>
      </c>
    </row>
    <row r="1271" spans="1:20" hidden="1">
      <c r="A1271" s="140" t="str">
        <f t="shared" si="19"/>
        <v>17301-43665-08-A14J</v>
      </c>
      <c r="B1271" s="162" t="s">
        <v>1118</v>
      </c>
      <c r="D1271" s="162" t="s">
        <v>1122</v>
      </c>
      <c r="E1271" s="162" t="s">
        <v>1561</v>
      </c>
      <c r="F1271" s="171">
        <v>52999</v>
      </c>
      <c r="G1271" s="141" t="s">
        <v>21</v>
      </c>
      <c r="H1271" s="174">
        <v>8</v>
      </c>
      <c r="I1271" s="186" t="s">
        <v>99</v>
      </c>
      <c r="J1271" s="174">
        <v>3659</v>
      </c>
      <c r="K1271" s="174">
        <v>3659</v>
      </c>
      <c r="L1271" s="149"/>
      <c r="M1271" s="185"/>
    </row>
    <row r="1272" spans="1:20" hidden="1">
      <c r="A1272" s="140" t="str">
        <f t="shared" ref="A1272:A1335" si="20">G1272&amp;"-"&amp;TEXT(H1272,"00")&amp;"-"&amp;I1272</f>
        <v>17301-43665-08-L5E</v>
      </c>
      <c r="B1272" s="162" t="s">
        <v>1118</v>
      </c>
      <c r="D1272" s="162" t="s">
        <v>1122</v>
      </c>
      <c r="E1272" s="162" t="s">
        <v>1561</v>
      </c>
      <c r="F1272" s="171">
        <v>52999</v>
      </c>
      <c r="G1272" s="141" t="s">
        <v>21</v>
      </c>
      <c r="H1272" s="174">
        <v>8</v>
      </c>
      <c r="I1272" s="190" t="s">
        <v>202</v>
      </c>
    </row>
    <row r="1273" spans="1:20" hidden="1">
      <c r="A1273" s="140" t="str">
        <f t="shared" si="20"/>
        <v>17301-43665-08-L5E2</v>
      </c>
      <c r="B1273" s="162" t="s">
        <v>1118</v>
      </c>
      <c r="D1273" s="162" t="s">
        <v>1122</v>
      </c>
      <c r="E1273" s="162" t="s">
        <v>1561</v>
      </c>
      <c r="F1273" s="171">
        <v>52999</v>
      </c>
      <c r="G1273" s="141" t="s">
        <v>21</v>
      </c>
      <c r="H1273" s="174">
        <v>8</v>
      </c>
      <c r="I1273" s="186" t="s">
        <v>891</v>
      </c>
    </row>
    <row r="1274" spans="1:20" hidden="1">
      <c r="A1274" s="140" t="str">
        <f t="shared" si="20"/>
        <v>17301-43665-08-A12B</v>
      </c>
      <c r="B1274" s="162" t="s">
        <v>1118</v>
      </c>
      <c r="D1274" s="162" t="s">
        <v>1122</v>
      </c>
      <c r="E1274" s="162" t="s">
        <v>1561</v>
      </c>
      <c r="F1274" s="171">
        <v>52999</v>
      </c>
      <c r="G1274" s="141" t="s">
        <v>21</v>
      </c>
      <c r="H1274" s="174">
        <v>8</v>
      </c>
      <c r="I1274" s="190" t="s">
        <v>147</v>
      </c>
      <c r="J1274" s="174">
        <v>6504</v>
      </c>
      <c r="K1274" s="174">
        <v>6504</v>
      </c>
      <c r="L1274" s="149"/>
      <c r="M1274" s="185"/>
      <c r="O1274" s="156"/>
    </row>
    <row r="1275" spans="1:20" hidden="1">
      <c r="A1275" s="140" t="str">
        <f t="shared" si="20"/>
        <v>17301-43665-08-A12A</v>
      </c>
      <c r="B1275" s="162" t="s">
        <v>1118</v>
      </c>
      <c r="D1275" s="162" t="s">
        <v>1122</v>
      </c>
      <c r="E1275" s="162" t="s">
        <v>1561</v>
      </c>
      <c r="F1275" s="171">
        <v>52999</v>
      </c>
      <c r="G1275" s="141" t="s">
        <v>21</v>
      </c>
      <c r="H1275" s="174">
        <v>8</v>
      </c>
      <c r="I1275" s="190" t="s">
        <v>27</v>
      </c>
      <c r="J1275" s="174">
        <v>3832</v>
      </c>
      <c r="K1275" s="174">
        <v>3832</v>
      </c>
      <c r="L1275" s="149"/>
      <c r="M1275" s="185"/>
      <c r="O1275" s="156"/>
    </row>
    <row r="1276" spans="1:20" hidden="1">
      <c r="A1276" s="140" t="str">
        <f t="shared" si="20"/>
        <v>17301-43665-08-A14FW</v>
      </c>
      <c r="B1276" s="162" t="s">
        <v>1118</v>
      </c>
      <c r="D1276" s="162" t="s">
        <v>1122</v>
      </c>
      <c r="E1276" s="162" t="s">
        <v>1561</v>
      </c>
      <c r="F1276" s="171">
        <v>52999</v>
      </c>
      <c r="G1276" s="141" t="s">
        <v>21</v>
      </c>
      <c r="H1276" s="174">
        <v>8</v>
      </c>
      <c r="I1276" s="186" t="s">
        <v>52</v>
      </c>
    </row>
    <row r="1277" spans="1:20" hidden="1">
      <c r="A1277" s="140" t="str">
        <f t="shared" si="20"/>
        <v>17301-43665-08-L6F</v>
      </c>
      <c r="B1277" s="162" t="s">
        <v>1118</v>
      </c>
      <c r="D1277" s="162" t="s">
        <v>1122</v>
      </c>
      <c r="E1277" s="162" t="s">
        <v>1561</v>
      </c>
      <c r="F1277" s="171">
        <v>52999</v>
      </c>
      <c r="G1277" s="141" t="s">
        <v>21</v>
      </c>
      <c r="H1277" s="174">
        <v>8</v>
      </c>
      <c r="I1277" s="190" t="s">
        <v>215</v>
      </c>
    </row>
    <row r="1278" spans="1:20" hidden="1">
      <c r="A1278" s="140" t="str">
        <f t="shared" si="20"/>
        <v>17301-43665-08-L9ER</v>
      </c>
      <c r="B1278" s="162" t="s">
        <v>1118</v>
      </c>
      <c r="D1278" s="162" t="s">
        <v>1122</v>
      </c>
      <c r="E1278" s="162" t="s">
        <v>1561</v>
      </c>
      <c r="F1278" s="171">
        <v>52999</v>
      </c>
      <c r="G1278" s="141" t="s">
        <v>21</v>
      </c>
      <c r="H1278" s="174">
        <v>8</v>
      </c>
      <c r="I1278" s="188" t="s">
        <v>532</v>
      </c>
    </row>
    <row r="1279" spans="1:20" hidden="1">
      <c r="A1279" s="140" t="str">
        <f t="shared" si="20"/>
        <v>17301-43665-08-L9EV</v>
      </c>
      <c r="B1279" s="162" t="s">
        <v>1118</v>
      </c>
      <c r="D1279" s="162" t="s">
        <v>1122</v>
      </c>
      <c r="E1279" s="162" t="s">
        <v>1561</v>
      </c>
      <c r="F1279" s="171">
        <v>52999</v>
      </c>
      <c r="G1279" s="141" t="s">
        <v>21</v>
      </c>
      <c r="H1279" s="174">
        <v>8</v>
      </c>
      <c r="I1279" s="186" t="s">
        <v>537</v>
      </c>
    </row>
    <row r="1280" spans="1:20" hidden="1">
      <c r="A1280" s="140" t="str">
        <f t="shared" si="20"/>
        <v>17301-43665-08-L8EV</v>
      </c>
      <c r="B1280" s="162" t="s">
        <v>1118</v>
      </c>
      <c r="D1280" s="162" t="s">
        <v>1122</v>
      </c>
      <c r="E1280" s="162" t="s">
        <v>1561</v>
      </c>
      <c r="F1280" s="171">
        <v>52999</v>
      </c>
      <c r="G1280" s="141" t="s">
        <v>21</v>
      </c>
      <c r="H1280" s="174">
        <v>8</v>
      </c>
      <c r="I1280" s="215" t="s">
        <v>928</v>
      </c>
      <c r="J1280" s="174">
        <v>5239</v>
      </c>
      <c r="K1280" s="174">
        <v>5239</v>
      </c>
      <c r="L1280" s="149"/>
      <c r="M1280" s="185"/>
      <c r="O1280" s="156"/>
    </row>
    <row r="1281" spans="1:13" hidden="1">
      <c r="A1281" s="140" t="str">
        <f t="shared" si="20"/>
        <v>17301-43665-08-L8EV2</v>
      </c>
      <c r="B1281" s="162" t="s">
        <v>1118</v>
      </c>
      <c r="D1281" s="162" t="s">
        <v>1122</v>
      </c>
      <c r="E1281" s="162" t="s">
        <v>1561</v>
      </c>
      <c r="F1281" s="171">
        <v>52999</v>
      </c>
      <c r="G1281" s="141" t="s">
        <v>21</v>
      </c>
      <c r="H1281" s="174">
        <v>8</v>
      </c>
      <c r="I1281" s="186" t="s">
        <v>867</v>
      </c>
      <c r="J1281" s="174">
        <v>197</v>
      </c>
      <c r="K1281" s="174">
        <v>197</v>
      </c>
      <c r="L1281" s="149"/>
      <c r="M1281" s="185"/>
    </row>
    <row r="1282" spans="1:13" hidden="1">
      <c r="A1282" s="140" t="str">
        <f t="shared" si="20"/>
        <v>17301-43665-08-L9EV2</v>
      </c>
      <c r="B1282" s="162" t="s">
        <v>1118</v>
      </c>
      <c r="D1282" s="162" t="s">
        <v>1122</v>
      </c>
      <c r="E1282" s="162" t="s">
        <v>1561</v>
      </c>
      <c r="F1282" s="171">
        <v>52999</v>
      </c>
      <c r="G1282" s="141" t="s">
        <v>21</v>
      </c>
      <c r="H1282" s="174">
        <v>8</v>
      </c>
      <c r="I1282" s="190" t="s">
        <v>846</v>
      </c>
    </row>
    <row r="1283" spans="1:13" hidden="1">
      <c r="A1283" s="140" t="str">
        <f t="shared" si="20"/>
        <v>17301-43665-08-L9ER2</v>
      </c>
      <c r="B1283" s="162" t="s">
        <v>1118</v>
      </c>
      <c r="D1283" s="162" t="s">
        <v>1122</v>
      </c>
      <c r="E1283" s="162" t="s">
        <v>1561</v>
      </c>
      <c r="F1283" s="171">
        <v>52999</v>
      </c>
      <c r="G1283" s="141" t="s">
        <v>21</v>
      </c>
      <c r="H1283" s="174">
        <v>8</v>
      </c>
      <c r="I1283" s="186" t="s">
        <v>941</v>
      </c>
    </row>
    <row r="1284" spans="1:13" hidden="1">
      <c r="A1284" s="140" t="str">
        <f t="shared" si="20"/>
        <v>17301-43665-09-A14I</v>
      </c>
      <c r="B1284" s="162" t="s">
        <v>1118</v>
      </c>
      <c r="D1284" s="162" t="s">
        <v>1122</v>
      </c>
      <c r="E1284" s="162" t="s">
        <v>1561</v>
      </c>
      <c r="F1284" s="171">
        <v>53855</v>
      </c>
      <c r="G1284" s="141" t="s">
        <v>21</v>
      </c>
      <c r="H1284" s="174">
        <v>9</v>
      </c>
      <c r="I1284" s="199" t="s">
        <v>505</v>
      </c>
      <c r="J1284" s="174">
        <v>8902</v>
      </c>
      <c r="K1284" s="174">
        <v>8902</v>
      </c>
      <c r="L1284" s="149"/>
      <c r="M1284" s="185"/>
    </row>
    <row r="1285" spans="1:13" hidden="1">
      <c r="A1285" s="140" t="str">
        <f t="shared" si="20"/>
        <v>17301-43665-09-A14H</v>
      </c>
      <c r="B1285" s="162" t="s">
        <v>1118</v>
      </c>
      <c r="D1285" s="162" t="s">
        <v>1122</v>
      </c>
      <c r="E1285" s="162" t="s">
        <v>1561</v>
      </c>
      <c r="F1285" s="171">
        <v>53855</v>
      </c>
      <c r="G1285" s="141" t="s">
        <v>21</v>
      </c>
      <c r="H1285" s="174">
        <v>9</v>
      </c>
      <c r="I1285" s="190" t="s">
        <v>492</v>
      </c>
    </row>
    <row r="1286" spans="1:13" hidden="1">
      <c r="A1286" s="140" t="str">
        <f t="shared" si="20"/>
        <v>17301-43665-09-A14J</v>
      </c>
      <c r="B1286" s="162" t="s">
        <v>1118</v>
      </c>
      <c r="D1286" s="162" t="s">
        <v>1122</v>
      </c>
      <c r="E1286" s="162" t="s">
        <v>1561</v>
      </c>
      <c r="F1286" s="171">
        <v>53855</v>
      </c>
      <c r="G1286" s="141" t="s">
        <v>21</v>
      </c>
      <c r="H1286" s="174">
        <v>9</v>
      </c>
      <c r="I1286" s="186" t="s">
        <v>99</v>
      </c>
      <c r="J1286" s="174">
        <v>4346</v>
      </c>
      <c r="K1286" s="174">
        <v>4346</v>
      </c>
      <c r="L1286" s="149"/>
      <c r="M1286" s="185"/>
    </row>
    <row r="1287" spans="1:13" hidden="1">
      <c r="A1287" s="140" t="str">
        <f t="shared" si="20"/>
        <v>17301-43665-09-L5E</v>
      </c>
      <c r="B1287" s="162" t="s">
        <v>1118</v>
      </c>
      <c r="D1287" s="162" t="s">
        <v>1122</v>
      </c>
      <c r="E1287" s="162" t="s">
        <v>1561</v>
      </c>
      <c r="F1287" s="171">
        <v>53855</v>
      </c>
      <c r="G1287" s="141" t="s">
        <v>901</v>
      </c>
      <c r="H1287" s="174">
        <v>9</v>
      </c>
      <c r="I1287" s="190" t="s">
        <v>202</v>
      </c>
      <c r="J1287" s="174">
        <v>3322</v>
      </c>
      <c r="K1287" s="174">
        <v>3322</v>
      </c>
      <c r="L1287" s="149"/>
      <c r="M1287" s="185"/>
    </row>
    <row r="1288" spans="1:13" hidden="1">
      <c r="A1288" s="140" t="str">
        <f t="shared" si="20"/>
        <v>17301-43665-09-L5E2</v>
      </c>
      <c r="B1288" s="162" t="s">
        <v>1118</v>
      </c>
      <c r="D1288" s="162" t="s">
        <v>1122</v>
      </c>
      <c r="E1288" s="162" t="s">
        <v>1561</v>
      </c>
      <c r="F1288" s="171">
        <v>53855</v>
      </c>
      <c r="G1288" s="141" t="s">
        <v>901</v>
      </c>
      <c r="H1288" s="174">
        <v>9</v>
      </c>
      <c r="I1288" s="186" t="s">
        <v>891</v>
      </c>
      <c r="J1288" s="174">
        <v>79</v>
      </c>
      <c r="K1288" s="174">
        <v>79</v>
      </c>
      <c r="L1288" s="149"/>
      <c r="M1288" s="185"/>
    </row>
    <row r="1289" spans="1:13" hidden="1">
      <c r="A1289" s="140" t="str">
        <f t="shared" si="20"/>
        <v>17301-43665-09-A12B</v>
      </c>
      <c r="B1289" s="162" t="s">
        <v>1118</v>
      </c>
      <c r="D1289" s="162" t="s">
        <v>1122</v>
      </c>
      <c r="E1289" s="162" t="s">
        <v>1561</v>
      </c>
      <c r="F1289" s="171">
        <v>53855</v>
      </c>
      <c r="G1289" s="141" t="s">
        <v>901</v>
      </c>
      <c r="H1289" s="174">
        <v>9</v>
      </c>
      <c r="I1289" s="190" t="s">
        <v>147</v>
      </c>
    </row>
    <row r="1290" spans="1:13" hidden="1">
      <c r="A1290" s="140" t="str">
        <f t="shared" si="20"/>
        <v>17301-43665-09-A12A</v>
      </c>
      <c r="B1290" s="162" t="s">
        <v>1118</v>
      </c>
      <c r="D1290" s="162" t="s">
        <v>1122</v>
      </c>
      <c r="E1290" s="162" t="s">
        <v>1561</v>
      </c>
      <c r="F1290" s="171">
        <v>53855</v>
      </c>
      <c r="G1290" s="141" t="s">
        <v>901</v>
      </c>
      <c r="H1290" s="174">
        <v>9</v>
      </c>
      <c r="I1290" s="190" t="s">
        <v>27</v>
      </c>
    </row>
    <row r="1291" spans="1:13" hidden="1">
      <c r="A1291" s="140" t="str">
        <f t="shared" si="20"/>
        <v>17301-43665-09-A14FW</v>
      </c>
      <c r="B1291" s="162" t="s">
        <v>1118</v>
      </c>
      <c r="D1291" s="162" t="s">
        <v>1122</v>
      </c>
      <c r="E1291" s="162" t="s">
        <v>1561</v>
      </c>
      <c r="F1291" s="171">
        <v>53855</v>
      </c>
      <c r="G1291" s="141" t="s">
        <v>901</v>
      </c>
      <c r="H1291" s="174">
        <v>9</v>
      </c>
      <c r="I1291" s="186" t="s">
        <v>52</v>
      </c>
    </row>
    <row r="1292" spans="1:13" hidden="1">
      <c r="A1292" s="140" t="str">
        <f t="shared" si="20"/>
        <v>17301-43665-09-L6F</v>
      </c>
      <c r="B1292" s="162" t="s">
        <v>1118</v>
      </c>
      <c r="D1292" s="162" t="s">
        <v>1122</v>
      </c>
      <c r="E1292" s="162" t="s">
        <v>1561</v>
      </c>
      <c r="F1292" s="171">
        <v>53855</v>
      </c>
      <c r="G1292" s="141" t="s">
        <v>901</v>
      </c>
      <c r="H1292" s="174">
        <v>9</v>
      </c>
      <c r="I1292" s="190" t="s">
        <v>215</v>
      </c>
      <c r="J1292" s="174">
        <v>3142</v>
      </c>
      <c r="K1292" s="174">
        <v>3142</v>
      </c>
      <c r="L1292" s="149"/>
      <c r="M1292" s="185"/>
    </row>
    <row r="1293" spans="1:13" hidden="1">
      <c r="A1293" s="140" t="str">
        <f t="shared" si="20"/>
        <v>17301-43665-09-L9ER</v>
      </c>
      <c r="B1293" s="162" t="s">
        <v>1118</v>
      </c>
      <c r="D1293" s="162" t="s">
        <v>1122</v>
      </c>
      <c r="E1293" s="162" t="s">
        <v>1561</v>
      </c>
      <c r="F1293" s="171">
        <v>53855</v>
      </c>
      <c r="G1293" s="141" t="s">
        <v>901</v>
      </c>
      <c r="H1293" s="174">
        <v>9</v>
      </c>
      <c r="I1293" s="188" t="s">
        <v>532</v>
      </c>
      <c r="J1293" s="174">
        <v>4631</v>
      </c>
      <c r="K1293" s="174">
        <v>4631</v>
      </c>
      <c r="L1293" s="149"/>
      <c r="M1293" s="185"/>
    </row>
    <row r="1294" spans="1:13" hidden="1">
      <c r="A1294" s="140" t="str">
        <f t="shared" si="20"/>
        <v>17301-43665-09-L9EV</v>
      </c>
      <c r="B1294" s="162" t="s">
        <v>1118</v>
      </c>
      <c r="D1294" s="162" t="s">
        <v>1122</v>
      </c>
      <c r="E1294" s="162" t="s">
        <v>1561</v>
      </c>
      <c r="F1294" s="171">
        <v>53855</v>
      </c>
      <c r="G1294" s="141" t="s">
        <v>901</v>
      </c>
      <c r="H1294" s="174">
        <v>9</v>
      </c>
      <c r="I1294" s="186" t="s">
        <v>537</v>
      </c>
      <c r="J1294" s="174">
        <v>5029</v>
      </c>
      <c r="K1294" s="174">
        <v>5029</v>
      </c>
      <c r="L1294" s="149"/>
      <c r="M1294" s="185"/>
    </row>
    <row r="1295" spans="1:13" hidden="1">
      <c r="A1295" s="140" t="str">
        <f t="shared" si="20"/>
        <v>17301-43665-09-L8EV</v>
      </c>
      <c r="B1295" s="162" t="s">
        <v>1118</v>
      </c>
      <c r="D1295" s="162" t="s">
        <v>1122</v>
      </c>
      <c r="E1295" s="162" t="s">
        <v>1561</v>
      </c>
      <c r="F1295" s="171">
        <v>53855</v>
      </c>
      <c r="G1295" s="141" t="s">
        <v>901</v>
      </c>
      <c r="H1295" s="174">
        <v>9</v>
      </c>
      <c r="I1295" s="190" t="s">
        <v>928</v>
      </c>
      <c r="J1295" s="174">
        <v>5623</v>
      </c>
      <c r="K1295" s="174">
        <v>5623</v>
      </c>
      <c r="L1295" s="149"/>
      <c r="M1295" s="185"/>
    </row>
    <row r="1296" spans="1:13" hidden="1">
      <c r="A1296" s="140" t="str">
        <f t="shared" si="20"/>
        <v>17301-43665-09-L8EV2</v>
      </c>
      <c r="B1296" s="162" t="s">
        <v>1118</v>
      </c>
      <c r="D1296" s="162" t="s">
        <v>1122</v>
      </c>
      <c r="E1296" s="162" t="s">
        <v>1561</v>
      </c>
      <c r="F1296" s="171">
        <v>53855</v>
      </c>
      <c r="G1296" s="141" t="s">
        <v>901</v>
      </c>
      <c r="H1296" s="174">
        <v>9</v>
      </c>
      <c r="I1296" s="186" t="s">
        <v>867</v>
      </c>
      <c r="J1296" s="174">
        <v>255</v>
      </c>
      <c r="K1296" s="174">
        <v>255</v>
      </c>
      <c r="L1296" s="149"/>
      <c r="M1296" s="185"/>
    </row>
    <row r="1297" spans="1:13" hidden="1">
      <c r="A1297" s="140" t="str">
        <f t="shared" si="20"/>
        <v>17301-43665-09-L9EV2</v>
      </c>
      <c r="B1297" s="162" t="s">
        <v>1118</v>
      </c>
      <c r="D1297" s="162" t="s">
        <v>1122</v>
      </c>
      <c r="E1297" s="162" t="s">
        <v>1561</v>
      </c>
      <c r="F1297" s="171">
        <v>53855</v>
      </c>
      <c r="G1297" s="141" t="s">
        <v>901</v>
      </c>
      <c r="H1297" s="174">
        <v>9</v>
      </c>
      <c r="I1297" s="190" t="s">
        <v>846</v>
      </c>
      <c r="J1297" s="174">
        <v>182</v>
      </c>
      <c r="K1297" s="174">
        <v>182</v>
      </c>
      <c r="L1297" s="149"/>
      <c r="M1297" s="185"/>
    </row>
    <row r="1298" spans="1:13" hidden="1">
      <c r="A1298" s="140" t="str">
        <f t="shared" si="20"/>
        <v>17301-43665-09-L9ER2</v>
      </c>
      <c r="B1298" s="162" t="s">
        <v>1118</v>
      </c>
      <c r="D1298" s="162" t="s">
        <v>1122</v>
      </c>
      <c r="E1298" s="162" t="s">
        <v>1561</v>
      </c>
      <c r="F1298" s="171">
        <v>53855</v>
      </c>
      <c r="G1298" s="141" t="s">
        <v>901</v>
      </c>
      <c r="H1298" s="174">
        <v>9</v>
      </c>
      <c r="I1298" s="186" t="s">
        <v>941</v>
      </c>
      <c r="J1298" s="174">
        <v>52</v>
      </c>
      <c r="K1298" s="174">
        <v>52</v>
      </c>
      <c r="L1298" s="149"/>
      <c r="M1298" s="185"/>
    </row>
    <row r="1299" spans="1:13" hidden="1">
      <c r="A1299" s="140" t="str">
        <f t="shared" si="20"/>
        <v>17301-43665-10-A14I</v>
      </c>
      <c r="B1299" s="162" t="s">
        <v>1118</v>
      </c>
      <c r="D1299" s="162" t="s">
        <v>1122</v>
      </c>
      <c r="E1299" s="162" t="s">
        <v>1561</v>
      </c>
      <c r="F1299" s="171">
        <v>54923</v>
      </c>
      <c r="G1299" s="141" t="s">
        <v>21</v>
      </c>
      <c r="H1299" s="174">
        <v>10</v>
      </c>
      <c r="I1299" s="199" t="s">
        <v>505</v>
      </c>
    </row>
    <row r="1300" spans="1:13" hidden="1">
      <c r="A1300" s="140" t="str">
        <f t="shared" si="20"/>
        <v>17301-43665-10-A14H</v>
      </c>
      <c r="B1300" s="162" t="s">
        <v>1118</v>
      </c>
      <c r="D1300" s="162" t="s">
        <v>1122</v>
      </c>
      <c r="E1300" s="162" t="s">
        <v>1561</v>
      </c>
      <c r="F1300" s="171">
        <v>54923</v>
      </c>
      <c r="G1300" s="141" t="s">
        <v>21</v>
      </c>
      <c r="H1300" s="174">
        <v>10</v>
      </c>
      <c r="I1300" s="190" t="s">
        <v>492</v>
      </c>
    </row>
    <row r="1301" spans="1:13" hidden="1">
      <c r="A1301" s="140" t="str">
        <f t="shared" si="20"/>
        <v>17301-43665-10-A14J</v>
      </c>
      <c r="B1301" s="162" t="s">
        <v>1118</v>
      </c>
      <c r="D1301" s="162" t="s">
        <v>1122</v>
      </c>
      <c r="E1301" s="162" t="s">
        <v>1561</v>
      </c>
      <c r="F1301" s="171">
        <v>54923</v>
      </c>
      <c r="G1301" s="141" t="s">
        <v>901</v>
      </c>
      <c r="H1301" s="174">
        <v>10</v>
      </c>
      <c r="I1301" s="186" t="s">
        <v>99</v>
      </c>
    </row>
    <row r="1302" spans="1:13" hidden="1">
      <c r="A1302" s="140" t="str">
        <f t="shared" si="20"/>
        <v>17301-43665-10-L5E</v>
      </c>
      <c r="B1302" s="162" t="s">
        <v>1118</v>
      </c>
      <c r="D1302" s="162" t="s">
        <v>1122</v>
      </c>
      <c r="E1302" s="162" t="s">
        <v>1561</v>
      </c>
      <c r="F1302" s="171">
        <v>54923</v>
      </c>
      <c r="G1302" s="141" t="s">
        <v>901</v>
      </c>
      <c r="H1302" s="174">
        <v>10</v>
      </c>
      <c r="I1302" s="190" t="s">
        <v>202</v>
      </c>
    </row>
    <row r="1303" spans="1:13" hidden="1">
      <c r="A1303" s="140" t="str">
        <f t="shared" si="20"/>
        <v>17301-43665-10-L5E2</v>
      </c>
      <c r="B1303" s="162" t="s">
        <v>1118</v>
      </c>
      <c r="D1303" s="162" t="s">
        <v>1122</v>
      </c>
      <c r="E1303" s="162" t="s">
        <v>1561</v>
      </c>
      <c r="F1303" s="171">
        <v>54923</v>
      </c>
      <c r="G1303" s="141" t="s">
        <v>901</v>
      </c>
      <c r="H1303" s="174">
        <v>10</v>
      </c>
      <c r="I1303" s="186" t="s">
        <v>891</v>
      </c>
    </row>
    <row r="1304" spans="1:13" hidden="1">
      <c r="A1304" s="140" t="str">
        <f t="shared" si="20"/>
        <v>17301-43665-10-A12B</v>
      </c>
      <c r="B1304" s="162" t="s">
        <v>1118</v>
      </c>
      <c r="D1304" s="162" t="s">
        <v>1122</v>
      </c>
      <c r="E1304" s="162" t="s">
        <v>1561</v>
      </c>
      <c r="F1304" s="171">
        <v>54923</v>
      </c>
      <c r="G1304" s="141" t="s">
        <v>901</v>
      </c>
      <c r="H1304" s="174">
        <v>10</v>
      </c>
      <c r="I1304" s="190" t="s">
        <v>147</v>
      </c>
    </row>
    <row r="1305" spans="1:13" hidden="1">
      <c r="A1305" s="140" t="str">
        <f t="shared" si="20"/>
        <v>17301-43665-10-A12A</v>
      </c>
      <c r="B1305" s="162" t="s">
        <v>1118</v>
      </c>
      <c r="D1305" s="162" t="s">
        <v>1122</v>
      </c>
      <c r="E1305" s="162" t="s">
        <v>1561</v>
      </c>
      <c r="F1305" s="171">
        <v>54923</v>
      </c>
      <c r="G1305" s="141" t="s">
        <v>901</v>
      </c>
      <c r="H1305" s="174">
        <v>10</v>
      </c>
      <c r="I1305" s="190" t="s">
        <v>27</v>
      </c>
    </row>
    <row r="1306" spans="1:13" hidden="1">
      <c r="A1306" s="140" t="str">
        <f t="shared" si="20"/>
        <v>17301-43665-10-A14FW</v>
      </c>
      <c r="B1306" s="162" t="s">
        <v>1118</v>
      </c>
      <c r="D1306" s="162" t="s">
        <v>1122</v>
      </c>
      <c r="E1306" s="162" t="s">
        <v>1561</v>
      </c>
      <c r="F1306" s="171">
        <v>54923</v>
      </c>
      <c r="G1306" s="141" t="s">
        <v>901</v>
      </c>
      <c r="H1306" s="174">
        <v>10</v>
      </c>
      <c r="I1306" s="186" t="s">
        <v>52</v>
      </c>
    </row>
    <row r="1307" spans="1:13" hidden="1">
      <c r="A1307" s="140" t="str">
        <f t="shared" si="20"/>
        <v>17301-43665-10-L6F</v>
      </c>
      <c r="B1307" s="162" t="s">
        <v>1118</v>
      </c>
      <c r="D1307" s="162" t="s">
        <v>1122</v>
      </c>
      <c r="E1307" s="162" t="s">
        <v>1561</v>
      </c>
      <c r="F1307" s="171">
        <v>54923</v>
      </c>
      <c r="G1307" s="141" t="s">
        <v>901</v>
      </c>
      <c r="H1307" s="174">
        <v>10</v>
      </c>
      <c r="I1307" s="190" t="s">
        <v>215</v>
      </c>
    </row>
    <row r="1308" spans="1:13" hidden="1">
      <c r="A1308" s="140" t="str">
        <f t="shared" si="20"/>
        <v>17301-43665-10-L9ER</v>
      </c>
      <c r="B1308" s="162" t="s">
        <v>1118</v>
      </c>
      <c r="D1308" s="162" t="s">
        <v>1122</v>
      </c>
      <c r="E1308" s="162" t="s">
        <v>1561</v>
      </c>
      <c r="F1308" s="171">
        <v>54923</v>
      </c>
      <c r="G1308" s="141" t="s">
        <v>901</v>
      </c>
      <c r="H1308" s="174">
        <v>10</v>
      </c>
      <c r="I1308" s="188" t="s">
        <v>532</v>
      </c>
    </row>
    <row r="1309" spans="1:13" hidden="1">
      <c r="A1309" s="140" t="str">
        <f t="shared" si="20"/>
        <v>17301-43665-10-L9EV</v>
      </c>
      <c r="B1309" s="162" t="s">
        <v>1118</v>
      </c>
      <c r="D1309" s="162" t="s">
        <v>1122</v>
      </c>
      <c r="E1309" s="162" t="s">
        <v>1561</v>
      </c>
      <c r="F1309" s="171">
        <v>54923</v>
      </c>
      <c r="G1309" s="141" t="s">
        <v>901</v>
      </c>
      <c r="H1309" s="174">
        <v>10</v>
      </c>
      <c r="I1309" s="186" t="s">
        <v>537</v>
      </c>
    </row>
    <row r="1310" spans="1:13" hidden="1">
      <c r="A1310" s="140" t="str">
        <f t="shared" si="20"/>
        <v>17301-43665-10-L8EV</v>
      </c>
      <c r="B1310" s="162" t="s">
        <v>1118</v>
      </c>
      <c r="D1310" s="162" t="s">
        <v>1122</v>
      </c>
      <c r="E1310" s="162" t="s">
        <v>1561</v>
      </c>
      <c r="F1310" s="171">
        <v>54923</v>
      </c>
      <c r="G1310" s="141" t="s">
        <v>901</v>
      </c>
      <c r="H1310" s="174">
        <v>10</v>
      </c>
      <c r="I1310" s="190" t="s">
        <v>225</v>
      </c>
    </row>
    <row r="1311" spans="1:13" hidden="1">
      <c r="A1311" s="140" t="str">
        <f t="shared" si="20"/>
        <v>17301-43665-10-L8EV2</v>
      </c>
      <c r="B1311" s="162" t="s">
        <v>1118</v>
      </c>
      <c r="D1311" s="162" t="s">
        <v>1122</v>
      </c>
      <c r="E1311" s="162" t="s">
        <v>1561</v>
      </c>
      <c r="F1311" s="171">
        <v>54923</v>
      </c>
      <c r="G1311" s="141" t="s">
        <v>901</v>
      </c>
      <c r="H1311" s="174">
        <v>10</v>
      </c>
      <c r="I1311" s="186" t="s">
        <v>867</v>
      </c>
    </row>
    <row r="1312" spans="1:13" hidden="1">
      <c r="A1312" s="140" t="str">
        <f t="shared" si="20"/>
        <v>17301-43665-10-L9EV2</v>
      </c>
      <c r="B1312" s="162" t="s">
        <v>1118</v>
      </c>
      <c r="D1312" s="162" t="s">
        <v>1122</v>
      </c>
      <c r="E1312" s="162" t="s">
        <v>1561</v>
      </c>
      <c r="F1312" s="171">
        <v>54923</v>
      </c>
      <c r="G1312" s="141" t="s">
        <v>901</v>
      </c>
      <c r="H1312" s="174">
        <v>10</v>
      </c>
      <c r="I1312" s="190" t="s">
        <v>846</v>
      </c>
    </row>
    <row r="1313" spans="1:9" hidden="1">
      <c r="A1313" s="140" t="str">
        <f t="shared" si="20"/>
        <v>17301-43665-10-L9ER2</v>
      </c>
      <c r="B1313" s="162" t="s">
        <v>1118</v>
      </c>
      <c r="D1313" s="162" t="s">
        <v>1122</v>
      </c>
      <c r="E1313" s="162" t="s">
        <v>1561</v>
      </c>
      <c r="F1313" s="171">
        <v>54923</v>
      </c>
      <c r="G1313" s="141" t="s">
        <v>901</v>
      </c>
      <c r="H1313" s="174">
        <v>10</v>
      </c>
      <c r="I1313" s="186" t="s">
        <v>941</v>
      </c>
    </row>
    <row r="1314" spans="1:9" hidden="1">
      <c r="A1314" s="140" t="str">
        <f t="shared" si="20"/>
        <v>17301-43665-11-A14I</v>
      </c>
      <c r="B1314" s="162" t="s">
        <v>1118</v>
      </c>
      <c r="D1314" s="162" t="s">
        <v>1122</v>
      </c>
      <c r="E1314" s="162" t="s">
        <v>1561</v>
      </c>
      <c r="F1314" s="171">
        <v>55660</v>
      </c>
      <c r="G1314" s="141" t="s">
        <v>21</v>
      </c>
      <c r="H1314" s="174">
        <v>11</v>
      </c>
      <c r="I1314" s="199" t="s">
        <v>505</v>
      </c>
    </row>
    <row r="1315" spans="1:9" hidden="1">
      <c r="A1315" s="140" t="str">
        <f t="shared" si="20"/>
        <v>17301-43665-11-A14H</v>
      </c>
      <c r="B1315" s="162" t="s">
        <v>1118</v>
      </c>
      <c r="D1315" s="162" t="s">
        <v>1122</v>
      </c>
      <c r="E1315" s="162" t="s">
        <v>1561</v>
      </c>
      <c r="F1315" s="171">
        <v>55660</v>
      </c>
      <c r="G1315" s="141" t="s">
        <v>21</v>
      </c>
      <c r="H1315" s="174">
        <v>11</v>
      </c>
      <c r="I1315" s="190" t="s">
        <v>492</v>
      </c>
    </row>
    <row r="1316" spans="1:9" hidden="1">
      <c r="A1316" s="140" t="str">
        <f t="shared" si="20"/>
        <v>17301-43665-11-A14J</v>
      </c>
      <c r="B1316" s="162" t="s">
        <v>1118</v>
      </c>
      <c r="D1316" s="162" t="s">
        <v>1122</v>
      </c>
      <c r="E1316" s="162" t="s">
        <v>1561</v>
      </c>
      <c r="F1316" s="171">
        <v>55660</v>
      </c>
      <c r="G1316" s="141" t="s">
        <v>901</v>
      </c>
      <c r="H1316" s="174">
        <v>11</v>
      </c>
      <c r="I1316" s="186" t="s">
        <v>99</v>
      </c>
    </row>
    <row r="1317" spans="1:9" hidden="1">
      <c r="A1317" s="140" t="str">
        <f t="shared" si="20"/>
        <v>17301-43665-11-L5E</v>
      </c>
      <c r="B1317" s="162" t="s">
        <v>1118</v>
      </c>
      <c r="D1317" s="162" t="s">
        <v>1122</v>
      </c>
      <c r="E1317" s="162" t="s">
        <v>1561</v>
      </c>
      <c r="F1317" s="171">
        <v>55660</v>
      </c>
      <c r="G1317" s="141" t="s">
        <v>901</v>
      </c>
      <c r="H1317" s="174">
        <v>11</v>
      </c>
      <c r="I1317" s="190" t="s">
        <v>202</v>
      </c>
    </row>
    <row r="1318" spans="1:9" hidden="1">
      <c r="A1318" s="140" t="str">
        <f t="shared" si="20"/>
        <v>17301-43665-11-L5E2</v>
      </c>
      <c r="B1318" s="162" t="s">
        <v>1118</v>
      </c>
      <c r="D1318" s="162" t="s">
        <v>1122</v>
      </c>
      <c r="E1318" s="162" t="s">
        <v>1561</v>
      </c>
      <c r="F1318" s="171">
        <v>55660</v>
      </c>
      <c r="G1318" s="141" t="s">
        <v>901</v>
      </c>
      <c r="H1318" s="174">
        <v>11</v>
      </c>
      <c r="I1318" s="186" t="s">
        <v>891</v>
      </c>
    </row>
    <row r="1319" spans="1:9" hidden="1">
      <c r="A1319" s="140" t="str">
        <f t="shared" si="20"/>
        <v>17301-43665-11-A12B</v>
      </c>
      <c r="B1319" s="162" t="s">
        <v>1118</v>
      </c>
      <c r="D1319" s="162" t="s">
        <v>1122</v>
      </c>
      <c r="E1319" s="162" t="s">
        <v>1561</v>
      </c>
      <c r="F1319" s="171">
        <v>55660</v>
      </c>
      <c r="G1319" s="141" t="s">
        <v>901</v>
      </c>
      <c r="H1319" s="174">
        <v>11</v>
      </c>
      <c r="I1319" s="190" t="s">
        <v>147</v>
      </c>
    </row>
    <row r="1320" spans="1:9" hidden="1">
      <c r="A1320" s="140" t="str">
        <f t="shared" si="20"/>
        <v>17301-43665-11-A12A</v>
      </c>
      <c r="B1320" s="162" t="s">
        <v>1118</v>
      </c>
      <c r="D1320" s="162" t="s">
        <v>1122</v>
      </c>
      <c r="E1320" s="162" t="s">
        <v>1561</v>
      </c>
      <c r="F1320" s="171">
        <v>55660</v>
      </c>
      <c r="G1320" s="141" t="s">
        <v>901</v>
      </c>
      <c r="H1320" s="174">
        <v>11</v>
      </c>
      <c r="I1320" s="190" t="s">
        <v>27</v>
      </c>
    </row>
    <row r="1321" spans="1:9" hidden="1">
      <c r="A1321" s="140" t="str">
        <f t="shared" si="20"/>
        <v>17301-43665-11-A14FW</v>
      </c>
      <c r="B1321" s="162" t="s">
        <v>1118</v>
      </c>
      <c r="D1321" s="162" t="s">
        <v>1122</v>
      </c>
      <c r="E1321" s="162" t="s">
        <v>1561</v>
      </c>
      <c r="F1321" s="171">
        <v>55660</v>
      </c>
      <c r="G1321" s="141" t="s">
        <v>901</v>
      </c>
      <c r="H1321" s="174">
        <v>11</v>
      </c>
      <c r="I1321" s="186" t="s">
        <v>52</v>
      </c>
    </row>
    <row r="1322" spans="1:9" hidden="1">
      <c r="A1322" s="140" t="str">
        <f t="shared" si="20"/>
        <v>17301-43665-11-L6F</v>
      </c>
      <c r="B1322" s="162" t="s">
        <v>1118</v>
      </c>
      <c r="D1322" s="162" t="s">
        <v>1122</v>
      </c>
      <c r="E1322" s="162" t="s">
        <v>1561</v>
      </c>
      <c r="F1322" s="171">
        <v>55660</v>
      </c>
      <c r="G1322" s="141" t="s">
        <v>901</v>
      </c>
      <c r="H1322" s="174">
        <v>11</v>
      </c>
      <c r="I1322" s="190" t="s">
        <v>215</v>
      </c>
    </row>
    <row r="1323" spans="1:9" hidden="1">
      <c r="A1323" s="140" t="str">
        <f t="shared" si="20"/>
        <v>17301-43665-11-L9ER</v>
      </c>
      <c r="B1323" s="162" t="s">
        <v>1118</v>
      </c>
      <c r="D1323" s="162" t="s">
        <v>1122</v>
      </c>
      <c r="E1323" s="162" t="s">
        <v>1561</v>
      </c>
      <c r="F1323" s="171">
        <v>55660</v>
      </c>
      <c r="G1323" s="141" t="s">
        <v>901</v>
      </c>
      <c r="H1323" s="174">
        <v>11</v>
      </c>
      <c r="I1323" s="188" t="s">
        <v>532</v>
      </c>
    </row>
    <row r="1324" spans="1:9" hidden="1">
      <c r="A1324" s="140" t="str">
        <f t="shared" si="20"/>
        <v>17301-43665-11-L9EV</v>
      </c>
      <c r="B1324" s="162" t="s">
        <v>1118</v>
      </c>
      <c r="D1324" s="162" t="s">
        <v>1122</v>
      </c>
      <c r="E1324" s="162" t="s">
        <v>1561</v>
      </c>
      <c r="F1324" s="171">
        <v>55660</v>
      </c>
      <c r="G1324" s="141" t="s">
        <v>901</v>
      </c>
      <c r="H1324" s="174">
        <v>11</v>
      </c>
      <c r="I1324" s="186" t="s">
        <v>537</v>
      </c>
    </row>
    <row r="1325" spans="1:9" hidden="1">
      <c r="A1325" s="140" t="str">
        <f t="shared" si="20"/>
        <v>17301-43665-11-L8EV</v>
      </c>
      <c r="B1325" s="162" t="s">
        <v>1118</v>
      </c>
      <c r="D1325" s="162" t="s">
        <v>1122</v>
      </c>
      <c r="E1325" s="162" t="s">
        <v>1561</v>
      </c>
      <c r="F1325" s="171">
        <v>55660</v>
      </c>
      <c r="G1325" s="141" t="s">
        <v>901</v>
      </c>
      <c r="H1325" s="174">
        <v>11</v>
      </c>
      <c r="I1325" s="190" t="s">
        <v>225</v>
      </c>
    </row>
    <row r="1326" spans="1:9" hidden="1">
      <c r="A1326" s="140" t="str">
        <f t="shared" si="20"/>
        <v>17301-43665-11-L8EV2</v>
      </c>
      <c r="B1326" s="162" t="s">
        <v>1118</v>
      </c>
      <c r="D1326" s="162" t="s">
        <v>1122</v>
      </c>
      <c r="E1326" s="162" t="s">
        <v>1561</v>
      </c>
      <c r="F1326" s="171">
        <v>55660</v>
      </c>
      <c r="G1326" s="141" t="s">
        <v>901</v>
      </c>
      <c r="H1326" s="174">
        <v>11</v>
      </c>
      <c r="I1326" s="186" t="s">
        <v>867</v>
      </c>
    </row>
    <row r="1327" spans="1:9" hidden="1">
      <c r="A1327" s="140" t="str">
        <f t="shared" si="20"/>
        <v>17301-43665-11-L9EV2</v>
      </c>
      <c r="B1327" s="162" t="s">
        <v>1118</v>
      </c>
      <c r="D1327" s="162" t="s">
        <v>1122</v>
      </c>
      <c r="E1327" s="162" t="s">
        <v>1561</v>
      </c>
      <c r="F1327" s="171">
        <v>55660</v>
      </c>
      <c r="G1327" s="141" t="s">
        <v>901</v>
      </c>
      <c r="H1327" s="174">
        <v>11</v>
      </c>
      <c r="I1327" s="190" t="s">
        <v>846</v>
      </c>
    </row>
    <row r="1328" spans="1:9" hidden="1">
      <c r="A1328" s="140" t="str">
        <f t="shared" si="20"/>
        <v>17301-43665-11-L9ER2</v>
      </c>
      <c r="B1328" s="162" t="s">
        <v>1118</v>
      </c>
      <c r="D1328" s="162" t="s">
        <v>1122</v>
      </c>
      <c r="E1328" s="162" t="s">
        <v>1561</v>
      </c>
      <c r="F1328" s="171">
        <v>55660</v>
      </c>
      <c r="G1328" s="141" t="s">
        <v>901</v>
      </c>
      <c r="H1328" s="174">
        <v>11</v>
      </c>
      <c r="I1328" s="186" t="s">
        <v>941</v>
      </c>
    </row>
    <row r="1329" spans="1:15" hidden="1">
      <c r="A1329" s="140" t="str">
        <f t="shared" si="20"/>
        <v>17301-43665-12-A14I</v>
      </c>
      <c r="B1329" s="162" t="s">
        <v>1118</v>
      </c>
      <c r="D1329" s="162" t="s">
        <v>1122</v>
      </c>
      <c r="E1329" s="162" t="s">
        <v>1561</v>
      </c>
      <c r="F1329" s="171">
        <v>56577</v>
      </c>
      <c r="G1329" s="141" t="s">
        <v>21</v>
      </c>
      <c r="H1329" s="174">
        <v>12</v>
      </c>
      <c r="I1329" s="216" t="s">
        <v>505</v>
      </c>
      <c r="J1329" s="174">
        <v>10764</v>
      </c>
      <c r="K1329" s="174">
        <v>10790</v>
      </c>
      <c r="M1329" s="217">
        <v>1.65</v>
      </c>
      <c r="O1329" s="156"/>
    </row>
    <row r="1330" spans="1:15" hidden="1">
      <c r="A1330" s="140" t="str">
        <f t="shared" si="20"/>
        <v>17301-43665-12-A14H</v>
      </c>
      <c r="B1330" s="162" t="s">
        <v>1118</v>
      </c>
      <c r="D1330" s="162" t="s">
        <v>1122</v>
      </c>
      <c r="E1330" s="162" t="s">
        <v>1561</v>
      </c>
      <c r="F1330" s="171">
        <v>56577</v>
      </c>
      <c r="G1330" s="141" t="s">
        <v>21</v>
      </c>
      <c r="H1330" s="174">
        <v>12</v>
      </c>
      <c r="I1330" s="190" t="s">
        <v>492</v>
      </c>
      <c r="M1330" s="217">
        <v>1.65</v>
      </c>
    </row>
    <row r="1331" spans="1:15" hidden="1">
      <c r="A1331" s="140" t="str">
        <f t="shared" si="20"/>
        <v>17301-43665-12-A14J</v>
      </c>
      <c r="B1331" s="162" t="s">
        <v>1118</v>
      </c>
      <c r="D1331" s="162" t="s">
        <v>1122</v>
      </c>
      <c r="E1331" s="162" t="s">
        <v>1561</v>
      </c>
      <c r="F1331" s="171">
        <v>56577</v>
      </c>
      <c r="G1331" s="141" t="s">
        <v>901</v>
      </c>
      <c r="H1331" s="174">
        <v>12</v>
      </c>
      <c r="I1331" s="186" t="s">
        <v>99</v>
      </c>
      <c r="J1331" s="174">
        <v>8225</v>
      </c>
      <c r="K1331" s="174">
        <v>8250</v>
      </c>
      <c r="M1331" s="217">
        <v>1.65</v>
      </c>
    </row>
    <row r="1332" spans="1:15" hidden="1">
      <c r="A1332" s="140" t="str">
        <f t="shared" si="20"/>
        <v>17301-43665-12-A12B</v>
      </c>
      <c r="B1332" s="162" t="s">
        <v>1118</v>
      </c>
      <c r="D1332" s="162" t="s">
        <v>1122</v>
      </c>
      <c r="E1332" s="162" t="s">
        <v>1561</v>
      </c>
      <c r="F1332" s="171">
        <v>56577</v>
      </c>
      <c r="G1332" s="141" t="s">
        <v>901</v>
      </c>
      <c r="H1332" s="174">
        <v>12</v>
      </c>
      <c r="I1332" s="190" t="s">
        <v>147</v>
      </c>
      <c r="J1332" s="174">
        <v>9356</v>
      </c>
      <c r="K1332" s="174">
        <v>9356</v>
      </c>
      <c r="M1332" s="217">
        <v>1.65</v>
      </c>
      <c r="O1332" s="156"/>
    </row>
    <row r="1333" spans="1:15" hidden="1">
      <c r="A1333" s="140" t="str">
        <f t="shared" si="20"/>
        <v>17301-43665-12-A12A</v>
      </c>
      <c r="B1333" s="162" t="s">
        <v>1118</v>
      </c>
      <c r="D1333" s="162" t="s">
        <v>1122</v>
      </c>
      <c r="E1333" s="162" t="s">
        <v>1561</v>
      </c>
      <c r="F1333" s="171">
        <v>56577</v>
      </c>
      <c r="G1333" s="141" t="s">
        <v>901</v>
      </c>
      <c r="H1333" s="174">
        <v>12</v>
      </c>
      <c r="I1333" s="190" t="s">
        <v>27</v>
      </c>
      <c r="M1333" s="217">
        <v>1.65</v>
      </c>
    </row>
    <row r="1334" spans="1:15" hidden="1">
      <c r="A1334" s="140" t="str">
        <f t="shared" si="20"/>
        <v>17301-43665-12-A14FW</v>
      </c>
      <c r="B1334" s="162" t="s">
        <v>1118</v>
      </c>
      <c r="D1334" s="162" t="s">
        <v>1122</v>
      </c>
      <c r="E1334" s="162" t="s">
        <v>1561</v>
      </c>
      <c r="F1334" s="171">
        <v>56577</v>
      </c>
      <c r="G1334" s="141" t="s">
        <v>901</v>
      </c>
      <c r="H1334" s="174">
        <v>12</v>
      </c>
      <c r="I1334" s="186" t="s">
        <v>52</v>
      </c>
      <c r="M1334" s="217">
        <v>1.65</v>
      </c>
    </row>
    <row r="1335" spans="1:15" hidden="1">
      <c r="A1335" s="140" t="str">
        <f t="shared" si="20"/>
        <v>17301-43667-00-L5E</v>
      </c>
      <c r="B1335" s="162" t="s">
        <v>1118</v>
      </c>
      <c r="D1335" s="162" t="s">
        <v>1124</v>
      </c>
      <c r="E1335" s="162" t="s">
        <v>1598</v>
      </c>
      <c r="F1335" s="171" t="s">
        <v>1605</v>
      </c>
      <c r="G1335" s="141" t="s">
        <v>1604</v>
      </c>
      <c r="H1335" s="174">
        <v>0</v>
      </c>
      <c r="I1335" s="186" t="s">
        <v>1615</v>
      </c>
      <c r="K1335" s="174" t="s">
        <v>1588</v>
      </c>
      <c r="M1335" s="217" t="s">
        <v>1134</v>
      </c>
      <c r="N1335" s="183" t="s">
        <v>1945</v>
      </c>
    </row>
    <row r="1336" spans="1:15" hidden="1">
      <c r="A1336" s="140" t="str">
        <f t="shared" ref="A1336:A1399" si="21">G1336&amp;"-"&amp;TEXT(H1336,"00")&amp;"-"&amp;I1336</f>
        <v>17301-43667-00-L5E2</v>
      </c>
      <c r="B1336" s="162" t="s">
        <v>1118</v>
      </c>
      <c r="D1336" s="162" t="s">
        <v>1124</v>
      </c>
      <c r="E1336" s="162" t="s">
        <v>1598</v>
      </c>
      <c r="F1336" s="171" t="s">
        <v>1605</v>
      </c>
      <c r="G1336" s="141" t="s">
        <v>1604</v>
      </c>
      <c r="H1336" s="174">
        <v>0</v>
      </c>
      <c r="I1336" s="186" t="s">
        <v>1616</v>
      </c>
      <c r="K1336" s="174" t="s">
        <v>1588</v>
      </c>
      <c r="M1336" s="217" t="s">
        <v>1134</v>
      </c>
      <c r="N1336" s="183" t="s">
        <v>1945</v>
      </c>
    </row>
    <row r="1337" spans="1:15" hidden="1">
      <c r="A1337" s="140" t="str">
        <f t="shared" si="21"/>
        <v>17301-43667-00-L6F</v>
      </c>
      <c r="B1337" s="162" t="s">
        <v>1118</v>
      </c>
      <c r="D1337" s="162" t="s">
        <v>1124</v>
      </c>
      <c r="E1337" s="162" t="s">
        <v>1598</v>
      </c>
      <c r="F1337" s="171" t="s">
        <v>1605</v>
      </c>
      <c r="G1337" s="141" t="s">
        <v>1604</v>
      </c>
      <c r="H1337" s="174">
        <v>0</v>
      </c>
      <c r="I1337" s="186" t="s">
        <v>1617</v>
      </c>
      <c r="K1337" s="174" t="s">
        <v>1588</v>
      </c>
      <c r="M1337" s="217" t="s">
        <v>1134</v>
      </c>
      <c r="N1337" s="183" t="s">
        <v>1945</v>
      </c>
    </row>
    <row r="1338" spans="1:15" hidden="1">
      <c r="A1338" s="140" t="str">
        <f t="shared" si="21"/>
        <v>17301-43667-00-L9ER</v>
      </c>
      <c r="B1338" s="162" t="s">
        <v>1118</v>
      </c>
      <c r="D1338" s="162" t="s">
        <v>1124</v>
      </c>
      <c r="E1338" s="162" t="s">
        <v>1598</v>
      </c>
      <c r="F1338" s="171" t="s">
        <v>1605</v>
      </c>
      <c r="G1338" s="141" t="s">
        <v>1604</v>
      </c>
      <c r="H1338" s="174">
        <v>0</v>
      </c>
      <c r="I1338" s="188" t="s">
        <v>532</v>
      </c>
      <c r="K1338" s="174" t="s">
        <v>1588</v>
      </c>
      <c r="M1338" s="217" t="s">
        <v>1134</v>
      </c>
      <c r="N1338" s="183" t="s">
        <v>1945</v>
      </c>
    </row>
    <row r="1339" spans="1:15" hidden="1">
      <c r="A1339" s="140" t="str">
        <f t="shared" si="21"/>
        <v>17301-43667-00-L9EV</v>
      </c>
      <c r="B1339" s="162" t="s">
        <v>1118</v>
      </c>
      <c r="D1339" s="162" t="s">
        <v>1124</v>
      </c>
      <c r="E1339" s="162" t="s">
        <v>1598</v>
      </c>
      <c r="F1339" s="171" t="s">
        <v>1605</v>
      </c>
      <c r="G1339" s="141" t="s">
        <v>1604</v>
      </c>
      <c r="H1339" s="174">
        <v>0</v>
      </c>
      <c r="I1339" s="186" t="s">
        <v>537</v>
      </c>
      <c r="K1339" s="174" t="s">
        <v>1588</v>
      </c>
      <c r="M1339" s="217" t="s">
        <v>1134</v>
      </c>
      <c r="N1339" s="183" t="s">
        <v>1945</v>
      </c>
    </row>
    <row r="1340" spans="1:15" hidden="1">
      <c r="A1340" s="140" t="str">
        <f t="shared" si="21"/>
        <v>17301-43667-00-L8EV2</v>
      </c>
      <c r="B1340" s="162" t="s">
        <v>1118</v>
      </c>
      <c r="D1340" s="162" t="s">
        <v>1124</v>
      </c>
      <c r="E1340" s="162" t="s">
        <v>1598</v>
      </c>
      <c r="F1340" s="171" t="s">
        <v>1605</v>
      </c>
      <c r="G1340" s="141" t="s">
        <v>1604</v>
      </c>
      <c r="H1340" s="174">
        <v>0</v>
      </c>
      <c r="I1340" s="186" t="s">
        <v>867</v>
      </c>
      <c r="K1340" s="174" t="s">
        <v>1588</v>
      </c>
      <c r="M1340" s="217" t="s">
        <v>1134</v>
      </c>
      <c r="N1340" s="183" t="s">
        <v>1945</v>
      </c>
    </row>
    <row r="1341" spans="1:15" hidden="1">
      <c r="A1341" s="140" t="str">
        <f t="shared" si="21"/>
        <v>17301-43667-00-L8EV</v>
      </c>
      <c r="B1341" s="162" t="s">
        <v>1118</v>
      </c>
      <c r="D1341" s="162" t="s">
        <v>1124</v>
      </c>
      <c r="E1341" s="162" t="s">
        <v>1598</v>
      </c>
      <c r="F1341" s="171" t="s">
        <v>1605</v>
      </c>
      <c r="G1341" s="141" t="s">
        <v>1604</v>
      </c>
      <c r="H1341" s="174">
        <v>0</v>
      </c>
      <c r="I1341" s="186" t="s">
        <v>1618</v>
      </c>
      <c r="K1341" s="174" t="s">
        <v>1588</v>
      </c>
      <c r="M1341" s="217" t="s">
        <v>1134</v>
      </c>
      <c r="N1341" s="183" t="s">
        <v>1945</v>
      </c>
    </row>
    <row r="1342" spans="1:15" hidden="1">
      <c r="A1342" s="140" t="str">
        <f t="shared" si="21"/>
        <v>17301-43667-00-L9EV2</v>
      </c>
      <c r="B1342" s="162" t="s">
        <v>1118</v>
      </c>
      <c r="D1342" s="162" t="s">
        <v>1124</v>
      </c>
      <c r="E1342" s="162" t="s">
        <v>1598</v>
      </c>
      <c r="F1342" s="171" t="s">
        <v>1605</v>
      </c>
      <c r="G1342" s="141" t="s">
        <v>1604</v>
      </c>
      <c r="H1342" s="174">
        <v>0</v>
      </c>
      <c r="I1342" s="186" t="s">
        <v>1619</v>
      </c>
      <c r="K1342" s="174" t="s">
        <v>1588</v>
      </c>
      <c r="M1342" s="217" t="s">
        <v>1134</v>
      </c>
      <c r="N1342" s="183" t="s">
        <v>1945</v>
      </c>
    </row>
    <row r="1343" spans="1:15" hidden="1">
      <c r="A1343" s="140" t="str">
        <f t="shared" si="21"/>
        <v>17301-43667-00-L9ER2</v>
      </c>
      <c r="B1343" s="162" t="s">
        <v>1118</v>
      </c>
      <c r="D1343" s="162" t="s">
        <v>1124</v>
      </c>
      <c r="E1343" s="162" t="s">
        <v>1598</v>
      </c>
      <c r="F1343" s="171" t="s">
        <v>1605</v>
      </c>
      <c r="G1343" s="141" t="s">
        <v>1604</v>
      </c>
      <c r="H1343" s="174">
        <v>0</v>
      </c>
      <c r="I1343" s="186" t="s">
        <v>1620</v>
      </c>
      <c r="K1343" s="174" t="s">
        <v>1588</v>
      </c>
      <c r="M1343" s="217" t="s">
        <v>1134</v>
      </c>
      <c r="N1343" s="183" t="s">
        <v>1945</v>
      </c>
    </row>
    <row r="1344" spans="1:15" hidden="1">
      <c r="A1344" s="140" t="str">
        <f t="shared" si="21"/>
        <v>17301-43667-01-L5E</v>
      </c>
      <c r="B1344" s="162" t="s">
        <v>1118</v>
      </c>
      <c r="D1344" s="162" t="s">
        <v>1124</v>
      </c>
      <c r="E1344" s="162" t="s">
        <v>1598</v>
      </c>
      <c r="F1344" s="171">
        <v>56003</v>
      </c>
      <c r="G1344" s="141" t="s">
        <v>1604</v>
      </c>
      <c r="H1344" s="174">
        <v>1</v>
      </c>
      <c r="I1344" s="186" t="s">
        <v>1615</v>
      </c>
      <c r="K1344" s="174">
        <v>4678</v>
      </c>
      <c r="M1344" s="217" t="s">
        <v>360</v>
      </c>
      <c r="N1344" s="183" t="s">
        <v>1946</v>
      </c>
    </row>
    <row r="1345" spans="1:14" hidden="1">
      <c r="A1345" s="140" t="str">
        <f t="shared" si="21"/>
        <v>17301-43667-01-L5E2</v>
      </c>
      <c r="B1345" s="162" t="s">
        <v>1118</v>
      </c>
      <c r="D1345" s="162" t="s">
        <v>1124</v>
      </c>
      <c r="E1345" s="162" t="s">
        <v>1598</v>
      </c>
      <c r="F1345" s="171">
        <v>56003</v>
      </c>
      <c r="G1345" s="141" t="s">
        <v>1604</v>
      </c>
      <c r="H1345" s="174">
        <v>1</v>
      </c>
      <c r="I1345" s="186" t="s">
        <v>891</v>
      </c>
      <c r="K1345" s="174">
        <v>157</v>
      </c>
      <c r="M1345" s="217" t="s">
        <v>360</v>
      </c>
      <c r="N1345" s="183" t="s">
        <v>1946</v>
      </c>
    </row>
    <row r="1346" spans="1:14" hidden="1">
      <c r="A1346" s="140" t="str">
        <f t="shared" si="21"/>
        <v>17301-43667-01-L6F</v>
      </c>
      <c r="B1346" s="162" t="s">
        <v>1118</v>
      </c>
      <c r="D1346" s="162" t="s">
        <v>1124</v>
      </c>
      <c r="E1346" s="162" t="s">
        <v>1598</v>
      </c>
      <c r="F1346" s="171">
        <v>56003</v>
      </c>
      <c r="G1346" s="141" t="s">
        <v>1604</v>
      </c>
      <c r="H1346" s="174">
        <v>1</v>
      </c>
      <c r="I1346" s="186" t="s">
        <v>215</v>
      </c>
      <c r="K1346" s="174">
        <v>5415</v>
      </c>
      <c r="M1346" s="217" t="s">
        <v>360</v>
      </c>
      <c r="N1346" s="183" t="s">
        <v>1946</v>
      </c>
    </row>
    <row r="1347" spans="1:14" hidden="1">
      <c r="A1347" s="140" t="str">
        <f t="shared" si="21"/>
        <v>17301-43667-01-L9ER</v>
      </c>
      <c r="B1347" s="162" t="s">
        <v>1118</v>
      </c>
      <c r="D1347" s="162" t="s">
        <v>1124</v>
      </c>
      <c r="E1347" s="162" t="s">
        <v>1598</v>
      </c>
      <c r="F1347" s="171">
        <v>56003</v>
      </c>
      <c r="G1347" s="141" t="s">
        <v>1604</v>
      </c>
      <c r="H1347" s="174">
        <v>1</v>
      </c>
      <c r="I1347" s="188" t="s">
        <v>532</v>
      </c>
      <c r="K1347" s="174">
        <v>6809</v>
      </c>
      <c r="M1347" s="217" t="s">
        <v>360</v>
      </c>
      <c r="N1347" s="183" t="s">
        <v>1946</v>
      </c>
    </row>
    <row r="1348" spans="1:14" hidden="1">
      <c r="A1348" s="140" t="str">
        <f t="shared" si="21"/>
        <v>17301-43667-01-L9EV</v>
      </c>
      <c r="B1348" s="162" t="s">
        <v>1118</v>
      </c>
      <c r="D1348" s="162" t="s">
        <v>1124</v>
      </c>
      <c r="E1348" s="162" t="s">
        <v>1598</v>
      </c>
      <c r="F1348" s="171">
        <v>56003</v>
      </c>
      <c r="G1348" s="141" t="s">
        <v>1604</v>
      </c>
      <c r="H1348" s="174">
        <v>1</v>
      </c>
      <c r="I1348" s="186" t="s">
        <v>537</v>
      </c>
      <c r="K1348" s="174">
        <v>6996</v>
      </c>
      <c r="M1348" s="217" t="s">
        <v>360</v>
      </c>
      <c r="N1348" s="183" t="s">
        <v>1946</v>
      </c>
    </row>
    <row r="1349" spans="1:14" hidden="1">
      <c r="A1349" s="140" t="str">
        <f t="shared" si="21"/>
        <v>17301-43667-01-L8EV2</v>
      </c>
      <c r="B1349" s="162" t="s">
        <v>1118</v>
      </c>
      <c r="D1349" s="162" t="s">
        <v>1124</v>
      </c>
      <c r="E1349" s="162" t="s">
        <v>1598</v>
      </c>
      <c r="F1349" s="171">
        <v>56003</v>
      </c>
      <c r="G1349" s="141" t="s">
        <v>1604</v>
      </c>
      <c r="H1349" s="174">
        <v>1</v>
      </c>
      <c r="I1349" s="186" t="s">
        <v>1621</v>
      </c>
      <c r="K1349" s="174">
        <v>435</v>
      </c>
      <c r="M1349" s="217" t="s">
        <v>360</v>
      </c>
      <c r="N1349" s="183" t="s">
        <v>1946</v>
      </c>
    </row>
    <row r="1350" spans="1:14" hidden="1">
      <c r="A1350" s="140" t="str">
        <f t="shared" si="21"/>
        <v>17301-43667-01-L8EV</v>
      </c>
      <c r="B1350" s="162" t="s">
        <v>1118</v>
      </c>
      <c r="D1350" s="162" t="s">
        <v>1124</v>
      </c>
      <c r="E1350" s="162" t="s">
        <v>1598</v>
      </c>
      <c r="F1350" s="171">
        <v>56003</v>
      </c>
      <c r="G1350" s="141" t="s">
        <v>1604</v>
      </c>
      <c r="H1350" s="174">
        <v>1</v>
      </c>
      <c r="I1350" s="186" t="s">
        <v>225</v>
      </c>
      <c r="K1350" s="174">
        <v>6884</v>
      </c>
      <c r="M1350" s="217" t="s">
        <v>360</v>
      </c>
      <c r="N1350" s="183" t="s">
        <v>1946</v>
      </c>
    </row>
    <row r="1351" spans="1:14" hidden="1">
      <c r="A1351" s="140" t="str">
        <f t="shared" si="21"/>
        <v>17301-43667-01-L9EV2</v>
      </c>
      <c r="B1351" s="162" t="s">
        <v>1118</v>
      </c>
      <c r="D1351" s="162" t="s">
        <v>1124</v>
      </c>
      <c r="E1351" s="162" t="s">
        <v>1598</v>
      </c>
      <c r="F1351" s="171">
        <v>56003</v>
      </c>
      <c r="G1351" s="141" t="s">
        <v>1604</v>
      </c>
      <c r="H1351" s="174">
        <v>1</v>
      </c>
      <c r="I1351" s="186" t="s">
        <v>1619</v>
      </c>
      <c r="K1351" s="174">
        <v>377</v>
      </c>
      <c r="M1351" s="217" t="s">
        <v>360</v>
      </c>
      <c r="N1351" s="183" t="s">
        <v>1946</v>
      </c>
    </row>
    <row r="1352" spans="1:14" hidden="1">
      <c r="A1352" s="140" t="str">
        <f t="shared" si="21"/>
        <v>17301-43667-01-L9ER2</v>
      </c>
      <c r="B1352" s="162" t="s">
        <v>1118</v>
      </c>
      <c r="D1352" s="162" t="s">
        <v>1124</v>
      </c>
      <c r="E1352" s="162" t="s">
        <v>1598</v>
      </c>
      <c r="F1352" s="171">
        <v>56003</v>
      </c>
      <c r="G1352" s="141" t="s">
        <v>1604</v>
      </c>
      <c r="H1352" s="174">
        <v>1</v>
      </c>
      <c r="I1352" s="186" t="s">
        <v>1620</v>
      </c>
      <c r="K1352" s="174">
        <v>100</v>
      </c>
      <c r="M1352" s="217" t="s">
        <v>360</v>
      </c>
      <c r="N1352" s="183" t="s">
        <v>1946</v>
      </c>
    </row>
    <row r="1353" spans="1:14" hidden="1">
      <c r="A1353" s="140" t="str">
        <f t="shared" si="21"/>
        <v>17301-43667-02-L5E</v>
      </c>
      <c r="B1353" s="162" t="s">
        <v>1118</v>
      </c>
      <c r="D1353" s="162" t="s">
        <v>1124</v>
      </c>
      <c r="E1353" s="162" t="s">
        <v>1598</v>
      </c>
      <c r="F1353" s="171">
        <v>56041</v>
      </c>
      <c r="G1353" s="141" t="s">
        <v>1604</v>
      </c>
      <c r="H1353" s="174">
        <v>2</v>
      </c>
      <c r="I1353" s="188" t="s">
        <v>815</v>
      </c>
      <c r="J1353" s="174">
        <v>4678</v>
      </c>
      <c r="K1353" s="174" t="s">
        <v>1588</v>
      </c>
      <c r="M1353" s="217" t="s">
        <v>1299</v>
      </c>
      <c r="N1353" s="183" t="s">
        <v>1946</v>
      </c>
    </row>
    <row r="1354" spans="1:14" hidden="1">
      <c r="A1354" s="140" t="str">
        <f t="shared" si="21"/>
        <v>17301-43667-02-L5E2</v>
      </c>
      <c r="B1354" s="162" t="s">
        <v>1118</v>
      </c>
      <c r="D1354" s="162" t="s">
        <v>1124</v>
      </c>
      <c r="E1354" s="162" t="s">
        <v>1598</v>
      </c>
      <c r="F1354" s="171">
        <v>56041</v>
      </c>
      <c r="G1354" s="141" t="s">
        <v>1604</v>
      </c>
      <c r="H1354" s="174">
        <v>2</v>
      </c>
      <c r="I1354" s="188" t="s">
        <v>838</v>
      </c>
      <c r="J1354" s="174">
        <v>157</v>
      </c>
      <c r="K1354" s="174" t="s">
        <v>1588</v>
      </c>
      <c r="M1354" s="217" t="s">
        <v>1299</v>
      </c>
      <c r="N1354" s="183" t="s">
        <v>1946</v>
      </c>
    </row>
    <row r="1355" spans="1:14" hidden="1">
      <c r="A1355" s="140" t="str">
        <f t="shared" si="21"/>
        <v>17301-43667-02-L6F</v>
      </c>
      <c r="B1355" s="162" t="s">
        <v>1118</v>
      </c>
      <c r="D1355" s="162" t="s">
        <v>1124</v>
      </c>
      <c r="E1355" s="162" t="s">
        <v>1598</v>
      </c>
      <c r="F1355" s="171">
        <v>56041</v>
      </c>
      <c r="G1355" s="141" t="s">
        <v>1604</v>
      </c>
      <c r="H1355" s="174">
        <v>2</v>
      </c>
      <c r="I1355" s="188" t="s">
        <v>880</v>
      </c>
      <c r="J1355" s="174">
        <v>5415</v>
      </c>
      <c r="K1355" s="174" t="s">
        <v>1588</v>
      </c>
      <c r="M1355" s="217" t="s">
        <v>1299</v>
      </c>
      <c r="N1355" s="183" t="s">
        <v>1946</v>
      </c>
    </row>
    <row r="1356" spans="1:14" hidden="1">
      <c r="A1356" s="140" t="str">
        <f t="shared" si="21"/>
        <v>17301-43667-02-L8EV</v>
      </c>
      <c r="B1356" s="162" t="s">
        <v>1118</v>
      </c>
      <c r="D1356" s="162" t="s">
        <v>1124</v>
      </c>
      <c r="E1356" s="162" t="s">
        <v>1598</v>
      </c>
      <c r="F1356" s="171">
        <v>56041</v>
      </c>
      <c r="G1356" s="141" t="s">
        <v>1604</v>
      </c>
      <c r="H1356" s="174">
        <v>2</v>
      </c>
      <c r="I1356" s="188" t="s">
        <v>531</v>
      </c>
      <c r="J1356" s="174">
        <v>6884</v>
      </c>
      <c r="K1356" s="174" t="s">
        <v>1588</v>
      </c>
      <c r="M1356" s="217" t="s">
        <v>1299</v>
      </c>
      <c r="N1356" s="183" t="s">
        <v>1946</v>
      </c>
    </row>
    <row r="1357" spans="1:14" hidden="1">
      <c r="A1357" s="140" t="str">
        <f t="shared" si="21"/>
        <v>17301-43667-02-L8EV2</v>
      </c>
      <c r="B1357" s="162" t="s">
        <v>1118</v>
      </c>
      <c r="D1357" s="162" t="s">
        <v>1124</v>
      </c>
      <c r="E1357" s="162" t="s">
        <v>1598</v>
      </c>
      <c r="F1357" s="171">
        <v>56041</v>
      </c>
      <c r="G1357" s="141" t="s">
        <v>1604</v>
      </c>
      <c r="H1357" s="174">
        <v>2</v>
      </c>
      <c r="I1357" s="188" t="s">
        <v>539</v>
      </c>
      <c r="J1357" s="174">
        <v>435</v>
      </c>
      <c r="K1357" s="174" t="s">
        <v>1588</v>
      </c>
      <c r="M1357" s="217" t="s">
        <v>1299</v>
      </c>
      <c r="N1357" s="183" t="s">
        <v>1946</v>
      </c>
    </row>
    <row r="1358" spans="1:14" hidden="1">
      <c r="A1358" s="140" t="str">
        <f t="shared" si="21"/>
        <v>17301-43667-02-L9ER</v>
      </c>
      <c r="B1358" s="162" t="s">
        <v>1118</v>
      </c>
      <c r="D1358" s="162" t="s">
        <v>1124</v>
      </c>
      <c r="E1358" s="162" t="s">
        <v>1598</v>
      </c>
      <c r="F1358" s="171">
        <v>56041</v>
      </c>
      <c r="G1358" s="141" t="s">
        <v>1604</v>
      </c>
      <c r="H1358" s="174">
        <v>2</v>
      </c>
      <c r="I1358" s="188" t="s">
        <v>532</v>
      </c>
      <c r="J1358" s="174">
        <v>6809</v>
      </c>
      <c r="K1358" s="174" t="s">
        <v>1588</v>
      </c>
      <c r="M1358" s="217" t="s">
        <v>1299</v>
      </c>
      <c r="N1358" s="183" t="s">
        <v>1946</v>
      </c>
    </row>
    <row r="1359" spans="1:14" hidden="1">
      <c r="A1359" s="140" t="str">
        <f t="shared" si="21"/>
        <v>17301-43667-02-L9ER2</v>
      </c>
      <c r="B1359" s="162" t="s">
        <v>1118</v>
      </c>
      <c r="D1359" s="162" t="s">
        <v>1124</v>
      </c>
      <c r="E1359" s="162" t="s">
        <v>1598</v>
      </c>
      <c r="F1359" s="171">
        <v>56041</v>
      </c>
      <c r="G1359" s="141" t="s">
        <v>1604</v>
      </c>
      <c r="H1359" s="174">
        <v>2</v>
      </c>
      <c r="I1359" s="188" t="s">
        <v>540</v>
      </c>
      <c r="J1359" s="174">
        <v>100</v>
      </c>
      <c r="K1359" s="174" t="s">
        <v>1588</v>
      </c>
      <c r="M1359" s="217" t="s">
        <v>1299</v>
      </c>
      <c r="N1359" s="183" t="s">
        <v>1946</v>
      </c>
    </row>
    <row r="1360" spans="1:14" hidden="1">
      <c r="A1360" s="140" t="str">
        <f t="shared" si="21"/>
        <v>17301-43667-02-L9EV</v>
      </c>
      <c r="B1360" s="162" t="s">
        <v>1118</v>
      </c>
      <c r="D1360" s="162" t="s">
        <v>1124</v>
      </c>
      <c r="E1360" s="162" t="s">
        <v>1598</v>
      </c>
      <c r="F1360" s="171">
        <v>56041</v>
      </c>
      <c r="G1360" s="141" t="s">
        <v>1604</v>
      </c>
      <c r="H1360" s="174">
        <v>2</v>
      </c>
      <c r="I1360" s="188" t="s">
        <v>510</v>
      </c>
      <c r="J1360" s="174">
        <v>6990</v>
      </c>
      <c r="K1360" s="174" t="s">
        <v>1588</v>
      </c>
      <c r="M1360" s="217" t="s">
        <v>1299</v>
      </c>
      <c r="N1360" s="183" t="s">
        <v>1946</v>
      </c>
    </row>
    <row r="1361" spans="1:14" hidden="1">
      <c r="A1361" s="140" t="str">
        <f t="shared" si="21"/>
        <v>17301-43667-02-L9EV2</v>
      </c>
      <c r="B1361" s="162" t="s">
        <v>1118</v>
      </c>
      <c r="D1361" s="162" t="s">
        <v>1124</v>
      </c>
      <c r="E1361" s="162" t="s">
        <v>1598</v>
      </c>
      <c r="F1361" s="171">
        <v>56041</v>
      </c>
      <c r="G1361" s="141" t="s">
        <v>1604</v>
      </c>
      <c r="H1361" s="174">
        <v>2</v>
      </c>
      <c r="I1361" s="188" t="s">
        <v>541</v>
      </c>
      <c r="J1361" s="174">
        <v>377</v>
      </c>
      <c r="K1361" s="174" t="s">
        <v>1588</v>
      </c>
      <c r="M1361" s="217" t="s">
        <v>1299</v>
      </c>
      <c r="N1361" s="183" t="s">
        <v>1946</v>
      </c>
    </row>
    <row r="1362" spans="1:14" ht="40.5" hidden="1">
      <c r="A1362" s="140" t="str">
        <f t="shared" si="21"/>
        <v>17301-43667-03-L5E</v>
      </c>
      <c r="B1362" s="162" t="s">
        <v>1118</v>
      </c>
      <c r="D1362" s="162" t="s">
        <v>1124</v>
      </c>
      <c r="E1362" s="162" t="s">
        <v>1598</v>
      </c>
      <c r="F1362" s="171">
        <v>56084</v>
      </c>
      <c r="G1362" s="141" t="s">
        <v>1604</v>
      </c>
      <c r="H1362" s="174">
        <v>3</v>
      </c>
      <c r="I1362" s="188" t="s">
        <v>815</v>
      </c>
      <c r="J1362" s="174">
        <v>4841</v>
      </c>
      <c r="K1362" s="174" t="s">
        <v>1588</v>
      </c>
      <c r="M1362" s="217" t="s">
        <v>1065</v>
      </c>
      <c r="N1362" s="183" t="s">
        <v>1947</v>
      </c>
    </row>
    <row r="1363" spans="1:14" ht="40.5" hidden="1">
      <c r="A1363" s="140" t="str">
        <f t="shared" si="21"/>
        <v>17301-43667-03-L5E2</v>
      </c>
      <c r="B1363" s="162" t="s">
        <v>1118</v>
      </c>
      <c r="D1363" s="162" t="s">
        <v>1124</v>
      </c>
      <c r="E1363" s="162" t="s">
        <v>1598</v>
      </c>
      <c r="F1363" s="171">
        <v>56084</v>
      </c>
      <c r="G1363" s="141" t="s">
        <v>1604</v>
      </c>
      <c r="H1363" s="174">
        <v>3</v>
      </c>
      <c r="I1363" s="188" t="s">
        <v>838</v>
      </c>
      <c r="J1363" s="174">
        <v>172</v>
      </c>
      <c r="K1363" s="174" t="s">
        <v>1588</v>
      </c>
      <c r="M1363" s="217" t="s">
        <v>1065</v>
      </c>
      <c r="N1363" s="183" t="s">
        <v>1947</v>
      </c>
    </row>
    <row r="1364" spans="1:14" ht="40.5" hidden="1">
      <c r="A1364" s="140" t="str">
        <f t="shared" si="21"/>
        <v>17301-43667-03-L6F</v>
      </c>
      <c r="B1364" s="162" t="s">
        <v>1118</v>
      </c>
      <c r="D1364" s="162" t="s">
        <v>1124</v>
      </c>
      <c r="E1364" s="162" t="s">
        <v>1598</v>
      </c>
      <c r="F1364" s="171">
        <v>56084</v>
      </c>
      <c r="G1364" s="141" t="s">
        <v>1604</v>
      </c>
      <c r="H1364" s="174">
        <v>3</v>
      </c>
      <c r="I1364" s="188" t="s">
        <v>880</v>
      </c>
      <c r="J1364" s="174">
        <v>5794</v>
      </c>
      <c r="K1364" s="174" t="s">
        <v>1588</v>
      </c>
      <c r="M1364" s="217" t="s">
        <v>1065</v>
      </c>
      <c r="N1364" s="183" t="s">
        <v>1947</v>
      </c>
    </row>
    <row r="1365" spans="1:14" ht="40.5" hidden="1">
      <c r="A1365" s="140" t="str">
        <f t="shared" si="21"/>
        <v>17301-43667-03-L8EV</v>
      </c>
      <c r="B1365" s="162" t="s">
        <v>1118</v>
      </c>
      <c r="D1365" s="162" t="s">
        <v>1124</v>
      </c>
      <c r="E1365" s="162" t="s">
        <v>1598</v>
      </c>
      <c r="F1365" s="171">
        <v>56084</v>
      </c>
      <c r="G1365" s="141" t="s">
        <v>1604</v>
      </c>
      <c r="H1365" s="174">
        <v>3</v>
      </c>
      <c r="I1365" s="188" t="s">
        <v>531</v>
      </c>
      <c r="J1365" s="174">
        <v>7055</v>
      </c>
      <c r="K1365" s="174" t="s">
        <v>1588</v>
      </c>
      <c r="M1365" s="217" t="s">
        <v>1065</v>
      </c>
      <c r="N1365" s="183" t="s">
        <v>1947</v>
      </c>
    </row>
    <row r="1366" spans="1:14" ht="40.5" hidden="1">
      <c r="A1366" s="140" t="str">
        <f t="shared" si="21"/>
        <v>17301-43667-03-L8EV2</v>
      </c>
      <c r="B1366" s="162" t="s">
        <v>1118</v>
      </c>
      <c r="D1366" s="162" t="s">
        <v>1124</v>
      </c>
      <c r="E1366" s="162" t="s">
        <v>1598</v>
      </c>
      <c r="F1366" s="171">
        <v>56084</v>
      </c>
      <c r="G1366" s="141" t="s">
        <v>1604</v>
      </c>
      <c r="H1366" s="174">
        <v>3</v>
      </c>
      <c r="I1366" s="188" t="s">
        <v>539</v>
      </c>
      <c r="J1366" s="174">
        <v>462</v>
      </c>
      <c r="K1366" s="174" t="s">
        <v>1588</v>
      </c>
      <c r="M1366" s="217" t="s">
        <v>1065</v>
      </c>
      <c r="N1366" s="183" t="s">
        <v>1947</v>
      </c>
    </row>
    <row r="1367" spans="1:14" ht="40.5" hidden="1">
      <c r="A1367" s="140" t="str">
        <f t="shared" si="21"/>
        <v>17301-43667-03-L9ER</v>
      </c>
      <c r="B1367" s="162" t="s">
        <v>1118</v>
      </c>
      <c r="D1367" s="162" t="s">
        <v>1124</v>
      </c>
      <c r="E1367" s="162" t="s">
        <v>1598</v>
      </c>
      <c r="F1367" s="171">
        <v>56084</v>
      </c>
      <c r="G1367" s="141" t="s">
        <v>1604</v>
      </c>
      <c r="H1367" s="174">
        <v>3</v>
      </c>
      <c r="I1367" s="188" t="s">
        <v>532</v>
      </c>
      <c r="J1367" s="174">
        <v>7033</v>
      </c>
      <c r="K1367" s="174" t="s">
        <v>1588</v>
      </c>
      <c r="M1367" s="217" t="s">
        <v>1065</v>
      </c>
      <c r="N1367" s="183" t="s">
        <v>1947</v>
      </c>
    </row>
    <row r="1368" spans="1:14" ht="40.5" hidden="1">
      <c r="A1368" s="140" t="str">
        <f t="shared" si="21"/>
        <v>17301-43667-03-L9ER2</v>
      </c>
      <c r="B1368" s="162" t="s">
        <v>1118</v>
      </c>
      <c r="D1368" s="162" t="s">
        <v>1124</v>
      </c>
      <c r="E1368" s="162" t="s">
        <v>1598</v>
      </c>
      <c r="F1368" s="171">
        <v>56084</v>
      </c>
      <c r="G1368" s="141" t="s">
        <v>1604</v>
      </c>
      <c r="H1368" s="174">
        <v>3</v>
      </c>
      <c r="I1368" s="188" t="s">
        <v>540</v>
      </c>
      <c r="J1368" s="174">
        <v>119</v>
      </c>
      <c r="K1368" s="174" t="s">
        <v>1588</v>
      </c>
      <c r="M1368" s="217" t="s">
        <v>1065</v>
      </c>
      <c r="N1368" s="183" t="s">
        <v>1947</v>
      </c>
    </row>
    <row r="1369" spans="1:14" ht="40.5" hidden="1">
      <c r="A1369" s="140" t="str">
        <f t="shared" si="21"/>
        <v>17301-43667-03-L9EV</v>
      </c>
      <c r="B1369" s="162" t="s">
        <v>1118</v>
      </c>
      <c r="D1369" s="162" t="s">
        <v>1124</v>
      </c>
      <c r="E1369" s="162" t="s">
        <v>1598</v>
      </c>
      <c r="F1369" s="171">
        <v>56084</v>
      </c>
      <c r="G1369" s="141" t="s">
        <v>1604</v>
      </c>
      <c r="H1369" s="174">
        <v>3</v>
      </c>
      <c r="I1369" s="188" t="s">
        <v>510</v>
      </c>
      <c r="J1369" s="174">
        <v>7245</v>
      </c>
      <c r="K1369" s="174" t="s">
        <v>1588</v>
      </c>
      <c r="M1369" s="217" t="s">
        <v>1065</v>
      </c>
      <c r="N1369" s="183" t="s">
        <v>1947</v>
      </c>
    </row>
    <row r="1370" spans="1:14" ht="40.5" hidden="1">
      <c r="A1370" s="140" t="str">
        <f t="shared" si="21"/>
        <v>17301-43667-03-L9EV2</v>
      </c>
      <c r="B1370" s="162" t="s">
        <v>1118</v>
      </c>
      <c r="D1370" s="162" t="s">
        <v>1124</v>
      </c>
      <c r="E1370" s="162" t="s">
        <v>1598</v>
      </c>
      <c r="F1370" s="171">
        <v>56084</v>
      </c>
      <c r="G1370" s="141" t="s">
        <v>1604</v>
      </c>
      <c r="H1370" s="174">
        <v>3</v>
      </c>
      <c r="I1370" s="188" t="s">
        <v>541</v>
      </c>
      <c r="J1370" s="174">
        <v>398</v>
      </c>
      <c r="K1370" s="174" t="s">
        <v>1588</v>
      </c>
      <c r="M1370" s="217" t="s">
        <v>1065</v>
      </c>
      <c r="N1370" s="183" t="s">
        <v>1947</v>
      </c>
    </row>
    <row r="1371" spans="1:14" ht="108" hidden="1">
      <c r="A1371" s="140" t="str">
        <f t="shared" si="21"/>
        <v>17301-43667-04-L5E</v>
      </c>
      <c r="B1371" s="162" t="s">
        <v>1118</v>
      </c>
      <c r="D1371" s="162" t="s">
        <v>1124</v>
      </c>
      <c r="E1371" s="162" t="s">
        <v>1598</v>
      </c>
      <c r="F1371" s="171">
        <v>56317</v>
      </c>
      <c r="G1371" s="141" t="s">
        <v>1604</v>
      </c>
      <c r="H1371" s="174">
        <v>4</v>
      </c>
      <c r="I1371" s="188" t="s">
        <v>815</v>
      </c>
      <c r="K1371" s="174">
        <v>4678</v>
      </c>
      <c r="M1371" s="217" t="s">
        <v>302</v>
      </c>
      <c r="N1371" s="183" t="s">
        <v>1948</v>
      </c>
    </row>
    <row r="1372" spans="1:14" ht="108" hidden="1">
      <c r="A1372" s="140" t="str">
        <f t="shared" si="21"/>
        <v>17301-43667-04-L5E2</v>
      </c>
      <c r="B1372" s="162" t="s">
        <v>1118</v>
      </c>
      <c r="D1372" s="162" t="s">
        <v>1124</v>
      </c>
      <c r="E1372" s="162" t="s">
        <v>1598</v>
      </c>
      <c r="F1372" s="171">
        <v>56317</v>
      </c>
      <c r="G1372" s="141" t="s">
        <v>1604</v>
      </c>
      <c r="H1372" s="174">
        <v>4</v>
      </c>
      <c r="I1372" s="188" t="s">
        <v>838</v>
      </c>
      <c r="K1372" s="174">
        <v>157</v>
      </c>
      <c r="M1372" s="217" t="s">
        <v>302</v>
      </c>
      <c r="N1372" s="183" t="s">
        <v>1948</v>
      </c>
    </row>
    <row r="1373" spans="1:14" ht="108" hidden="1">
      <c r="A1373" s="140" t="str">
        <f t="shared" si="21"/>
        <v>17301-43667-04-L6F</v>
      </c>
      <c r="B1373" s="162" t="s">
        <v>1118</v>
      </c>
      <c r="D1373" s="162" t="s">
        <v>1124</v>
      </c>
      <c r="E1373" s="162" t="s">
        <v>1598</v>
      </c>
      <c r="F1373" s="171">
        <v>56317</v>
      </c>
      <c r="G1373" s="141" t="s">
        <v>1604</v>
      </c>
      <c r="H1373" s="174">
        <v>4</v>
      </c>
      <c r="I1373" s="188" t="s">
        <v>880</v>
      </c>
      <c r="K1373" s="174">
        <v>5415</v>
      </c>
      <c r="M1373" s="217" t="s">
        <v>302</v>
      </c>
      <c r="N1373" s="183" t="s">
        <v>1948</v>
      </c>
    </row>
    <row r="1374" spans="1:14" ht="108" hidden="1">
      <c r="A1374" s="140" t="str">
        <f t="shared" si="21"/>
        <v>17301-43667-04-L8EV</v>
      </c>
      <c r="B1374" s="162" t="s">
        <v>1118</v>
      </c>
      <c r="D1374" s="162" t="s">
        <v>1124</v>
      </c>
      <c r="E1374" s="162" t="s">
        <v>1598</v>
      </c>
      <c r="F1374" s="171">
        <v>56317</v>
      </c>
      <c r="G1374" s="141" t="s">
        <v>1604</v>
      </c>
      <c r="H1374" s="174">
        <v>4</v>
      </c>
      <c r="I1374" s="188" t="s">
        <v>531</v>
      </c>
      <c r="K1374" s="174">
        <v>6884</v>
      </c>
      <c r="M1374" s="217" t="s">
        <v>302</v>
      </c>
      <c r="N1374" s="183" t="s">
        <v>1948</v>
      </c>
    </row>
    <row r="1375" spans="1:14" ht="108" hidden="1">
      <c r="A1375" s="140" t="str">
        <f t="shared" si="21"/>
        <v>17301-43667-04-L8EV2</v>
      </c>
      <c r="B1375" s="162" t="s">
        <v>1118</v>
      </c>
      <c r="D1375" s="162" t="s">
        <v>1124</v>
      </c>
      <c r="E1375" s="162" t="s">
        <v>1598</v>
      </c>
      <c r="F1375" s="171">
        <v>56317</v>
      </c>
      <c r="G1375" s="141" t="s">
        <v>1604</v>
      </c>
      <c r="H1375" s="174">
        <v>4</v>
      </c>
      <c r="I1375" s="188" t="s">
        <v>539</v>
      </c>
      <c r="K1375" s="174">
        <v>435</v>
      </c>
      <c r="M1375" s="217" t="s">
        <v>302</v>
      </c>
      <c r="N1375" s="183" t="s">
        <v>1948</v>
      </c>
    </row>
    <row r="1376" spans="1:14" ht="108" hidden="1">
      <c r="A1376" s="140" t="str">
        <f t="shared" si="21"/>
        <v>17301-43667-04-L9ER</v>
      </c>
      <c r="B1376" s="162" t="s">
        <v>1118</v>
      </c>
      <c r="D1376" s="162" t="s">
        <v>1124</v>
      </c>
      <c r="E1376" s="162" t="s">
        <v>1598</v>
      </c>
      <c r="F1376" s="171">
        <v>56317</v>
      </c>
      <c r="G1376" s="141" t="s">
        <v>1604</v>
      </c>
      <c r="H1376" s="174">
        <v>4</v>
      </c>
      <c r="I1376" s="188" t="s">
        <v>532</v>
      </c>
      <c r="K1376" s="174">
        <v>6809</v>
      </c>
      <c r="M1376" s="217" t="s">
        <v>302</v>
      </c>
      <c r="N1376" s="183" t="s">
        <v>1948</v>
      </c>
    </row>
    <row r="1377" spans="1:14" ht="108" hidden="1">
      <c r="A1377" s="140" t="str">
        <f t="shared" si="21"/>
        <v>17301-43667-04-L9ER2</v>
      </c>
      <c r="B1377" s="162" t="s">
        <v>1118</v>
      </c>
      <c r="D1377" s="162" t="s">
        <v>1124</v>
      </c>
      <c r="E1377" s="162" t="s">
        <v>1598</v>
      </c>
      <c r="F1377" s="171">
        <v>56317</v>
      </c>
      <c r="G1377" s="141" t="s">
        <v>1604</v>
      </c>
      <c r="H1377" s="174">
        <v>4</v>
      </c>
      <c r="I1377" s="188" t="s">
        <v>540</v>
      </c>
      <c r="K1377" s="174">
        <v>100</v>
      </c>
      <c r="M1377" s="217" t="s">
        <v>302</v>
      </c>
      <c r="N1377" s="183" t="s">
        <v>1948</v>
      </c>
    </row>
    <row r="1378" spans="1:14" ht="108" hidden="1">
      <c r="A1378" s="140" t="str">
        <f t="shared" si="21"/>
        <v>17301-43667-04-L9EV</v>
      </c>
      <c r="B1378" s="162" t="s">
        <v>1118</v>
      </c>
      <c r="D1378" s="162" t="s">
        <v>1124</v>
      </c>
      <c r="E1378" s="162" t="s">
        <v>1598</v>
      </c>
      <c r="F1378" s="171">
        <v>56317</v>
      </c>
      <c r="G1378" s="141" t="s">
        <v>1604</v>
      </c>
      <c r="H1378" s="174">
        <v>4</v>
      </c>
      <c r="I1378" s="188" t="s">
        <v>510</v>
      </c>
      <c r="K1378" s="174">
        <v>6996</v>
      </c>
      <c r="M1378" s="217" t="s">
        <v>302</v>
      </c>
      <c r="N1378" s="183" t="s">
        <v>1948</v>
      </c>
    </row>
    <row r="1379" spans="1:14" ht="108" hidden="1">
      <c r="A1379" s="140" t="str">
        <f t="shared" si="21"/>
        <v>17301-43667-04-L9EV2</v>
      </c>
      <c r="B1379" s="162" t="s">
        <v>1118</v>
      </c>
      <c r="D1379" s="162" t="s">
        <v>1124</v>
      </c>
      <c r="E1379" s="162" t="s">
        <v>1598</v>
      </c>
      <c r="F1379" s="171">
        <v>56317</v>
      </c>
      <c r="G1379" s="141" t="s">
        <v>1604</v>
      </c>
      <c r="H1379" s="174">
        <v>4</v>
      </c>
      <c r="I1379" s="188" t="s">
        <v>541</v>
      </c>
      <c r="K1379" s="174">
        <v>377</v>
      </c>
      <c r="M1379" s="217" t="s">
        <v>302</v>
      </c>
      <c r="N1379" s="183" t="s">
        <v>1948</v>
      </c>
    </row>
    <row r="1380" spans="1:14" ht="27" hidden="1">
      <c r="A1380" s="140" t="str">
        <f t="shared" si="21"/>
        <v>17301-43667-05-L5E</v>
      </c>
      <c r="B1380" s="162" t="s">
        <v>1118</v>
      </c>
      <c r="D1380" s="162" t="s">
        <v>1124</v>
      </c>
      <c r="E1380" s="162" t="s">
        <v>1598</v>
      </c>
      <c r="F1380" s="171">
        <v>60762</v>
      </c>
      <c r="G1380" s="141" t="s">
        <v>1604</v>
      </c>
      <c r="H1380" s="174">
        <v>5</v>
      </c>
      <c r="I1380" s="188" t="s">
        <v>815</v>
      </c>
      <c r="K1380" s="174">
        <v>5592</v>
      </c>
      <c r="M1380" s="217" t="s">
        <v>302</v>
      </c>
      <c r="N1380" s="183" t="s">
        <v>1949</v>
      </c>
    </row>
    <row r="1381" spans="1:14" ht="27" hidden="1">
      <c r="A1381" s="140" t="str">
        <f t="shared" si="21"/>
        <v>17301-43667-05-L5E2</v>
      </c>
      <c r="B1381" s="162" t="s">
        <v>1118</v>
      </c>
      <c r="D1381" s="162" t="s">
        <v>1124</v>
      </c>
      <c r="E1381" s="162" t="s">
        <v>1598</v>
      </c>
      <c r="F1381" s="171">
        <v>60762</v>
      </c>
      <c r="G1381" s="141" t="s">
        <v>1604</v>
      </c>
      <c r="H1381" s="174">
        <v>5</v>
      </c>
      <c r="I1381" s="188" t="s">
        <v>838</v>
      </c>
      <c r="K1381" s="174">
        <v>232</v>
      </c>
      <c r="M1381" s="217" t="s">
        <v>302</v>
      </c>
      <c r="N1381" s="183" t="s">
        <v>1949</v>
      </c>
    </row>
    <row r="1382" spans="1:14" ht="27" hidden="1">
      <c r="A1382" s="140" t="str">
        <f t="shared" si="21"/>
        <v>17301-43667-05-L6F</v>
      </c>
      <c r="B1382" s="162" t="s">
        <v>1118</v>
      </c>
      <c r="D1382" s="162" t="s">
        <v>1124</v>
      </c>
      <c r="E1382" s="162" t="s">
        <v>1598</v>
      </c>
      <c r="F1382" s="171">
        <v>60762</v>
      </c>
      <c r="G1382" s="141" t="s">
        <v>1604</v>
      </c>
      <c r="H1382" s="174">
        <v>5</v>
      </c>
      <c r="I1382" s="188" t="s">
        <v>880</v>
      </c>
      <c r="K1382" s="174">
        <v>7380</v>
      </c>
      <c r="M1382" s="217" t="s">
        <v>302</v>
      </c>
      <c r="N1382" s="183" t="s">
        <v>1949</v>
      </c>
    </row>
    <row r="1383" spans="1:14" ht="27" hidden="1">
      <c r="A1383" s="140" t="str">
        <f t="shared" si="21"/>
        <v>17301-43667-05-L8EV</v>
      </c>
      <c r="B1383" s="162" t="s">
        <v>1118</v>
      </c>
      <c r="D1383" s="162" t="s">
        <v>1124</v>
      </c>
      <c r="E1383" s="162" t="s">
        <v>1598</v>
      </c>
      <c r="F1383" s="171">
        <v>60762</v>
      </c>
      <c r="G1383" s="141" t="s">
        <v>1604</v>
      </c>
      <c r="H1383" s="174">
        <v>5</v>
      </c>
      <c r="I1383" s="188" t="s">
        <v>531</v>
      </c>
      <c r="K1383" s="174">
        <v>8010</v>
      </c>
      <c r="M1383" s="217" t="s">
        <v>302</v>
      </c>
      <c r="N1383" s="183" t="s">
        <v>1949</v>
      </c>
    </row>
    <row r="1384" spans="1:14" ht="27" hidden="1">
      <c r="A1384" s="140" t="str">
        <f t="shared" si="21"/>
        <v>17301-43667-05-L8EV2</v>
      </c>
      <c r="B1384" s="162" t="s">
        <v>1118</v>
      </c>
      <c r="D1384" s="162" t="s">
        <v>1124</v>
      </c>
      <c r="E1384" s="162" t="s">
        <v>1598</v>
      </c>
      <c r="F1384" s="171">
        <v>60762</v>
      </c>
      <c r="G1384" s="141" t="s">
        <v>1604</v>
      </c>
      <c r="H1384" s="174">
        <v>5</v>
      </c>
      <c r="I1384" s="188" t="s">
        <v>539</v>
      </c>
      <c r="K1384" s="174">
        <v>564</v>
      </c>
      <c r="M1384" s="217" t="s">
        <v>302</v>
      </c>
      <c r="N1384" s="183" t="s">
        <v>1949</v>
      </c>
    </row>
    <row r="1385" spans="1:14" ht="27" hidden="1">
      <c r="A1385" s="140" t="str">
        <f t="shared" si="21"/>
        <v>17301-43667-05-L9ER</v>
      </c>
      <c r="B1385" s="162" t="s">
        <v>1118</v>
      </c>
      <c r="D1385" s="162" t="s">
        <v>1124</v>
      </c>
      <c r="E1385" s="162" t="s">
        <v>1598</v>
      </c>
      <c r="F1385" s="171">
        <v>60762</v>
      </c>
      <c r="G1385" s="141" t="s">
        <v>1604</v>
      </c>
      <c r="H1385" s="174">
        <v>5</v>
      </c>
      <c r="I1385" s="188" t="s">
        <v>532</v>
      </c>
      <c r="K1385" s="174">
        <v>7753</v>
      </c>
      <c r="M1385" s="217" t="s">
        <v>302</v>
      </c>
      <c r="N1385" s="183" t="s">
        <v>1949</v>
      </c>
    </row>
    <row r="1386" spans="1:14" ht="27" hidden="1">
      <c r="A1386" s="140" t="str">
        <f t="shared" si="21"/>
        <v>17301-43667-05-L9ER2</v>
      </c>
      <c r="B1386" s="162" t="s">
        <v>1118</v>
      </c>
      <c r="D1386" s="162" t="s">
        <v>1124</v>
      </c>
      <c r="E1386" s="162" t="s">
        <v>1598</v>
      </c>
      <c r="F1386" s="171">
        <v>60762</v>
      </c>
      <c r="G1386" s="141" t="s">
        <v>1604</v>
      </c>
      <c r="H1386" s="174">
        <v>5</v>
      </c>
      <c r="I1386" s="188" t="s">
        <v>540</v>
      </c>
      <c r="K1386" s="174">
        <v>146</v>
      </c>
      <c r="M1386" s="217" t="s">
        <v>302</v>
      </c>
      <c r="N1386" s="183" t="s">
        <v>1949</v>
      </c>
    </row>
    <row r="1387" spans="1:14" ht="27" hidden="1">
      <c r="A1387" s="140" t="str">
        <f t="shared" si="21"/>
        <v>17301-43667-05-L9EV</v>
      </c>
      <c r="B1387" s="162" t="s">
        <v>1118</v>
      </c>
      <c r="D1387" s="162" t="s">
        <v>1124</v>
      </c>
      <c r="E1387" s="162" t="s">
        <v>1598</v>
      </c>
      <c r="F1387" s="171">
        <v>60762</v>
      </c>
      <c r="G1387" s="141" t="s">
        <v>1604</v>
      </c>
      <c r="H1387" s="174">
        <v>5</v>
      </c>
      <c r="I1387" s="188" t="s">
        <v>510</v>
      </c>
      <c r="K1387" s="174">
        <v>7879</v>
      </c>
      <c r="M1387" s="217" t="s">
        <v>302</v>
      </c>
      <c r="N1387" s="183" t="s">
        <v>1949</v>
      </c>
    </row>
    <row r="1388" spans="1:14" ht="27" hidden="1">
      <c r="A1388" s="140" t="str">
        <f t="shared" si="21"/>
        <v>17301-43667-05-L9EV2</v>
      </c>
      <c r="B1388" s="162" t="s">
        <v>1118</v>
      </c>
      <c r="D1388" s="162" t="s">
        <v>1124</v>
      </c>
      <c r="E1388" s="162" t="s">
        <v>1598</v>
      </c>
      <c r="F1388" s="171">
        <v>60762</v>
      </c>
      <c r="G1388" s="141" t="s">
        <v>1604</v>
      </c>
      <c r="H1388" s="174">
        <v>5</v>
      </c>
      <c r="I1388" s="188" t="s">
        <v>541</v>
      </c>
      <c r="K1388" s="174">
        <v>515</v>
      </c>
      <c r="M1388" s="217" t="s">
        <v>302</v>
      </c>
      <c r="N1388" s="183" t="s">
        <v>1949</v>
      </c>
    </row>
    <row r="1389" spans="1:14" hidden="1">
      <c r="A1389" s="140" t="str">
        <f t="shared" si="21"/>
        <v>17301-43667-06-L5E</v>
      </c>
      <c r="B1389" s="162" t="s">
        <v>1118</v>
      </c>
      <c r="D1389" s="162" t="s">
        <v>1124</v>
      </c>
      <c r="E1389" s="162" t="s">
        <v>1598</v>
      </c>
      <c r="F1389" s="171">
        <v>61008</v>
      </c>
      <c r="G1389" s="141" t="s">
        <v>1604</v>
      </c>
      <c r="H1389" s="174">
        <v>6</v>
      </c>
      <c r="I1389" s="188" t="s">
        <v>815</v>
      </c>
      <c r="K1389" s="174" t="s">
        <v>1588</v>
      </c>
      <c r="M1389" s="217" t="s">
        <v>302</v>
      </c>
      <c r="N1389" s="183" t="s">
        <v>1950</v>
      </c>
    </row>
    <row r="1390" spans="1:14" hidden="1">
      <c r="A1390" s="140" t="str">
        <f t="shared" si="21"/>
        <v>17301-43667-06-L5E2</v>
      </c>
      <c r="B1390" s="162" t="s">
        <v>1118</v>
      </c>
      <c r="D1390" s="162" t="s">
        <v>1124</v>
      </c>
      <c r="E1390" s="162" t="s">
        <v>1598</v>
      </c>
      <c r="F1390" s="171">
        <v>61008</v>
      </c>
      <c r="G1390" s="141" t="s">
        <v>1604</v>
      </c>
      <c r="H1390" s="174">
        <v>6</v>
      </c>
      <c r="I1390" s="188" t="s">
        <v>838</v>
      </c>
      <c r="K1390" s="174" t="s">
        <v>1588</v>
      </c>
      <c r="M1390" s="217" t="s">
        <v>302</v>
      </c>
      <c r="N1390" s="183" t="s">
        <v>1950</v>
      </c>
    </row>
    <row r="1391" spans="1:14" hidden="1">
      <c r="A1391" s="140" t="str">
        <f t="shared" si="21"/>
        <v>17301-43667-06-L6F</v>
      </c>
      <c r="B1391" s="162" t="s">
        <v>1118</v>
      </c>
      <c r="D1391" s="162" t="s">
        <v>1124</v>
      </c>
      <c r="E1391" s="162" t="s">
        <v>1598</v>
      </c>
      <c r="F1391" s="171">
        <v>61008</v>
      </c>
      <c r="G1391" s="141" t="s">
        <v>1604</v>
      </c>
      <c r="H1391" s="174">
        <v>6</v>
      </c>
      <c r="I1391" s="188" t="s">
        <v>880</v>
      </c>
      <c r="K1391" s="174" t="s">
        <v>1588</v>
      </c>
      <c r="M1391" s="217" t="s">
        <v>302</v>
      </c>
      <c r="N1391" s="183" t="s">
        <v>1950</v>
      </c>
    </row>
    <row r="1392" spans="1:14" hidden="1">
      <c r="A1392" s="140" t="str">
        <f t="shared" si="21"/>
        <v>17301-43667-06-L8EV</v>
      </c>
      <c r="B1392" s="162" t="s">
        <v>1118</v>
      </c>
      <c r="D1392" s="162" t="s">
        <v>1124</v>
      </c>
      <c r="E1392" s="162" t="s">
        <v>1598</v>
      </c>
      <c r="F1392" s="171">
        <v>61008</v>
      </c>
      <c r="G1392" s="141" t="s">
        <v>1604</v>
      </c>
      <c r="H1392" s="174">
        <v>6</v>
      </c>
      <c r="I1392" s="188" t="s">
        <v>531</v>
      </c>
      <c r="K1392" s="174" t="s">
        <v>1588</v>
      </c>
      <c r="M1392" s="217" t="s">
        <v>302</v>
      </c>
      <c r="N1392" s="183" t="s">
        <v>1950</v>
      </c>
    </row>
    <row r="1393" spans="1:14" hidden="1">
      <c r="A1393" s="140" t="str">
        <f t="shared" si="21"/>
        <v>17301-43667-06-L8EV2</v>
      </c>
      <c r="B1393" s="162" t="s">
        <v>1118</v>
      </c>
      <c r="D1393" s="162" t="s">
        <v>1124</v>
      </c>
      <c r="E1393" s="162" t="s">
        <v>1598</v>
      </c>
      <c r="F1393" s="171">
        <v>61008</v>
      </c>
      <c r="G1393" s="141" t="s">
        <v>1604</v>
      </c>
      <c r="H1393" s="174">
        <v>6</v>
      </c>
      <c r="I1393" s="188" t="s">
        <v>539</v>
      </c>
      <c r="K1393" s="174" t="s">
        <v>1588</v>
      </c>
      <c r="M1393" s="217" t="s">
        <v>302</v>
      </c>
      <c r="N1393" s="183" t="s">
        <v>1950</v>
      </c>
    </row>
    <row r="1394" spans="1:14" hidden="1">
      <c r="A1394" s="140" t="str">
        <f t="shared" si="21"/>
        <v>17301-43667-06-L9ER</v>
      </c>
      <c r="B1394" s="162" t="s">
        <v>1118</v>
      </c>
      <c r="D1394" s="162" t="s">
        <v>1124</v>
      </c>
      <c r="E1394" s="162" t="s">
        <v>1598</v>
      </c>
      <c r="F1394" s="171">
        <v>61008</v>
      </c>
      <c r="G1394" s="141" t="s">
        <v>1604</v>
      </c>
      <c r="H1394" s="174">
        <v>6</v>
      </c>
      <c r="I1394" s="188" t="s">
        <v>532</v>
      </c>
      <c r="K1394" s="174" t="s">
        <v>1588</v>
      </c>
      <c r="M1394" s="217" t="s">
        <v>302</v>
      </c>
      <c r="N1394" s="183" t="s">
        <v>1950</v>
      </c>
    </row>
    <row r="1395" spans="1:14" hidden="1">
      <c r="A1395" s="140" t="str">
        <f t="shared" si="21"/>
        <v>17301-43667-06-L9ER2</v>
      </c>
      <c r="B1395" s="162" t="s">
        <v>1118</v>
      </c>
      <c r="D1395" s="162" t="s">
        <v>1124</v>
      </c>
      <c r="E1395" s="162" t="s">
        <v>1598</v>
      </c>
      <c r="F1395" s="171">
        <v>61008</v>
      </c>
      <c r="G1395" s="141" t="s">
        <v>1604</v>
      </c>
      <c r="H1395" s="174">
        <v>6</v>
      </c>
      <c r="I1395" s="188" t="s">
        <v>540</v>
      </c>
      <c r="K1395" s="174" t="s">
        <v>1588</v>
      </c>
      <c r="M1395" s="217" t="s">
        <v>302</v>
      </c>
      <c r="N1395" s="183" t="s">
        <v>1950</v>
      </c>
    </row>
    <row r="1396" spans="1:14" hidden="1">
      <c r="A1396" s="140" t="str">
        <f t="shared" si="21"/>
        <v>17301-43667-06-L9EV</v>
      </c>
      <c r="B1396" s="162" t="s">
        <v>1118</v>
      </c>
      <c r="D1396" s="162" t="s">
        <v>1124</v>
      </c>
      <c r="E1396" s="162" t="s">
        <v>1598</v>
      </c>
      <c r="F1396" s="171">
        <v>61008</v>
      </c>
      <c r="G1396" s="141" t="s">
        <v>1604</v>
      </c>
      <c r="H1396" s="174">
        <v>6</v>
      </c>
      <c r="I1396" s="188" t="s">
        <v>510</v>
      </c>
      <c r="K1396" s="174" t="s">
        <v>1588</v>
      </c>
      <c r="M1396" s="217" t="s">
        <v>302</v>
      </c>
      <c r="N1396" s="183" t="s">
        <v>1950</v>
      </c>
    </row>
    <row r="1397" spans="1:14" hidden="1">
      <c r="A1397" s="140" t="str">
        <f t="shared" si="21"/>
        <v>17301-43667-06-L9EV2</v>
      </c>
      <c r="B1397" s="162" t="s">
        <v>1118</v>
      </c>
      <c r="D1397" s="162" t="s">
        <v>1124</v>
      </c>
      <c r="E1397" s="162" t="s">
        <v>1598</v>
      </c>
      <c r="F1397" s="171">
        <v>61008</v>
      </c>
      <c r="G1397" s="141" t="s">
        <v>1604</v>
      </c>
      <c r="H1397" s="174">
        <v>6</v>
      </c>
      <c r="I1397" s="188" t="s">
        <v>541</v>
      </c>
      <c r="K1397" s="174" t="s">
        <v>1588</v>
      </c>
      <c r="M1397" s="217" t="s">
        <v>302</v>
      </c>
      <c r="N1397" s="183" t="s">
        <v>1950</v>
      </c>
    </row>
    <row r="1398" spans="1:14" ht="27" hidden="1">
      <c r="A1398" s="140" t="str">
        <f t="shared" si="21"/>
        <v>17301-43667-07-L5E</v>
      </c>
      <c r="B1398" s="162" t="s">
        <v>1118</v>
      </c>
      <c r="D1398" s="162" t="s">
        <v>1124</v>
      </c>
      <c r="E1398" s="162" t="s">
        <v>1598</v>
      </c>
      <c r="F1398" s="171">
        <v>61125</v>
      </c>
      <c r="G1398" s="141" t="s">
        <v>1604</v>
      </c>
      <c r="H1398" s="174">
        <v>7</v>
      </c>
      <c r="I1398" s="188" t="s">
        <v>815</v>
      </c>
      <c r="K1398" s="174">
        <v>6484</v>
      </c>
      <c r="M1398" s="217" t="s">
        <v>303</v>
      </c>
      <c r="N1398" s="183" t="s">
        <v>1951</v>
      </c>
    </row>
    <row r="1399" spans="1:14" ht="27" hidden="1">
      <c r="A1399" s="140" t="str">
        <f t="shared" si="21"/>
        <v>17301-43667-07-L5E2</v>
      </c>
      <c r="B1399" s="162" t="s">
        <v>1118</v>
      </c>
      <c r="D1399" s="162" t="s">
        <v>1124</v>
      </c>
      <c r="E1399" s="162" t="s">
        <v>1598</v>
      </c>
      <c r="F1399" s="171">
        <v>61125</v>
      </c>
      <c r="G1399" s="141" t="s">
        <v>1604</v>
      </c>
      <c r="H1399" s="174">
        <v>7</v>
      </c>
      <c r="I1399" s="188" t="s">
        <v>838</v>
      </c>
      <c r="K1399" s="174">
        <v>305</v>
      </c>
      <c r="M1399" s="217" t="s">
        <v>303</v>
      </c>
      <c r="N1399" s="183" t="s">
        <v>1951</v>
      </c>
    </row>
    <row r="1400" spans="1:14" ht="27" hidden="1">
      <c r="A1400" s="140" t="str">
        <f t="shared" ref="A1400:A1463" si="22">G1400&amp;"-"&amp;TEXT(H1400,"00")&amp;"-"&amp;I1400</f>
        <v>17301-43667-07-L6F</v>
      </c>
      <c r="B1400" s="162" t="s">
        <v>1118</v>
      </c>
      <c r="D1400" s="162" t="s">
        <v>1124</v>
      </c>
      <c r="E1400" s="162" t="s">
        <v>1598</v>
      </c>
      <c r="F1400" s="171">
        <v>61125</v>
      </c>
      <c r="G1400" s="141" t="s">
        <v>1604</v>
      </c>
      <c r="H1400" s="174">
        <v>7</v>
      </c>
      <c r="I1400" s="188" t="s">
        <v>880</v>
      </c>
      <c r="K1400" s="174">
        <v>6183</v>
      </c>
      <c r="M1400" s="217" t="s">
        <v>303</v>
      </c>
      <c r="N1400" s="183" t="s">
        <v>1951</v>
      </c>
    </row>
    <row r="1401" spans="1:14" ht="27" hidden="1">
      <c r="A1401" s="140" t="str">
        <f t="shared" si="22"/>
        <v>17301-43667-07-L8EV</v>
      </c>
      <c r="B1401" s="162" t="s">
        <v>1118</v>
      </c>
      <c r="D1401" s="162" t="s">
        <v>1124</v>
      </c>
      <c r="E1401" s="162" t="s">
        <v>1598</v>
      </c>
      <c r="F1401" s="171">
        <v>61125</v>
      </c>
      <c r="G1401" s="141" t="s">
        <v>1604</v>
      </c>
      <c r="H1401" s="174">
        <v>7</v>
      </c>
      <c r="I1401" s="188" t="s">
        <v>531</v>
      </c>
      <c r="K1401" s="174">
        <v>8942</v>
      </c>
      <c r="M1401" s="217" t="s">
        <v>303</v>
      </c>
      <c r="N1401" s="183" t="s">
        <v>1951</v>
      </c>
    </row>
    <row r="1402" spans="1:14" ht="27" hidden="1">
      <c r="A1402" s="140" t="str">
        <f t="shared" si="22"/>
        <v>17301-43667-07-L8EV2</v>
      </c>
      <c r="B1402" s="162" t="s">
        <v>1118</v>
      </c>
      <c r="D1402" s="162" t="s">
        <v>1124</v>
      </c>
      <c r="E1402" s="162" t="s">
        <v>1598</v>
      </c>
      <c r="F1402" s="171">
        <v>61125</v>
      </c>
      <c r="G1402" s="141" t="s">
        <v>1604</v>
      </c>
      <c r="H1402" s="174">
        <v>7</v>
      </c>
      <c r="I1402" s="188" t="s">
        <v>539</v>
      </c>
      <c r="K1402" s="174">
        <v>680</v>
      </c>
      <c r="M1402" s="217" t="s">
        <v>303</v>
      </c>
      <c r="N1402" s="183" t="s">
        <v>1951</v>
      </c>
    </row>
    <row r="1403" spans="1:14" ht="27" hidden="1">
      <c r="A1403" s="140" t="str">
        <f t="shared" si="22"/>
        <v>17301-43667-07-L9ER</v>
      </c>
      <c r="B1403" s="162" t="s">
        <v>1118</v>
      </c>
      <c r="D1403" s="162" t="s">
        <v>1124</v>
      </c>
      <c r="E1403" s="162" t="s">
        <v>1598</v>
      </c>
      <c r="F1403" s="171">
        <v>61125</v>
      </c>
      <c r="G1403" s="141" t="s">
        <v>1604</v>
      </c>
      <c r="H1403" s="174">
        <v>7</v>
      </c>
      <c r="I1403" s="188" t="s">
        <v>532</v>
      </c>
      <c r="K1403" s="174">
        <v>8226</v>
      </c>
      <c r="M1403" s="217" t="s">
        <v>303</v>
      </c>
      <c r="N1403" s="183" t="s">
        <v>1951</v>
      </c>
    </row>
    <row r="1404" spans="1:14" ht="27" hidden="1">
      <c r="A1404" s="140" t="str">
        <f t="shared" si="22"/>
        <v>17301-43667-07-L9ER2</v>
      </c>
      <c r="B1404" s="162" t="s">
        <v>1118</v>
      </c>
      <c r="D1404" s="162" t="s">
        <v>1124</v>
      </c>
      <c r="E1404" s="162" t="s">
        <v>1598</v>
      </c>
      <c r="F1404" s="171">
        <v>61125</v>
      </c>
      <c r="G1404" s="141" t="s">
        <v>1604</v>
      </c>
      <c r="H1404" s="174">
        <v>7</v>
      </c>
      <c r="I1404" s="188" t="s">
        <v>540</v>
      </c>
      <c r="K1404" s="174">
        <v>228</v>
      </c>
      <c r="M1404" s="217" t="s">
        <v>303</v>
      </c>
      <c r="N1404" s="183" t="s">
        <v>1951</v>
      </c>
    </row>
    <row r="1405" spans="1:14" ht="27" hidden="1">
      <c r="A1405" s="140" t="str">
        <f t="shared" si="22"/>
        <v>17301-43667-07-L9EV</v>
      </c>
      <c r="B1405" s="162" t="s">
        <v>1118</v>
      </c>
      <c r="D1405" s="162" t="s">
        <v>1124</v>
      </c>
      <c r="E1405" s="162" t="s">
        <v>1598</v>
      </c>
      <c r="F1405" s="171">
        <v>61125</v>
      </c>
      <c r="G1405" s="141" t="s">
        <v>1604</v>
      </c>
      <c r="H1405" s="174">
        <v>7</v>
      </c>
      <c r="I1405" s="188" t="s">
        <v>510</v>
      </c>
      <c r="K1405" s="174">
        <v>8289</v>
      </c>
      <c r="M1405" s="217" t="s">
        <v>303</v>
      </c>
      <c r="N1405" s="183" t="s">
        <v>1951</v>
      </c>
    </row>
    <row r="1406" spans="1:14" ht="27" hidden="1">
      <c r="A1406" s="140" t="str">
        <f t="shared" si="22"/>
        <v>17301-43667-07-L9EV2</v>
      </c>
      <c r="B1406" s="162" t="s">
        <v>1118</v>
      </c>
      <c r="D1406" s="162" t="s">
        <v>1124</v>
      </c>
      <c r="E1406" s="162" t="s">
        <v>1598</v>
      </c>
      <c r="F1406" s="171">
        <v>61125</v>
      </c>
      <c r="G1406" s="141" t="s">
        <v>1604</v>
      </c>
      <c r="H1406" s="174">
        <v>7</v>
      </c>
      <c r="I1406" s="188" t="s">
        <v>541</v>
      </c>
      <c r="K1406" s="174">
        <v>606</v>
      </c>
      <c r="M1406" s="217" t="s">
        <v>303</v>
      </c>
      <c r="N1406" s="183" t="s">
        <v>1951</v>
      </c>
    </row>
    <row r="1407" spans="1:14" ht="40.5" hidden="1">
      <c r="A1407" s="140" t="str">
        <f t="shared" si="22"/>
        <v>17301-43671-00-L5E</v>
      </c>
      <c r="B1407" s="162" t="s">
        <v>1118</v>
      </c>
      <c r="D1407" s="162" t="s">
        <v>1124</v>
      </c>
      <c r="E1407" s="162" t="s">
        <v>1635</v>
      </c>
      <c r="F1407" s="171">
        <v>63034</v>
      </c>
      <c r="G1407" s="141" t="s">
        <v>1634</v>
      </c>
      <c r="H1407" s="174">
        <v>0</v>
      </c>
      <c r="I1407" s="188" t="s">
        <v>815</v>
      </c>
      <c r="J1407" s="174">
        <v>7312</v>
      </c>
      <c r="K1407" s="174">
        <v>7312</v>
      </c>
      <c r="M1407" s="217" t="s">
        <v>1196</v>
      </c>
      <c r="N1407" s="183" t="s">
        <v>1952</v>
      </c>
    </row>
    <row r="1408" spans="1:14" ht="40.5" hidden="1">
      <c r="A1408" s="140" t="str">
        <f t="shared" si="22"/>
        <v>17301-43671-00-L5E2</v>
      </c>
      <c r="B1408" s="162" t="s">
        <v>1118</v>
      </c>
      <c r="D1408" s="162" t="s">
        <v>1124</v>
      </c>
      <c r="E1408" s="162" t="s">
        <v>1635</v>
      </c>
      <c r="F1408" s="171">
        <v>63034</v>
      </c>
      <c r="G1408" s="141" t="s">
        <v>1634</v>
      </c>
      <c r="H1408" s="174">
        <v>0</v>
      </c>
      <c r="I1408" s="188" t="s">
        <v>838</v>
      </c>
      <c r="J1408" s="174">
        <v>431</v>
      </c>
      <c r="K1408" s="174">
        <v>431</v>
      </c>
      <c r="M1408" s="217" t="s">
        <v>1196</v>
      </c>
      <c r="N1408" s="183" t="s">
        <v>1952</v>
      </c>
    </row>
    <row r="1409" spans="1:15" ht="40.5" hidden="1">
      <c r="A1409" s="140" t="str">
        <f t="shared" si="22"/>
        <v>17301-43671-00-L6F</v>
      </c>
      <c r="B1409" s="162" t="s">
        <v>1118</v>
      </c>
      <c r="D1409" s="162" t="s">
        <v>1124</v>
      </c>
      <c r="E1409" s="162" t="s">
        <v>1635</v>
      </c>
      <c r="F1409" s="171">
        <v>63034</v>
      </c>
      <c r="G1409" s="141" t="s">
        <v>1634</v>
      </c>
      <c r="H1409" s="174">
        <v>0</v>
      </c>
      <c r="I1409" s="188" t="s">
        <v>880</v>
      </c>
      <c r="J1409" s="174">
        <v>12781</v>
      </c>
      <c r="K1409" s="174">
        <v>12781</v>
      </c>
      <c r="M1409" s="217" t="s">
        <v>1196</v>
      </c>
      <c r="N1409" s="183" t="s">
        <v>1952</v>
      </c>
    </row>
    <row r="1410" spans="1:15" ht="40.5" hidden="1">
      <c r="A1410" s="140" t="str">
        <f t="shared" si="22"/>
        <v>17301-43671-00-L8EV</v>
      </c>
      <c r="B1410" s="162" t="s">
        <v>1118</v>
      </c>
      <c r="D1410" s="162" t="s">
        <v>1124</v>
      </c>
      <c r="E1410" s="162" t="s">
        <v>1635</v>
      </c>
      <c r="F1410" s="171">
        <v>63034</v>
      </c>
      <c r="G1410" s="141" t="s">
        <v>1634</v>
      </c>
      <c r="H1410" s="174">
        <v>0</v>
      </c>
      <c r="I1410" s="188" t="s">
        <v>531</v>
      </c>
      <c r="J1410" s="174">
        <v>11317</v>
      </c>
      <c r="K1410" s="174" t="s">
        <v>512</v>
      </c>
      <c r="M1410" s="217" t="s">
        <v>1196</v>
      </c>
      <c r="N1410" s="183" t="s">
        <v>1952</v>
      </c>
    </row>
    <row r="1411" spans="1:15" ht="40.5" hidden="1">
      <c r="A1411" s="140" t="str">
        <f t="shared" si="22"/>
        <v>17301-43671-00-L8EV2</v>
      </c>
      <c r="B1411" s="162" t="s">
        <v>1118</v>
      </c>
      <c r="D1411" s="162" t="s">
        <v>1124</v>
      </c>
      <c r="E1411" s="162" t="s">
        <v>1635</v>
      </c>
      <c r="F1411" s="171">
        <v>63034</v>
      </c>
      <c r="G1411" s="141" t="s">
        <v>1634</v>
      </c>
      <c r="H1411" s="174">
        <v>0</v>
      </c>
      <c r="I1411" s="188" t="s">
        <v>539</v>
      </c>
      <c r="J1411" s="174">
        <v>1140</v>
      </c>
      <c r="K1411" s="174">
        <v>1140</v>
      </c>
      <c r="M1411" s="217" t="s">
        <v>1196</v>
      </c>
      <c r="N1411" s="183" t="s">
        <v>1952</v>
      </c>
    </row>
    <row r="1412" spans="1:15" ht="40.5" hidden="1">
      <c r="A1412" s="140" t="str">
        <f t="shared" si="22"/>
        <v>17301-43671-00-L9ER</v>
      </c>
      <c r="B1412" s="162" t="s">
        <v>1118</v>
      </c>
      <c r="D1412" s="162" t="s">
        <v>1124</v>
      </c>
      <c r="E1412" s="162" t="s">
        <v>1635</v>
      </c>
      <c r="F1412" s="171">
        <v>63034</v>
      </c>
      <c r="G1412" s="141" t="s">
        <v>1634</v>
      </c>
      <c r="H1412" s="174">
        <v>0</v>
      </c>
      <c r="I1412" s="188" t="s">
        <v>532</v>
      </c>
      <c r="J1412" s="174">
        <v>10247</v>
      </c>
      <c r="K1412" s="174">
        <v>10247</v>
      </c>
      <c r="M1412" s="217" t="s">
        <v>1196</v>
      </c>
      <c r="N1412" s="183" t="s">
        <v>1952</v>
      </c>
    </row>
    <row r="1413" spans="1:15" ht="40.5" hidden="1">
      <c r="A1413" s="140" t="str">
        <f t="shared" si="22"/>
        <v>17301-43671-00-L9ER2</v>
      </c>
      <c r="B1413" s="162" t="s">
        <v>1118</v>
      </c>
      <c r="D1413" s="162" t="s">
        <v>1124</v>
      </c>
      <c r="E1413" s="162" t="s">
        <v>1635</v>
      </c>
      <c r="F1413" s="171">
        <v>63034</v>
      </c>
      <c r="G1413" s="141" t="s">
        <v>1634</v>
      </c>
      <c r="H1413" s="174">
        <v>0</v>
      </c>
      <c r="I1413" s="188" t="s">
        <v>540</v>
      </c>
      <c r="J1413" s="174">
        <v>370</v>
      </c>
      <c r="K1413" s="174" t="s">
        <v>512</v>
      </c>
      <c r="M1413" s="217" t="s">
        <v>1196</v>
      </c>
      <c r="N1413" s="183" t="s">
        <v>1952</v>
      </c>
    </row>
    <row r="1414" spans="1:15" ht="40.5" hidden="1">
      <c r="A1414" s="140" t="str">
        <f t="shared" si="22"/>
        <v>17301-43671-00-L9EV</v>
      </c>
      <c r="B1414" s="162" t="s">
        <v>1118</v>
      </c>
      <c r="D1414" s="162" t="s">
        <v>1124</v>
      </c>
      <c r="E1414" s="162" t="s">
        <v>1635</v>
      </c>
      <c r="F1414" s="171">
        <v>63034</v>
      </c>
      <c r="G1414" s="141" t="s">
        <v>1634</v>
      </c>
      <c r="H1414" s="174">
        <v>0</v>
      </c>
      <c r="I1414" s="188" t="s">
        <v>510</v>
      </c>
      <c r="J1414" s="174">
        <v>11114</v>
      </c>
      <c r="K1414" s="174">
        <v>11114</v>
      </c>
      <c r="M1414" s="217" t="s">
        <v>1196</v>
      </c>
      <c r="N1414" s="183" t="s">
        <v>1952</v>
      </c>
    </row>
    <row r="1415" spans="1:15" ht="40.5" hidden="1">
      <c r="A1415" s="140" t="str">
        <f t="shared" si="22"/>
        <v>17301-43671-00-L9EV2</v>
      </c>
      <c r="B1415" s="162" t="s">
        <v>1118</v>
      </c>
      <c r="D1415" s="162" t="s">
        <v>1124</v>
      </c>
      <c r="E1415" s="162" t="s">
        <v>1635</v>
      </c>
      <c r="F1415" s="171">
        <v>63034</v>
      </c>
      <c r="G1415" s="141" t="s">
        <v>1634</v>
      </c>
      <c r="H1415" s="174">
        <v>0</v>
      </c>
      <c r="I1415" s="188" t="s">
        <v>541</v>
      </c>
      <c r="J1415" s="174">
        <v>1342</v>
      </c>
      <c r="K1415" s="174">
        <v>1342</v>
      </c>
      <c r="M1415" s="217" t="s">
        <v>1196</v>
      </c>
      <c r="N1415" s="183" t="s">
        <v>1952</v>
      </c>
    </row>
    <row r="1416" spans="1:15" hidden="1">
      <c r="A1416" s="140" t="str">
        <f t="shared" si="22"/>
        <v>17301-43691-00-A3F</v>
      </c>
      <c r="B1416" s="162" t="s">
        <v>1118</v>
      </c>
      <c r="D1416" s="162" t="s">
        <v>1122</v>
      </c>
      <c r="E1416" s="162" t="s">
        <v>601</v>
      </c>
      <c r="F1416" s="171">
        <v>55360</v>
      </c>
      <c r="G1416" s="141" t="s">
        <v>1152</v>
      </c>
      <c r="H1416" s="174">
        <v>0</v>
      </c>
      <c r="I1416" s="186" t="s">
        <v>1150</v>
      </c>
      <c r="K1416" s="174">
        <v>468</v>
      </c>
      <c r="M1416" s="217" t="s">
        <v>47</v>
      </c>
      <c r="N1416" s="183" t="s">
        <v>1953</v>
      </c>
    </row>
    <row r="1417" spans="1:15" hidden="1">
      <c r="A1417" s="140" t="str">
        <f t="shared" si="22"/>
        <v>17301-43691-01-A3F</v>
      </c>
      <c r="B1417" s="162" t="s">
        <v>1118</v>
      </c>
      <c r="D1417" s="162" t="s">
        <v>1122</v>
      </c>
      <c r="E1417" s="162" t="s">
        <v>601</v>
      </c>
      <c r="F1417" s="171">
        <v>61597</v>
      </c>
      <c r="G1417" s="141" t="s">
        <v>1152</v>
      </c>
      <c r="H1417" s="174">
        <v>1</v>
      </c>
      <c r="I1417" s="186" t="s">
        <v>1150</v>
      </c>
      <c r="K1417" s="174">
        <v>670</v>
      </c>
      <c r="M1417" s="217" t="s">
        <v>1155</v>
      </c>
      <c r="N1417" s="183" t="s">
        <v>1954</v>
      </c>
    </row>
    <row r="1418" spans="1:15" hidden="1">
      <c r="A1418" s="140" t="str">
        <f t="shared" si="22"/>
        <v>17301-43691-02-A3F</v>
      </c>
      <c r="B1418" s="162" t="s">
        <v>1118</v>
      </c>
      <c r="D1418" s="162" t="s">
        <v>1122</v>
      </c>
      <c r="E1418" s="162" t="s">
        <v>601</v>
      </c>
      <c r="F1418" s="171">
        <v>62887</v>
      </c>
      <c r="G1418" s="141" t="s">
        <v>1152</v>
      </c>
      <c r="H1418" s="174">
        <v>2</v>
      </c>
      <c r="I1418" s="210" t="s">
        <v>1150</v>
      </c>
      <c r="J1418" s="174">
        <v>699</v>
      </c>
      <c r="M1418" s="217" t="s">
        <v>1156</v>
      </c>
      <c r="N1418" s="183" t="s">
        <v>1955</v>
      </c>
      <c r="O1418" s="143" t="s">
        <v>1151</v>
      </c>
    </row>
    <row r="1419" spans="1:15" hidden="1">
      <c r="A1419" s="140" t="str">
        <f t="shared" si="22"/>
        <v>17301-43695-00-C10-5</v>
      </c>
      <c r="B1419" s="162" t="s">
        <v>1118</v>
      </c>
      <c r="D1419" s="162" t="s">
        <v>1124</v>
      </c>
      <c r="E1419" s="162" t="s">
        <v>1598</v>
      </c>
      <c r="F1419" s="171">
        <v>62602</v>
      </c>
      <c r="G1419" s="141" t="s">
        <v>1125</v>
      </c>
      <c r="H1419" s="174">
        <v>0</v>
      </c>
      <c r="I1419" s="186" t="s">
        <v>1602</v>
      </c>
      <c r="K1419" s="174">
        <v>5</v>
      </c>
      <c r="N1419" s="183" t="s">
        <v>1945</v>
      </c>
    </row>
    <row r="1420" spans="1:15" hidden="1">
      <c r="A1420" s="140" t="str">
        <f t="shared" si="22"/>
        <v>17301-43695-00-C9-5</v>
      </c>
      <c r="B1420" s="162" t="s">
        <v>1118</v>
      </c>
      <c r="D1420" s="162" t="s">
        <v>1124</v>
      </c>
      <c r="E1420" s="162" t="s">
        <v>1598</v>
      </c>
      <c r="F1420" s="171">
        <v>62602</v>
      </c>
      <c r="G1420" s="141" t="s">
        <v>1125</v>
      </c>
      <c r="H1420" s="174">
        <v>0</v>
      </c>
      <c r="I1420" s="186" t="s">
        <v>1603</v>
      </c>
      <c r="K1420" s="174">
        <v>2</v>
      </c>
      <c r="N1420" s="183" t="s">
        <v>1945</v>
      </c>
    </row>
    <row r="1421" spans="1:15" hidden="1">
      <c r="A1421" s="140" t="str">
        <f t="shared" si="22"/>
        <v>17301-43695-01-C10-5</v>
      </c>
      <c r="B1421" s="162" t="s">
        <v>1118</v>
      </c>
      <c r="D1421" s="162" t="s">
        <v>1124</v>
      </c>
      <c r="E1421" s="162" t="s">
        <v>1598</v>
      </c>
      <c r="F1421" s="171">
        <v>63187</v>
      </c>
      <c r="G1421" s="141" t="s">
        <v>1125</v>
      </c>
      <c r="H1421" s="174">
        <v>1</v>
      </c>
      <c r="I1421" s="186" t="s">
        <v>1602</v>
      </c>
      <c r="K1421" s="174" t="s">
        <v>1588</v>
      </c>
      <c r="N1421" s="183" t="s">
        <v>1956</v>
      </c>
    </row>
    <row r="1422" spans="1:15" hidden="1">
      <c r="A1422" s="140" t="str">
        <f t="shared" si="22"/>
        <v>17301-43695-01-C9-5</v>
      </c>
      <c r="B1422" s="162" t="s">
        <v>1118</v>
      </c>
      <c r="D1422" s="162" t="s">
        <v>1124</v>
      </c>
      <c r="E1422" s="162" t="s">
        <v>1598</v>
      </c>
      <c r="F1422" s="171">
        <v>63187</v>
      </c>
      <c r="G1422" s="141" t="s">
        <v>1125</v>
      </c>
      <c r="H1422" s="174">
        <v>1</v>
      </c>
      <c r="I1422" s="186" t="s">
        <v>1603</v>
      </c>
      <c r="K1422" s="174" t="s">
        <v>1588</v>
      </c>
      <c r="N1422" s="183" t="s">
        <v>1956</v>
      </c>
    </row>
    <row r="1423" spans="1:15" hidden="1">
      <c r="A1423" s="140" t="str">
        <f t="shared" si="22"/>
        <v>17301-43820-00-J7B</v>
      </c>
      <c r="B1423" s="162" t="s">
        <v>1118</v>
      </c>
      <c r="D1423" s="162" t="s">
        <v>1122</v>
      </c>
      <c r="E1423" s="162" t="s">
        <v>1587</v>
      </c>
      <c r="F1423" s="171" t="s">
        <v>1567</v>
      </c>
      <c r="G1423" s="141" t="s">
        <v>1562</v>
      </c>
      <c r="H1423" s="174">
        <v>0</v>
      </c>
      <c r="I1423" s="186" t="s">
        <v>199</v>
      </c>
      <c r="K1423" s="174" t="s">
        <v>1588</v>
      </c>
      <c r="M1423" s="217" t="s">
        <v>47</v>
      </c>
    </row>
    <row r="1424" spans="1:15" hidden="1">
      <c r="A1424" s="140" t="str">
        <f t="shared" si="22"/>
        <v>17301-43820-00-J10B</v>
      </c>
      <c r="B1424" s="162" t="s">
        <v>1118</v>
      </c>
      <c r="D1424" s="162" t="s">
        <v>1122</v>
      </c>
      <c r="E1424" s="162" t="s">
        <v>1587</v>
      </c>
      <c r="F1424" s="171" t="s">
        <v>1567</v>
      </c>
      <c r="G1424" s="141" t="s">
        <v>1562</v>
      </c>
      <c r="H1424" s="174">
        <v>0</v>
      </c>
      <c r="I1424" s="186" t="s">
        <v>943</v>
      </c>
      <c r="K1424" s="174" t="s">
        <v>1588</v>
      </c>
      <c r="M1424" s="217" t="s">
        <v>47</v>
      </c>
    </row>
    <row r="1425" spans="1:14" hidden="1">
      <c r="A1425" s="140" t="str">
        <f t="shared" si="22"/>
        <v>17301-43820-01-J7B</v>
      </c>
      <c r="B1425" s="162" t="s">
        <v>1118</v>
      </c>
      <c r="D1425" s="162" t="s">
        <v>1122</v>
      </c>
      <c r="E1425" s="162" t="s">
        <v>1587</v>
      </c>
      <c r="F1425" s="171">
        <v>54648</v>
      </c>
      <c r="G1425" s="141" t="s">
        <v>1562</v>
      </c>
      <c r="H1425" s="174">
        <v>1</v>
      </c>
      <c r="I1425" s="186" t="s">
        <v>199</v>
      </c>
      <c r="K1425" s="174">
        <v>132</v>
      </c>
      <c r="M1425" s="217" t="s">
        <v>47</v>
      </c>
      <c r="N1425" s="183" t="s">
        <v>1957</v>
      </c>
    </row>
    <row r="1426" spans="1:14" hidden="1">
      <c r="A1426" s="140" t="str">
        <f t="shared" si="22"/>
        <v>17301-43820-01-J10B</v>
      </c>
      <c r="B1426" s="162" t="s">
        <v>1118</v>
      </c>
      <c r="D1426" s="162" t="s">
        <v>1122</v>
      </c>
      <c r="E1426" s="162" t="s">
        <v>1587</v>
      </c>
      <c r="F1426" s="171">
        <v>54648</v>
      </c>
      <c r="G1426" s="141" t="s">
        <v>1562</v>
      </c>
      <c r="H1426" s="174">
        <v>1</v>
      </c>
      <c r="I1426" s="186" t="s">
        <v>943</v>
      </c>
      <c r="K1426" s="174">
        <v>8</v>
      </c>
      <c r="M1426" s="217" t="s">
        <v>47</v>
      </c>
      <c r="N1426" s="183" t="s">
        <v>1957</v>
      </c>
    </row>
    <row r="1427" spans="1:14" hidden="1">
      <c r="A1427" s="140" t="str">
        <f t="shared" si="22"/>
        <v>17301-43820-02-J10B</v>
      </c>
      <c r="B1427" s="162" t="s">
        <v>1118</v>
      </c>
      <c r="D1427" s="162" t="s">
        <v>1122</v>
      </c>
      <c r="E1427" s="162" t="s">
        <v>1587</v>
      </c>
      <c r="F1427" s="171">
        <v>55139</v>
      </c>
      <c r="G1427" s="141" t="s">
        <v>1562</v>
      </c>
      <c r="H1427" s="174">
        <v>2</v>
      </c>
      <c r="I1427" s="186" t="s">
        <v>943</v>
      </c>
      <c r="K1427" s="174">
        <v>8</v>
      </c>
      <c r="M1427" s="217" t="s">
        <v>47</v>
      </c>
      <c r="N1427" s="183" t="s">
        <v>1958</v>
      </c>
    </row>
    <row r="1428" spans="1:14" hidden="1">
      <c r="A1428" s="140" t="str">
        <f t="shared" si="22"/>
        <v>17301-43820-03-J7B</v>
      </c>
      <c r="B1428" s="162" t="s">
        <v>1118</v>
      </c>
      <c r="D1428" s="162" t="s">
        <v>1122</v>
      </c>
      <c r="E1428" s="162" t="s">
        <v>1587</v>
      </c>
      <c r="F1428" s="171">
        <v>54721</v>
      </c>
      <c r="G1428" s="141" t="s">
        <v>1562</v>
      </c>
      <c r="H1428" s="174">
        <v>3</v>
      </c>
      <c r="I1428" s="186" t="s">
        <v>199</v>
      </c>
      <c r="K1428" s="174">
        <v>153</v>
      </c>
      <c r="M1428" s="217" t="s">
        <v>1441</v>
      </c>
      <c r="N1428" s="183" t="s">
        <v>1959</v>
      </c>
    </row>
    <row r="1429" spans="1:14" hidden="1">
      <c r="A1429" s="140" t="str">
        <f t="shared" si="22"/>
        <v>17301-43820-03-J10B</v>
      </c>
      <c r="B1429" s="162" t="s">
        <v>1118</v>
      </c>
      <c r="D1429" s="162" t="s">
        <v>1122</v>
      </c>
      <c r="E1429" s="162" t="s">
        <v>1587</v>
      </c>
      <c r="F1429" s="171">
        <v>54721</v>
      </c>
      <c r="G1429" s="141" t="s">
        <v>1562</v>
      </c>
      <c r="H1429" s="174">
        <v>3</v>
      </c>
      <c r="I1429" s="186" t="s">
        <v>943</v>
      </c>
      <c r="K1429" s="174">
        <v>8</v>
      </c>
      <c r="M1429" s="217" t="s">
        <v>1441</v>
      </c>
      <c r="N1429" s="183" t="s">
        <v>1959</v>
      </c>
    </row>
    <row r="1430" spans="1:14" ht="27" hidden="1">
      <c r="A1430" s="140" t="str">
        <f t="shared" si="22"/>
        <v>17301-43820-04-J7B</v>
      </c>
      <c r="B1430" s="162" t="s">
        <v>1118</v>
      </c>
      <c r="D1430" s="162" t="s">
        <v>1122</v>
      </c>
      <c r="E1430" s="162" t="s">
        <v>1587</v>
      </c>
      <c r="F1430" s="171">
        <v>55521</v>
      </c>
      <c r="G1430" s="141" t="s">
        <v>1562</v>
      </c>
      <c r="H1430" s="174">
        <v>4</v>
      </c>
      <c r="I1430" s="186" t="s">
        <v>199</v>
      </c>
      <c r="K1430" s="174" t="s">
        <v>1588</v>
      </c>
      <c r="M1430" s="217" t="s">
        <v>1589</v>
      </c>
      <c r="N1430" s="183" t="s">
        <v>1960</v>
      </c>
    </row>
    <row r="1431" spans="1:14" ht="27" hidden="1">
      <c r="A1431" s="140" t="str">
        <f t="shared" si="22"/>
        <v>17301-43820-04-J10B</v>
      </c>
      <c r="B1431" s="162" t="s">
        <v>1118</v>
      </c>
      <c r="D1431" s="162" t="s">
        <v>1122</v>
      </c>
      <c r="E1431" s="162" t="s">
        <v>1587</v>
      </c>
      <c r="F1431" s="171">
        <v>55521</v>
      </c>
      <c r="G1431" s="141" t="s">
        <v>1562</v>
      </c>
      <c r="H1431" s="174">
        <v>4</v>
      </c>
      <c r="I1431" s="186" t="s">
        <v>943</v>
      </c>
      <c r="K1431" s="174" t="s">
        <v>1588</v>
      </c>
      <c r="M1431" s="217" t="s">
        <v>1589</v>
      </c>
      <c r="N1431" s="183" t="s">
        <v>1960</v>
      </c>
    </row>
    <row r="1432" spans="1:14" ht="40.5" hidden="1">
      <c r="A1432" s="140" t="str">
        <f t="shared" si="22"/>
        <v>17301-43820-05-J7B</v>
      </c>
      <c r="B1432" s="162" t="s">
        <v>1118</v>
      </c>
      <c r="D1432" s="162" t="s">
        <v>1122</v>
      </c>
      <c r="E1432" s="162" t="s">
        <v>1587</v>
      </c>
      <c r="F1432" s="171">
        <v>60217</v>
      </c>
      <c r="G1432" s="141" t="s">
        <v>1562</v>
      </c>
      <c r="H1432" s="174">
        <v>5</v>
      </c>
      <c r="I1432" s="186" t="s">
        <v>199</v>
      </c>
      <c r="K1432" s="174">
        <v>1369</v>
      </c>
      <c r="M1432" s="217" t="s">
        <v>1591</v>
      </c>
      <c r="N1432" s="183" t="s">
        <v>1961</v>
      </c>
    </row>
    <row r="1433" spans="1:14" ht="40.5" hidden="1">
      <c r="A1433" s="140" t="str">
        <f t="shared" si="22"/>
        <v>17301-43820-05-J10B</v>
      </c>
      <c r="B1433" s="162" t="s">
        <v>1118</v>
      </c>
      <c r="D1433" s="162" t="s">
        <v>1122</v>
      </c>
      <c r="E1433" s="162" t="s">
        <v>1587</v>
      </c>
      <c r="F1433" s="171">
        <v>60217</v>
      </c>
      <c r="G1433" s="141" t="s">
        <v>1562</v>
      </c>
      <c r="H1433" s="174">
        <v>5</v>
      </c>
      <c r="I1433" s="186" t="s">
        <v>943</v>
      </c>
      <c r="K1433" s="174">
        <v>577</v>
      </c>
      <c r="M1433" s="217" t="s">
        <v>1591</v>
      </c>
      <c r="N1433" s="183" t="s">
        <v>1961</v>
      </c>
    </row>
    <row r="1434" spans="1:14" ht="40.5" hidden="1">
      <c r="A1434" s="140" t="str">
        <f t="shared" si="22"/>
        <v>17301-43820-06-J7B</v>
      </c>
      <c r="B1434" s="162" t="s">
        <v>1118</v>
      </c>
      <c r="D1434" s="162" t="s">
        <v>1122</v>
      </c>
      <c r="E1434" s="162" t="s">
        <v>1587</v>
      </c>
      <c r="F1434" s="171">
        <v>62539</v>
      </c>
      <c r="G1434" s="141" t="s">
        <v>1562</v>
      </c>
      <c r="H1434" s="174">
        <v>6</v>
      </c>
      <c r="I1434" s="186" t="s">
        <v>199</v>
      </c>
      <c r="K1434" s="174">
        <v>2211</v>
      </c>
      <c r="M1434" s="217" t="s">
        <v>1586</v>
      </c>
      <c r="N1434" s="183" t="s">
        <v>1962</v>
      </c>
    </row>
    <row r="1435" spans="1:14" ht="40.5" hidden="1">
      <c r="A1435" s="140" t="str">
        <f t="shared" si="22"/>
        <v>17301-43820-06-J10B</v>
      </c>
      <c r="B1435" s="162" t="s">
        <v>1118</v>
      </c>
      <c r="D1435" s="162" t="s">
        <v>1122</v>
      </c>
      <c r="E1435" s="162" t="s">
        <v>1587</v>
      </c>
      <c r="F1435" s="171">
        <v>62539</v>
      </c>
      <c r="G1435" s="141" t="s">
        <v>1562</v>
      </c>
      <c r="H1435" s="174">
        <v>6</v>
      </c>
      <c r="I1435" s="186" t="s">
        <v>943</v>
      </c>
      <c r="K1435" s="174">
        <v>1469</v>
      </c>
      <c r="M1435" s="217" t="s">
        <v>1586</v>
      </c>
      <c r="N1435" s="183" t="s">
        <v>1962</v>
      </c>
    </row>
    <row r="1436" spans="1:14" hidden="1">
      <c r="A1436" s="140" t="str">
        <f t="shared" si="22"/>
        <v>17301-43820-07-J7B</v>
      </c>
      <c r="B1436" s="162" t="s">
        <v>1118</v>
      </c>
      <c r="D1436" s="162" t="s">
        <v>1122</v>
      </c>
      <c r="E1436" s="162" t="s">
        <v>1587</v>
      </c>
      <c r="F1436" s="171" t="s">
        <v>1574</v>
      </c>
      <c r="G1436" s="141" t="s">
        <v>1562</v>
      </c>
      <c r="H1436" s="174">
        <v>7</v>
      </c>
      <c r="I1436" s="186" t="s">
        <v>199</v>
      </c>
      <c r="K1436" s="174">
        <v>2235</v>
      </c>
      <c r="M1436" s="217" t="s">
        <v>1592</v>
      </c>
      <c r="N1436" s="183" t="s">
        <v>1963</v>
      </c>
    </row>
    <row r="1437" spans="1:14" hidden="1">
      <c r="A1437" s="140" t="str">
        <f t="shared" si="22"/>
        <v>17301-43820-07-J10B</v>
      </c>
      <c r="B1437" s="162" t="s">
        <v>1118</v>
      </c>
      <c r="D1437" s="162" t="s">
        <v>1122</v>
      </c>
      <c r="E1437" s="162" t="s">
        <v>1587</v>
      </c>
      <c r="F1437" s="171" t="s">
        <v>1574</v>
      </c>
      <c r="G1437" s="141" t="s">
        <v>1562</v>
      </c>
      <c r="H1437" s="174">
        <v>7</v>
      </c>
      <c r="I1437" s="186" t="s">
        <v>943</v>
      </c>
      <c r="K1437" s="174" t="s">
        <v>1588</v>
      </c>
      <c r="M1437" s="217" t="s">
        <v>1592</v>
      </c>
      <c r="N1437" s="183" t="s">
        <v>1963</v>
      </c>
    </row>
    <row r="1438" spans="1:14" ht="27" hidden="1">
      <c r="A1438" s="140" t="str">
        <f t="shared" si="22"/>
        <v>17301-43821-00-J7B</v>
      </c>
      <c r="B1438" s="162" t="s">
        <v>1118</v>
      </c>
      <c r="D1438" s="162" t="s">
        <v>1122</v>
      </c>
      <c r="E1438" s="162" t="s">
        <v>1706</v>
      </c>
      <c r="F1438" s="171">
        <v>61035</v>
      </c>
      <c r="G1438" s="141" t="s">
        <v>1564</v>
      </c>
      <c r="H1438" s="174">
        <v>0</v>
      </c>
      <c r="I1438" s="186" t="s">
        <v>199</v>
      </c>
      <c r="K1438" s="174" t="s">
        <v>1588</v>
      </c>
      <c r="N1438" s="183" t="s">
        <v>1964</v>
      </c>
    </row>
    <row r="1439" spans="1:14" ht="27" hidden="1">
      <c r="A1439" s="140" t="str">
        <f t="shared" si="22"/>
        <v>17301-43821-00-J10B</v>
      </c>
      <c r="B1439" s="162" t="s">
        <v>1118</v>
      </c>
      <c r="D1439" s="162" t="s">
        <v>1122</v>
      </c>
      <c r="E1439" s="162" t="s">
        <v>1706</v>
      </c>
      <c r="F1439" s="171">
        <v>61035</v>
      </c>
      <c r="G1439" s="141" t="s">
        <v>1564</v>
      </c>
      <c r="H1439" s="174">
        <v>0</v>
      </c>
      <c r="I1439" s="186" t="s">
        <v>943</v>
      </c>
      <c r="K1439" s="174" t="s">
        <v>1588</v>
      </c>
      <c r="N1439" s="183" t="s">
        <v>1964</v>
      </c>
    </row>
    <row r="1440" spans="1:14" hidden="1">
      <c r="A1440" s="140" t="str">
        <f t="shared" si="22"/>
        <v>17301-43821-01-J7B</v>
      </c>
      <c r="B1440" s="162" t="s">
        <v>1118</v>
      </c>
      <c r="D1440" s="162" t="s">
        <v>1122</v>
      </c>
      <c r="E1440" s="162" t="s">
        <v>1706</v>
      </c>
      <c r="F1440" s="171">
        <v>61445</v>
      </c>
      <c r="G1440" s="141" t="s">
        <v>1564</v>
      </c>
      <c r="H1440" s="174">
        <v>1</v>
      </c>
      <c r="I1440" s="186" t="s">
        <v>199</v>
      </c>
      <c r="K1440" s="174">
        <v>2100</v>
      </c>
      <c r="N1440" s="183" t="s">
        <v>1965</v>
      </c>
    </row>
    <row r="1441" spans="1:14" hidden="1">
      <c r="A1441" s="140" t="str">
        <f t="shared" si="22"/>
        <v>17301-43821-01-J10B</v>
      </c>
      <c r="B1441" s="162" t="s">
        <v>1118</v>
      </c>
      <c r="D1441" s="162" t="s">
        <v>1122</v>
      </c>
      <c r="E1441" s="162" t="s">
        <v>1706</v>
      </c>
      <c r="F1441" s="171">
        <v>61445</v>
      </c>
      <c r="G1441" s="141" t="s">
        <v>1564</v>
      </c>
      <c r="H1441" s="174">
        <v>1</v>
      </c>
      <c r="I1441" s="186" t="s">
        <v>943</v>
      </c>
      <c r="K1441" s="174">
        <v>1274</v>
      </c>
      <c r="N1441" s="183" t="s">
        <v>1965</v>
      </c>
    </row>
    <row r="1442" spans="1:14" ht="40.5" hidden="1">
      <c r="A1442" s="140" t="str">
        <f t="shared" si="22"/>
        <v>17301-43821-02-J7B</v>
      </c>
      <c r="B1442" s="162" t="s">
        <v>1118</v>
      </c>
      <c r="D1442" s="162" t="s">
        <v>1122</v>
      </c>
      <c r="E1442" s="162" t="s">
        <v>1706</v>
      </c>
      <c r="F1442" s="171">
        <v>62539</v>
      </c>
      <c r="G1442" s="141" t="s">
        <v>1564</v>
      </c>
      <c r="H1442" s="174">
        <v>2</v>
      </c>
      <c r="I1442" s="186" t="s">
        <v>199</v>
      </c>
      <c r="K1442" s="174">
        <v>1469</v>
      </c>
      <c r="M1442" s="217" t="s">
        <v>1441</v>
      </c>
      <c r="N1442" s="183" t="s">
        <v>1962</v>
      </c>
    </row>
    <row r="1443" spans="1:14" ht="40.5" hidden="1">
      <c r="A1443" s="140" t="str">
        <f t="shared" si="22"/>
        <v>17301-43821-02-J10B</v>
      </c>
      <c r="B1443" s="162" t="s">
        <v>1118</v>
      </c>
      <c r="D1443" s="162" t="s">
        <v>1122</v>
      </c>
      <c r="E1443" s="162" t="s">
        <v>1706</v>
      </c>
      <c r="F1443" s="171">
        <v>62539</v>
      </c>
      <c r="G1443" s="141" t="s">
        <v>1564</v>
      </c>
      <c r="H1443" s="174">
        <v>2</v>
      </c>
      <c r="I1443" s="186" t="s">
        <v>943</v>
      </c>
      <c r="K1443" s="174">
        <v>2211</v>
      </c>
      <c r="M1443" s="217" t="s">
        <v>1441</v>
      </c>
      <c r="N1443" s="183" t="s">
        <v>1962</v>
      </c>
    </row>
    <row r="1444" spans="1:14" hidden="1">
      <c r="A1444" s="140" t="str">
        <f t="shared" si="22"/>
        <v>17301-43821-03-J7B</v>
      </c>
      <c r="B1444" s="162" t="s">
        <v>1118</v>
      </c>
      <c r="D1444" s="162" t="s">
        <v>1122</v>
      </c>
      <c r="E1444" s="162" t="s">
        <v>1706</v>
      </c>
      <c r="F1444" s="171">
        <v>62938</v>
      </c>
      <c r="G1444" s="141" t="s">
        <v>1564</v>
      </c>
      <c r="H1444" s="174">
        <v>3</v>
      </c>
      <c r="I1444" s="186" t="s">
        <v>1594</v>
      </c>
      <c r="K1444" s="174">
        <v>2235</v>
      </c>
      <c r="M1444" s="217" t="s">
        <v>1589</v>
      </c>
      <c r="N1444" s="183" t="s">
        <v>1963</v>
      </c>
    </row>
    <row r="1445" spans="1:14" hidden="1">
      <c r="A1445" s="140" t="str">
        <f t="shared" si="22"/>
        <v>17301-43821-03-J10B</v>
      </c>
      <c r="B1445" s="162" t="s">
        <v>1118</v>
      </c>
      <c r="D1445" s="162" t="s">
        <v>1122</v>
      </c>
      <c r="E1445" s="162" t="s">
        <v>1706</v>
      </c>
      <c r="F1445" s="171">
        <v>62938</v>
      </c>
      <c r="G1445" s="141" t="s">
        <v>1564</v>
      </c>
      <c r="H1445" s="174">
        <v>3</v>
      </c>
      <c r="I1445" s="186" t="s">
        <v>1593</v>
      </c>
      <c r="K1445" s="174" t="s">
        <v>1588</v>
      </c>
      <c r="M1445" s="217" t="s">
        <v>1589</v>
      </c>
      <c r="N1445" s="183" t="s">
        <v>1963</v>
      </c>
    </row>
    <row r="1446" spans="1:14" hidden="1">
      <c r="A1446" s="140" t="str">
        <f t="shared" si="22"/>
        <v>17301-43830-00-J7B</v>
      </c>
      <c r="B1446" s="162" t="s">
        <v>1118</v>
      </c>
      <c r="D1446" s="162" t="s">
        <v>1124</v>
      </c>
      <c r="E1446" s="162" t="s">
        <v>1219</v>
      </c>
      <c r="F1446" s="171">
        <v>51442</v>
      </c>
      <c r="G1446" s="141" t="s">
        <v>1595</v>
      </c>
      <c r="H1446" s="174">
        <v>0</v>
      </c>
      <c r="I1446" s="186" t="s">
        <v>1594</v>
      </c>
      <c r="K1446" s="174" t="s">
        <v>1588</v>
      </c>
      <c r="N1446" s="183" t="s">
        <v>1966</v>
      </c>
    </row>
    <row r="1447" spans="1:14" hidden="1">
      <c r="A1447" s="140" t="str">
        <f t="shared" si="22"/>
        <v>17301-43830-00-J10B</v>
      </c>
      <c r="B1447" s="162" t="s">
        <v>1118</v>
      </c>
      <c r="D1447" s="162" t="s">
        <v>1124</v>
      </c>
      <c r="E1447" s="162" t="s">
        <v>1219</v>
      </c>
      <c r="F1447" s="171">
        <v>51442</v>
      </c>
      <c r="G1447" s="141" t="s">
        <v>1595</v>
      </c>
      <c r="H1447" s="174">
        <v>0</v>
      </c>
      <c r="I1447" s="186" t="s">
        <v>1593</v>
      </c>
      <c r="K1447" s="174" t="s">
        <v>1588</v>
      </c>
      <c r="N1447" s="183" t="s">
        <v>1966</v>
      </c>
    </row>
    <row r="1448" spans="1:14" hidden="1">
      <c r="A1448" s="140" t="str">
        <f t="shared" si="22"/>
        <v>17301-43830-01-J7B</v>
      </c>
      <c r="B1448" s="162" t="s">
        <v>1118</v>
      </c>
      <c r="D1448" s="162" t="s">
        <v>1124</v>
      </c>
      <c r="E1448" s="162" t="s">
        <v>1219</v>
      </c>
      <c r="F1448" s="171">
        <v>54055</v>
      </c>
      <c r="G1448" s="141" t="s">
        <v>1595</v>
      </c>
      <c r="H1448" s="174">
        <v>1</v>
      </c>
      <c r="I1448" s="186" t="s">
        <v>1594</v>
      </c>
      <c r="K1448" s="174">
        <v>8</v>
      </c>
      <c r="M1448" s="217" t="s">
        <v>1202</v>
      </c>
      <c r="N1448" s="183" t="s">
        <v>1886</v>
      </c>
    </row>
    <row r="1449" spans="1:14" hidden="1">
      <c r="A1449" s="140" t="str">
        <f t="shared" si="22"/>
        <v>17301-43830-01-J10B</v>
      </c>
      <c r="B1449" s="162" t="s">
        <v>1118</v>
      </c>
      <c r="D1449" s="162" t="s">
        <v>1124</v>
      </c>
      <c r="E1449" s="162" t="s">
        <v>1219</v>
      </c>
      <c r="F1449" s="171">
        <v>54055</v>
      </c>
      <c r="G1449" s="141" t="s">
        <v>1595</v>
      </c>
      <c r="H1449" s="174">
        <v>1</v>
      </c>
      <c r="I1449" s="186" t="s">
        <v>1593</v>
      </c>
      <c r="K1449" s="174">
        <v>7</v>
      </c>
      <c r="M1449" s="217" t="s">
        <v>1202</v>
      </c>
      <c r="N1449" s="183" t="s">
        <v>1886</v>
      </c>
    </row>
    <row r="1450" spans="1:14" hidden="1">
      <c r="A1450" s="140" t="str">
        <f t="shared" si="22"/>
        <v>17301-43830-02-J7B</v>
      </c>
      <c r="B1450" s="162" t="s">
        <v>1118</v>
      </c>
      <c r="D1450" s="162" t="s">
        <v>1124</v>
      </c>
      <c r="E1450" s="162" t="s">
        <v>1219</v>
      </c>
      <c r="F1450" s="171">
        <v>61727</v>
      </c>
      <c r="G1450" s="141" t="s">
        <v>1595</v>
      </c>
      <c r="H1450" s="174">
        <v>2</v>
      </c>
      <c r="I1450" s="186" t="s">
        <v>1594</v>
      </c>
      <c r="J1450" s="174">
        <v>2109</v>
      </c>
      <c r="M1450" s="217" t="s">
        <v>404</v>
      </c>
      <c r="N1450" s="183" t="s">
        <v>1967</v>
      </c>
    </row>
    <row r="1451" spans="1:14" hidden="1">
      <c r="A1451" s="140" t="str">
        <f t="shared" si="22"/>
        <v>17301-43830-02-J10B</v>
      </c>
      <c r="B1451" s="162" t="s">
        <v>1118</v>
      </c>
      <c r="D1451" s="162" t="s">
        <v>1124</v>
      </c>
      <c r="E1451" s="162" t="s">
        <v>1219</v>
      </c>
      <c r="F1451" s="171">
        <v>61727</v>
      </c>
      <c r="G1451" s="141" t="s">
        <v>1595</v>
      </c>
      <c r="H1451" s="174">
        <v>2</v>
      </c>
      <c r="I1451" s="186" t="s">
        <v>1593</v>
      </c>
      <c r="J1451" s="174">
        <v>1296</v>
      </c>
      <c r="M1451" s="217" t="s">
        <v>404</v>
      </c>
      <c r="N1451" s="183" t="s">
        <v>1967</v>
      </c>
    </row>
    <row r="1452" spans="1:14" hidden="1">
      <c r="A1452" s="140" t="str">
        <f t="shared" si="22"/>
        <v>17301-43830-03-J7B</v>
      </c>
      <c r="B1452" s="162" t="s">
        <v>1118</v>
      </c>
      <c r="D1452" s="162" t="s">
        <v>1124</v>
      </c>
      <c r="E1452" s="162" t="s">
        <v>1219</v>
      </c>
      <c r="F1452" s="171">
        <v>62317</v>
      </c>
      <c r="G1452" s="141" t="s">
        <v>1595</v>
      </c>
      <c r="H1452" s="174">
        <v>3</v>
      </c>
      <c r="I1452" s="186" t="s">
        <v>1594</v>
      </c>
      <c r="M1452" s="217" t="s">
        <v>404</v>
      </c>
      <c r="N1452" s="183" t="s">
        <v>1968</v>
      </c>
    </row>
    <row r="1453" spans="1:14" hidden="1">
      <c r="A1453" s="140" t="str">
        <f t="shared" si="22"/>
        <v>17301-43830-03-J10B</v>
      </c>
      <c r="B1453" s="162" t="s">
        <v>1118</v>
      </c>
      <c r="D1453" s="162" t="s">
        <v>1124</v>
      </c>
      <c r="E1453" s="162" t="s">
        <v>1219</v>
      </c>
      <c r="F1453" s="171">
        <v>62317</v>
      </c>
      <c r="G1453" s="141" t="s">
        <v>1595</v>
      </c>
      <c r="H1453" s="174">
        <v>3</v>
      </c>
      <c r="I1453" s="186" t="s">
        <v>1593</v>
      </c>
      <c r="M1453" s="217" t="s">
        <v>404</v>
      </c>
      <c r="N1453" s="183" t="s">
        <v>1968</v>
      </c>
    </row>
    <row r="1454" spans="1:14" ht="40.5" hidden="1">
      <c r="A1454" s="140" t="str">
        <f t="shared" si="22"/>
        <v>17301-43840-01-A14IW</v>
      </c>
      <c r="B1454" s="162" t="s">
        <v>1118</v>
      </c>
      <c r="D1454" s="162" t="s">
        <v>1640</v>
      </c>
      <c r="E1454" s="162" t="s">
        <v>1650</v>
      </c>
      <c r="F1454" s="171">
        <v>54721</v>
      </c>
      <c r="G1454" s="141" t="s">
        <v>1453</v>
      </c>
      <c r="H1454" s="174">
        <v>1</v>
      </c>
      <c r="I1454" s="186" t="s">
        <v>234</v>
      </c>
      <c r="J1454" s="174">
        <v>7</v>
      </c>
      <c r="M1454" s="217" t="s">
        <v>1466</v>
      </c>
      <c r="N1454" s="183" t="s">
        <v>1969</v>
      </c>
    </row>
    <row r="1455" spans="1:14" ht="40.5" hidden="1">
      <c r="A1455" s="140" t="str">
        <f t="shared" si="22"/>
        <v>17301-43840-01-A13AW</v>
      </c>
      <c r="B1455" s="162" t="s">
        <v>1118</v>
      </c>
      <c r="D1455" s="162" t="s">
        <v>1640</v>
      </c>
      <c r="E1455" s="162" t="s">
        <v>1650</v>
      </c>
      <c r="F1455" s="171">
        <v>54721</v>
      </c>
      <c r="G1455" s="141" t="s">
        <v>1453</v>
      </c>
      <c r="H1455" s="174">
        <v>1</v>
      </c>
      <c r="I1455" s="186" t="s">
        <v>245</v>
      </c>
      <c r="J1455" s="174">
        <v>6</v>
      </c>
      <c r="M1455" s="217" t="s">
        <v>1466</v>
      </c>
      <c r="N1455" s="183" t="s">
        <v>1969</v>
      </c>
    </row>
    <row r="1456" spans="1:14" hidden="1">
      <c r="A1456" s="140" t="str">
        <f t="shared" si="22"/>
        <v>17301-43840-02-A14IW</v>
      </c>
      <c r="B1456" s="162" t="s">
        <v>1118</v>
      </c>
      <c r="D1456" s="162" t="s">
        <v>1640</v>
      </c>
      <c r="E1456" s="162" t="s">
        <v>1650</v>
      </c>
      <c r="F1456" s="171">
        <v>55898</v>
      </c>
      <c r="G1456" s="141" t="s">
        <v>1453</v>
      </c>
      <c r="H1456" s="174">
        <v>2</v>
      </c>
      <c r="I1456" s="186" t="s">
        <v>234</v>
      </c>
      <c r="M1456" s="217" t="s">
        <v>1468</v>
      </c>
      <c r="N1456" s="183" t="s">
        <v>1970</v>
      </c>
    </row>
    <row r="1457" spans="1:14" hidden="1">
      <c r="A1457" s="140" t="str">
        <f t="shared" si="22"/>
        <v>17301-43840-02-A13AW</v>
      </c>
      <c r="B1457" s="162" t="s">
        <v>1118</v>
      </c>
      <c r="D1457" s="162" t="s">
        <v>1640</v>
      </c>
      <c r="E1457" s="162" t="s">
        <v>1650</v>
      </c>
      <c r="F1457" s="171">
        <v>55898</v>
      </c>
      <c r="G1457" s="141" t="s">
        <v>1453</v>
      </c>
      <c r="H1457" s="174">
        <v>2</v>
      </c>
      <c r="I1457" s="186" t="s">
        <v>245</v>
      </c>
      <c r="M1457" s="217" t="s">
        <v>1468</v>
      </c>
      <c r="N1457" s="183" t="s">
        <v>1970</v>
      </c>
    </row>
    <row r="1458" spans="1:14" ht="27" hidden="1">
      <c r="A1458" s="140" t="str">
        <f t="shared" si="22"/>
        <v>17301-43840-03-A14IW</v>
      </c>
      <c r="B1458" s="162" t="s">
        <v>1118</v>
      </c>
      <c r="D1458" s="162" t="s">
        <v>1640</v>
      </c>
      <c r="E1458" s="162" t="s">
        <v>1650</v>
      </c>
      <c r="F1458" s="171">
        <v>55973</v>
      </c>
      <c r="G1458" s="141" t="s">
        <v>1453</v>
      </c>
      <c r="H1458" s="174">
        <v>3</v>
      </c>
      <c r="I1458" s="186" t="s">
        <v>234</v>
      </c>
      <c r="K1458" s="174">
        <v>7</v>
      </c>
      <c r="M1458" s="217" t="s">
        <v>1468</v>
      </c>
      <c r="N1458" s="183" t="s">
        <v>1971</v>
      </c>
    </row>
    <row r="1459" spans="1:14" ht="27" hidden="1">
      <c r="A1459" s="140" t="str">
        <f t="shared" si="22"/>
        <v>17301-43840-03-A13AW</v>
      </c>
      <c r="B1459" s="162" t="s">
        <v>1118</v>
      </c>
      <c r="D1459" s="162" t="s">
        <v>1640</v>
      </c>
      <c r="E1459" s="162" t="s">
        <v>1650</v>
      </c>
      <c r="F1459" s="171">
        <v>55973</v>
      </c>
      <c r="G1459" s="141" t="s">
        <v>1453</v>
      </c>
      <c r="H1459" s="174">
        <v>3</v>
      </c>
      <c r="I1459" s="186" t="s">
        <v>245</v>
      </c>
      <c r="K1459" s="174">
        <v>6</v>
      </c>
      <c r="M1459" s="217" t="s">
        <v>1468</v>
      </c>
      <c r="N1459" s="183" t="s">
        <v>1971</v>
      </c>
    </row>
    <row r="1460" spans="1:14" ht="27" hidden="1">
      <c r="A1460" s="140" t="str">
        <f t="shared" si="22"/>
        <v>17301-43840-04-A14IW</v>
      </c>
      <c r="B1460" s="162" t="s">
        <v>1118</v>
      </c>
      <c r="D1460" s="162" t="s">
        <v>1640</v>
      </c>
      <c r="E1460" s="162" t="s">
        <v>1650</v>
      </c>
      <c r="F1460" s="171">
        <v>56474</v>
      </c>
      <c r="G1460" s="141" t="s">
        <v>1453</v>
      </c>
      <c r="H1460" s="174">
        <v>4</v>
      </c>
      <c r="I1460" s="186" t="s">
        <v>234</v>
      </c>
      <c r="K1460" s="174">
        <v>246</v>
      </c>
      <c r="M1460" s="217" t="s">
        <v>1468</v>
      </c>
      <c r="N1460" s="183" t="s">
        <v>1972</v>
      </c>
    </row>
    <row r="1461" spans="1:14" ht="27" hidden="1">
      <c r="A1461" s="140" t="str">
        <f t="shared" si="22"/>
        <v>17301-43840-04-A13AW</v>
      </c>
      <c r="B1461" s="162" t="s">
        <v>1118</v>
      </c>
      <c r="D1461" s="162" t="s">
        <v>1640</v>
      </c>
      <c r="E1461" s="162" t="s">
        <v>1650</v>
      </c>
      <c r="F1461" s="171">
        <v>56474</v>
      </c>
      <c r="G1461" s="141" t="s">
        <v>1453</v>
      </c>
      <c r="H1461" s="174">
        <v>4</v>
      </c>
      <c r="I1461" s="186" t="s">
        <v>245</v>
      </c>
      <c r="K1461" s="174">
        <v>6</v>
      </c>
      <c r="M1461" s="217" t="s">
        <v>1468</v>
      </c>
      <c r="N1461" s="183" t="s">
        <v>1972</v>
      </c>
    </row>
    <row r="1462" spans="1:14" ht="54" hidden="1">
      <c r="A1462" s="140" t="str">
        <f t="shared" si="22"/>
        <v>17301-43840-05-A14IW</v>
      </c>
      <c r="B1462" s="162" t="s">
        <v>1118</v>
      </c>
      <c r="D1462" s="162" t="s">
        <v>1640</v>
      </c>
      <c r="E1462" s="162" t="s">
        <v>1650</v>
      </c>
      <c r="F1462" s="171">
        <v>60245</v>
      </c>
      <c r="G1462" s="141" t="s">
        <v>1453</v>
      </c>
      <c r="H1462" s="174">
        <v>5</v>
      </c>
      <c r="I1462" s="186" t="s">
        <v>234</v>
      </c>
      <c r="K1462" s="174">
        <v>505</v>
      </c>
      <c r="M1462" s="217" t="s">
        <v>1471</v>
      </c>
      <c r="N1462" s="183" t="s">
        <v>1973</v>
      </c>
    </row>
    <row r="1463" spans="1:14" ht="54" hidden="1">
      <c r="A1463" s="140" t="str">
        <f t="shared" si="22"/>
        <v>17301-43840-05-A13AW</v>
      </c>
      <c r="B1463" s="162" t="s">
        <v>1118</v>
      </c>
      <c r="D1463" s="162" t="s">
        <v>1640</v>
      </c>
      <c r="E1463" s="162" t="s">
        <v>1650</v>
      </c>
      <c r="F1463" s="171">
        <v>60245</v>
      </c>
      <c r="G1463" s="141" t="s">
        <v>1453</v>
      </c>
      <c r="H1463" s="174">
        <v>5</v>
      </c>
      <c r="I1463" s="186" t="s">
        <v>245</v>
      </c>
      <c r="K1463" s="174">
        <v>6</v>
      </c>
      <c r="M1463" s="217" t="s">
        <v>1471</v>
      </c>
      <c r="N1463" s="183" t="s">
        <v>1973</v>
      </c>
    </row>
    <row r="1464" spans="1:14" ht="81" hidden="1">
      <c r="A1464" s="140" t="str">
        <f t="shared" ref="A1464:A1512" si="23">G1464&amp;"-"&amp;TEXT(H1464,"00")&amp;"-"&amp;I1464</f>
        <v>17301-43840-06-A14IW</v>
      </c>
      <c r="B1464" s="162" t="s">
        <v>1118</v>
      </c>
      <c r="D1464" s="162" t="s">
        <v>1640</v>
      </c>
      <c r="E1464" s="162" t="s">
        <v>1650</v>
      </c>
      <c r="F1464" s="171">
        <v>60642</v>
      </c>
      <c r="G1464" s="141" t="s">
        <v>1453</v>
      </c>
      <c r="H1464" s="174">
        <v>6</v>
      </c>
      <c r="I1464" s="186" t="s">
        <v>234</v>
      </c>
      <c r="K1464" s="174">
        <v>922</v>
      </c>
      <c r="M1464" s="217" t="s">
        <v>1472</v>
      </c>
      <c r="N1464" s="183" t="s">
        <v>1974</v>
      </c>
    </row>
    <row r="1465" spans="1:14" ht="81" hidden="1">
      <c r="A1465" s="140" t="str">
        <f t="shared" si="23"/>
        <v>17301-43840-06-A13AW</v>
      </c>
      <c r="B1465" s="162" t="s">
        <v>1118</v>
      </c>
      <c r="D1465" s="162" t="s">
        <v>1640</v>
      </c>
      <c r="E1465" s="162" t="s">
        <v>1650</v>
      </c>
      <c r="F1465" s="171">
        <v>60642</v>
      </c>
      <c r="G1465" s="141" t="s">
        <v>1453</v>
      </c>
      <c r="H1465" s="174">
        <v>6</v>
      </c>
      <c r="I1465" s="186" t="s">
        <v>245</v>
      </c>
      <c r="K1465" s="174">
        <v>15</v>
      </c>
      <c r="M1465" s="217" t="s">
        <v>1472</v>
      </c>
      <c r="N1465" s="183" t="s">
        <v>1974</v>
      </c>
    </row>
    <row r="1466" spans="1:14" ht="27" hidden="1">
      <c r="A1466" s="140" t="str">
        <f t="shared" si="23"/>
        <v>17301-43842-00-A14IW</v>
      </c>
      <c r="B1466" s="162" t="s">
        <v>1118</v>
      </c>
      <c r="D1466" s="162" t="s">
        <v>1640</v>
      </c>
      <c r="E1466" s="162" t="s">
        <v>1650</v>
      </c>
      <c r="F1466" s="171">
        <v>61205</v>
      </c>
      <c r="G1466" s="141" t="s">
        <v>1479</v>
      </c>
      <c r="H1466" s="174">
        <v>0</v>
      </c>
      <c r="I1466" s="186" t="s">
        <v>234</v>
      </c>
      <c r="K1466" s="174">
        <v>1139</v>
      </c>
      <c r="N1466" s="183" t="s">
        <v>1975</v>
      </c>
    </row>
    <row r="1467" spans="1:14" ht="27" hidden="1">
      <c r="A1467" s="140" t="str">
        <f t="shared" si="23"/>
        <v>17301-43842-00-A13AW</v>
      </c>
      <c r="B1467" s="162" t="s">
        <v>1118</v>
      </c>
      <c r="D1467" s="162" t="s">
        <v>1640</v>
      </c>
      <c r="E1467" s="162" t="s">
        <v>1650</v>
      </c>
      <c r="F1467" s="171">
        <v>61205</v>
      </c>
      <c r="G1467" s="141" t="s">
        <v>1479</v>
      </c>
      <c r="H1467" s="174">
        <v>0</v>
      </c>
      <c r="I1467" s="186" t="s">
        <v>245</v>
      </c>
      <c r="K1467" s="174">
        <v>69</v>
      </c>
      <c r="N1467" s="183" t="s">
        <v>1975</v>
      </c>
    </row>
    <row r="1468" spans="1:14" ht="27" hidden="1">
      <c r="A1468" s="140" t="str">
        <f t="shared" si="23"/>
        <v>17301-43842-01-A14IW</v>
      </c>
      <c r="B1468" s="162" t="s">
        <v>1118</v>
      </c>
      <c r="D1468" s="162" t="s">
        <v>1640</v>
      </c>
      <c r="E1468" s="162" t="s">
        <v>1650</v>
      </c>
      <c r="F1468" s="171">
        <v>61591</v>
      </c>
      <c r="G1468" s="141" t="s">
        <v>1479</v>
      </c>
      <c r="H1468" s="174">
        <v>1</v>
      </c>
      <c r="I1468" s="186" t="s">
        <v>234</v>
      </c>
      <c r="K1468" s="174">
        <v>1139</v>
      </c>
      <c r="M1468" s="217" t="s">
        <v>1490</v>
      </c>
      <c r="N1468" s="183" t="s">
        <v>1976</v>
      </c>
    </row>
    <row r="1469" spans="1:14" ht="27" hidden="1">
      <c r="A1469" s="140" t="str">
        <f t="shared" si="23"/>
        <v>17301-43842-01-A13AW</v>
      </c>
      <c r="B1469" s="162" t="s">
        <v>1118</v>
      </c>
      <c r="D1469" s="162" t="s">
        <v>1640</v>
      </c>
      <c r="E1469" s="162" t="s">
        <v>1650</v>
      </c>
      <c r="F1469" s="171">
        <v>61591</v>
      </c>
      <c r="G1469" s="141" t="s">
        <v>1479</v>
      </c>
      <c r="H1469" s="174">
        <v>1</v>
      </c>
      <c r="I1469" s="186" t="s">
        <v>245</v>
      </c>
      <c r="K1469" s="174">
        <v>69</v>
      </c>
      <c r="M1469" s="217" t="s">
        <v>1490</v>
      </c>
      <c r="N1469" s="183" t="s">
        <v>1976</v>
      </c>
    </row>
    <row r="1470" spans="1:14" ht="54" hidden="1">
      <c r="A1470" s="140" t="str">
        <f t="shared" si="23"/>
        <v>17301-43842-02-A14IW</v>
      </c>
      <c r="B1470" s="162" t="s">
        <v>1118</v>
      </c>
      <c r="D1470" s="162" t="s">
        <v>1640</v>
      </c>
      <c r="E1470" s="162" t="s">
        <v>1650</v>
      </c>
      <c r="F1470" s="171">
        <v>62495</v>
      </c>
      <c r="G1470" s="141" t="s">
        <v>1479</v>
      </c>
      <c r="H1470" s="174">
        <v>2</v>
      </c>
      <c r="I1470" s="186" t="s">
        <v>234</v>
      </c>
      <c r="K1470" s="174">
        <v>1610</v>
      </c>
      <c r="M1470" s="217" t="s">
        <v>1491</v>
      </c>
      <c r="N1470" s="183" t="s">
        <v>1977</v>
      </c>
    </row>
    <row r="1471" spans="1:14" ht="54" hidden="1">
      <c r="A1471" s="140" t="str">
        <f t="shared" si="23"/>
        <v>17301-43842-02-A13AW</v>
      </c>
      <c r="B1471" s="162" t="s">
        <v>1118</v>
      </c>
      <c r="D1471" s="162" t="s">
        <v>1640</v>
      </c>
      <c r="E1471" s="162" t="s">
        <v>1650</v>
      </c>
      <c r="F1471" s="171">
        <v>62495</v>
      </c>
      <c r="G1471" s="141" t="s">
        <v>1479</v>
      </c>
      <c r="H1471" s="174">
        <v>2</v>
      </c>
      <c r="I1471" s="186" t="s">
        <v>245</v>
      </c>
      <c r="K1471" s="174">
        <v>221</v>
      </c>
      <c r="M1471" s="217" t="s">
        <v>1491</v>
      </c>
      <c r="N1471" s="183" t="s">
        <v>1977</v>
      </c>
    </row>
    <row r="1472" spans="1:14" ht="27" hidden="1">
      <c r="A1472" s="140" t="str">
        <f t="shared" si="23"/>
        <v>17301-43842-03-A14IW</v>
      </c>
      <c r="B1472" s="162" t="s">
        <v>1118</v>
      </c>
      <c r="D1472" s="162" t="s">
        <v>1640</v>
      </c>
      <c r="E1472" s="162" t="s">
        <v>1650</v>
      </c>
      <c r="F1472" s="171">
        <v>63514</v>
      </c>
      <c r="G1472" s="141" t="s">
        <v>1479</v>
      </c>
      <c r="H1472" s="174">
        <v>3</v>
      </c>
      <c r="I1472" s="186" t="s">
        <v>234</v>
      </c>
      <c r="K1472" s="174">
        <v>1868</v>
      </c>
      <c r="M1472" s="217" t="s">
        <v>1488</v>
      </c>
      <c r="N1472" s="183" t="s">
        <v>1978</v>
      </c>
    </row>
    <row r="1473" spans="1:14" ht="27" hidden="1">
      <c r="A1473" s="140" t="str">
        <f t="shared" si="23"/>
        <v>17301-43842-03-A13AW</v>
      </c>
      <c r="B1473" s="162" t="s">
        <v>1118</v>
      </c>
      <c r="D1473" s="162" t="s">
        <v>1640</v>
      </c>
      <c r="E1473" s="162" t="s">
        <v>1650</v>
      </c>
      <c r="F1473" s="171">
        <v>63514</v>
      </c>
      <c r="G1473" s="141" t="s">
        <v>1479</v>
      </c>
      <c r="H1473" s="174">
        <v>3</v>
      </c>
      <c r="I1473" s="186" t="s">
        <v>245</v>
      </c>
      <c r="K1473" s="174">
        <v>457</v>
      </c>
      <c r="M1473" s="217" t="s">
        <v>1488</v>
      </c>
      <c r="N1473" s="183" t="s">
        <v>1978</v>
      </c>
    </row>
    <row r="1474" spans="1:14" hidden="1">
      <c r="A1474" s="140" t="str">
        <f t="shared" si="23"/>
        <v>17301-43843-01-A25H</v>
      </c>
      <c r="B1474" s="162" t="s">
        <v>1118</v>
      </c>
      <c r="D1474" s="162" t="s">
        <v>1124</v>
      </c>
      <c r="E1474" s="162" t="s">
        <v>1141</v>
      </c>
      <c r="F1474" s="171">
        <v>63308</v>
      </c>
      <c r="G1474" s="141" t="s">
        <v>1131</v>
      </c>
      <c r="H1474" s="174">
        <v>1</v>
      </c>
      <c r="I1474" s="186" t="s">
        <v>1138</v>
      </c>
      <c r="J1474" s="174">
        <v>3</v>
      </c>
      <c r="L1474" s="187" t="s">
        <v>1140</v>
      </c>
      <c r="M1474" s="217" t="s">
        <v>1135</v>
      </c>
      <c r="N1474" s="183" t="s">
        <v>1886</v>
      </c>
    </row>
    <row r="1475" spans="1:14" hidden="1">
      <c r="A1475" s="140" t="str">
        <f t="shared" si="23"/>
        <v>17301-43843-01-A27C</v>
      </c>
      <c r="B1475" s="162" t="s">
        <v>1118</v>
      </c>
      <c r="D1475" s="162" t="s">
        <v>1124</v>
      </c>
      <c r="E1475" s="162" t="s">
        <v>1141</v>
      </c>
      <c r="F1475" s="171">
        <v>63308</v>
      </c>
      <c r="G1475" s="141" t="s">
        <v>1131</v>
      </c>
      <c r="H1475" s="174">
        <v>1</v>
      </c>
      <c r="I1475" s="186" t="s">
        <v>1139</v>
      </c>
      <c r="J1475" s="174">
        <v>4</v>
      </c>
      <c r="L1475" s="187" t="s">
        <v>1140</v>
      </c>
      <c r="M1475" s="217" t="s">
        <v>1135</v>
      </c>
      <c r="N1475" s="183" t="s">
        <v>1886</v>
      </c>
    </row>
    <row r="1476" spans="1:14" ht="54" hidden="1">
      <c r="A1476" s="140" t="str">
        <f t="shared" si="23"/>
        <v>17301-43843-02-A25H</v>
      </c>
      <c r="B1476" s="162" t="s">
        <v>1118</v>
      </c>
      <c r="D1476" s="162" t="s">
        <v>1124</v>
      </c>
      <c r="E1476" s="162" t="s">
        <v>1141</v>
      </c>
      <c r="F1476" s="171">
        <v>63577</v>
      </c>
      <c r="G1476" s="141" t="s">
        <v>1131</v>
      </c>
      <c r="H1476" s="174">
        <v>2</v>
      </c>
      <c r="I1476" s="186" t="s">
        <v>1138</v>
      </c>
      <c r="K1476" s="174">
        <v>3</v>
      </c>
      <c r="M1476" s="217" t="s">
        <v>1773</v>
      </c>
      <c r="N1476" s="183" t="s">
        <v>1979</v>
      </c>
    </row>
    <row r="1477" spans="1:14" ht="54" hidden="1">
      <c r="A1477" s="140" t="str">
        <f t="shared" si="23"/>
        <v>17301-43843-02-A27C</v>
      </c>
      <c r="B1477" s="162" t="s">
        <v>1118</v>
      </c>
      <c r="D1477" s="162" t="s">
        <v>1124</v>
      </c>
      <c r="E1477" s="162" t="s">
        <v>1141</v>
      </c>
      <c r="F1477" s="171">
        <v>63577</v>
      </c>
      <c r="G1477" s="141" t="s">
        <v>1131</v>
      </c>
      <c r="H1477" s="174">
        <v>2</v>
      </c>
      <c r="I1477" s="186" t="s">
        <v>1133</v>
      </c>
      <c r="K1477" s="174">
        <v>4</v>
      </c>
      <c r="M1477" s="217" t="s">
        <v>1773</v>
      </c>
      <c r="N1477" s="183" t="s">
        <v>1979</v>
      </c>
    </row>
    <row r="1478" spans="1:14" hidden="1">
      <c r="A1478" s="140" t="str">
        <f t="shared" si="23"/>
        <v>17301-43850-00-A14HW</v>
      </c>
      <c r="B1478" s="162" t="s">
        <v>1118</v>
      </c>
      <c r="D1478" s="162" t="s">
        <v>1640</v>
      </c>
      <c r="E1478" s="162" t="s">
        <v>1650</v>
      </c>
      <c r="F1478" s="171">
        <v>54713</v>
      </c>
      <c r="G1478" s="141" t="s">
        <v>1646</v>
      </c>
      <c r="H1478" s="174">
        <v>0</v>
      </c>
      <c r="I1478" s="188" t="s">
        <v>856</v>
      </c>
      <c r="J1478" s="174">
        <v>2042</v>
      </c>
      <c r="K1478" s="174">
        <v>2042</v>
      </c>
      <c r="M1478" s="217" t="s">
        <v>1466</v>
      </c>
      <c r="N1478" s="183" t="s">
        <v>1980</v>
      </c>
    </row>
    <row r="1479" spans="1:14" hidden="1">
      <c r="A1479" s="140" t="str">
        <f t="shared" si="23"/>
        <v>17301-43850-00-A25F</v>
      </c>
      <c r="B1479" s="162" t="s">
        <v>1118</v>
      </c>
      <c r="D1479" s="162" t="s">
        <v>1640</v>
      </c>
      <c r="E1479" s="162" t="s">
        <v>1650</v>
      </c>
      <c r="F1479" s="171">
        <v>54713</v>
      </c>
      <c r="G1479" s="141" t="s">
        <v>1646</v>
      </c>
      <c r="H1479" s="174">
        <v>0</v>
      </c>
      <c r="I1479" s="188" t="s">
        <v>528</v>
      </c>
      <c r="J1479" s="174">
        <v>1202</v>
      </c>
      <c r="K1479" s="174">
        <v>1202</v>
      </c>
      <c r="M1479" s="217" t="s">
        <v>1466</v>
      </c>
      <c r="N1479" s="183" t="s">
        <v>1980</v>
      </c>
    </row>
    <row r="1480" spans="1:14" hidden="1">
      <c r="A1480" s="140" t="str">
        <f t="shared" si="23"/>
        <v>17301-43850-00-A25G</v>
      </c>
      <c r="B1480" s="162" t="s">
        <v>1118</v>
      </c>
      <c r="D1480" s="162" t="s">
        <v>1640</v>
      </c>
      <c r="E1480" s="162" t="s">
        <v>1650</v>
      </c>
      <c r="F1480" s="171">
        <v>54713</v>
      </c>
      <c r="G1480" s="141" t="s">
        <v>1646</v>
      </c>
      <c r="H1480" s="174">
        <v>0</v>
      </c>
      <c r="I1480" s="188" t="s">
        <v>806</v>
      </c>
      <c r="J1480" s="174">
        <v>950</v>
      </c>
      <c r="K1480" s="174">
        <v>950</v>
      </c>
      <c r="M1480" s="217" t="s">
        <v>1466</v>
      </c>
      <c r="N1480" s="183" t="s">
        <v>1980</v>
      </c>
    </row>
    <row r="1481" spans="1:14">
      <c r="A1481" s="140" t="str">
        <f t="shared" si="23"/>
        <v>17301-43850-00-A27A</v>
      </c>
      <c r="B1481" s="162" t="s">
        <v>1118</v>
      </c>
      <c r="D1481" s="162" t="s">
        <v>1640</v>
      </c>
      <c r="E1481" s="162" t="s">
        <v>1650</v>
      </c>
      <c r="F1481" s="171">
        <v>54713</v>
      </c>
      <c r="G1481" s="141" t="s">
        <v>1646</v>
      </c>
      <c r="H1481" s="174">
        <v>0</v>
      </c>
      <c r="I1481" s="188" t="s">
        <v>823</v>
      </c>
      <c r="J1481" s="174">
        <v>713</v>
      </c>
      <c r="K1481" s="174">
        <v>713</v>
      </c>
      <c r="M1481" s="217" t="s">
        <v>1466</v>
      </c>
      <c r="N1481" s="183" t="s">
        <v>1980</v>
      </c>
    </row>
    <row r="1482" spans="1:14">
      <c r="A1482" s="140" t="str">
        <f t="shared" si="23"/>
        <v>17301-43850-00-A27B</v>
      </c>
      <c r="B1482" s="162" t="s">
        <v>1118</v>
      </c>
      <c r="D1482" s="162" t="s">
        <v>1640</v>
      </c>
      <c r="E1482" s="162" t="s">
        <v>1650</v>
      </c>
      <c r="F1482" s="171">
        <v>54713</v>
      </c>
      <c r="G1482" s="141" t="s">
        <v>1646</v>
      </c>
      <c r="H1482" s="174">
        <v>0</v>
      </c>
      <c r="I1482" s="188" t="s">
        <v>808</v>
      </c>
      <c r="J1482" s="174">
        <v>1229</v>
      </c>
      <c r="K1482" s="174">
        <v>1229</v>
      </c>
      <c r="M1482" s="217" t="s">
        <v>1466</v>
      </c>
      <c r="N1482" s="183" t="s">
        <v>1980</v>
      </c>
    </row>
    <row r="1483" spans="1:14" ht="40.5" hidden="1">
      <c r="A1483" s="140" t="str">
        <f t="shared" si="23"/>
        <v>17301-43850-01-A14HW</v>
      </c>
      <c r="B1483" s="162" t="s">
        <v>1118</v>
      </c>
      <c r="D1483" s="162" t="s">
        <v>1640</v>
      </c>
      <c r="E1483" s="162" t="s">
        <v>1650</v>
      </c>
      <c r="F1483" s="171">
        <v>55446</v>
      </c>
      <c r="G1483" s="141" t="s">
        <v>1646</v>
      </c>
      <c r="H1483" s="174">
        <v>1</v>
      </c>
      <c r="I1483" s="188" t="s">
        <v>856</v>
      </c>
      <c r="J1483" s="174">
        <v>2042</v>
      </c>
      <c r="K1483" s="174">
        <v>2042</v>
      </c>
      <c r="M1483" s="217" t="s">
        <v>1660</v>
      </c>
      <c r="N1483" s="183" t="s">
        <v>1981</v>
      </c>
    </row>
    <row r="1484" spans="1:14" ht="40.5" hidden="1">
      <c r="A1484" s="140" t="str">
        <f t="shared" si="23"/>
        <v>17301-43850-01-A25F</v>
      </c>
      <c r="B1484" s="162" t="s">
        <v>1118</v>
      </c>
      <c r="D1484" s="162" t="s">
        <v>1640</v>
      </c>
      <c r="E1484" s="162" t="s">
        <v>1650</v>
      </c>
      <c r="F1484" s="171">
        <v>55446</v>
      </c>
      <c r="G1484" s="141" t="s">
        <v>1646</v>
      </c>
      <c r="H1484" s="174">
        <v>1</v>
      </c>
      <c r="I1484" s="188" t="s">
        <v>528</v>
      </c>
      <c r="J1484" s="174" t="s">
        <v>512</v>
      </c>
      <c r="K1484" s="174" t="s">
        <v>512</v>
      </c>
      <c r="M1484" s="217" t="s">
        <v>1660</v>
      </c>
      <c r="N1484" s="183" t="s">
        <v>1981</v>
      </c>
    </row>
    <row r="1485" spans="1:14" ht="40.5" hidden="1">
      <c r="A1485" s="140" t="str">
        <f t="shared" si="23"/>
        <v>17301-43850-01-A25G</v>
      </c>
      <c r="B1485" s="162" t="s">
        <v>1118</v>
      </c>
      <c r="D1485" s="162" t="s">
        <v>1640</v>
      </c>
      <c r="E1485" s="162" t="s">
        <v>1650</v>
      </c>
      <c r="F1485" s="171">
        <v>55446</v>
      </c>
      <c r="G1485" s="141" t="s">
        <v>1646</v>
      </c>
      <c r="H1485" s="174">
        <v>1</v>
      </c>
      <c r="I1485" s="188" t="s">
        <v>806</v>
      </c>
      <c r="J1485" s="174" t="s">
        <v>512</v>
      </c>
      <c r="K1485" s="174" t="s">
        <v>512</v>
      </c>
      <c r="M1485" s="217" t="s">
        <v>1660</v>
      </c>
      <c r="N1485" s="183" t="s">
        <v>1981</v>
      </c>
    </row>
    <row r="1486" spans="1:14" ht="40.5">
      <c r="A1486" s="140" t="str">
        <f t="shared" si="23"/>
        <v>17301-43850-01-A27A</v>
      </c>
      <c r="B1486" s="162" t="s">
        <v>1118</v>
      </c>
      <c r="D1486" s="162" t="s">
        <v>1640</v>
      </c>
      <c r="E1486" s="162" t="s">
        <v>1650</v>
      </c>
      <c r="F1486" s="171">
        <v>55446</v>
      </c>
      <c r="G1486" s="141" t="s">
        <v>1646</v>
      </c>
      <c r="H1486" s="174">
        <v>1</v>
      </c>
      <c r="I1486" s="188" t="s">
        <v>823</v>
      </c>
      <c r="J1486" s="174" t="s">
        <v>512</v>
      </c>
      <c r="K1486" s="174" t="s">
        <v>512</v>
      </c>
      <c r="M1486" s="217" t="s">
        <v>1660</v>
      </c>
      <c r="N1486" s="183" t="s">
        <v>1981</v>
      </c>
    </row>
    <row r="1487" spans="1:14" ht="40.5">
      <c r="A1487" s="140" t="str">
        <f t="shared" si="23"/>
        <v>17301-43850-01-A27B</v>
      </c>
      <c r="B1487" s="162" t="s">
        <v>1118</v>
      </c>
      <c r="D1487" s="162" t="s">
        <v>1640</v>
      </c>
      <c r="E1487" s="162" t="s">
        <v>1650</v>
      </c>
      <c r="F1487" s="171">
        <v>55446</v>
      </c>
      <c r="G1487" s="141" t="s">
        <v>1646</v>
      </c>
      <c r="H1487" s="174">
        <v>1</v>
      </c>
      <c r="I1487" s="188" t="s">
        <v>808</v>
      </c>
      <c r="J1487" s="174" t="s">
        <v>512</v>
      </c>
      <c r="K1487" s="174" t="s">
        <v>512</v>
      </c>
      <c r="M1487" s="217" t="s">
        <v>1660</v>
      </c>
      <c r="N1487" s="183" t="s">
        <v>1981</v>
      </c>
    </row>
    <row r="1488" spans="1:14" hidden="1">
      <c r="A1488" s="140" t="str">
        <f t="shared" si="23"/>
        <v>17301-43850-02-A25F</v>
      </c>
      <c r="B1488" s="162" t="s">
        <v>1118</v>
      </c>
      <c r="D1488" s="162" t="s">
        <v>1640</v>
      </c>
      <c r="E1488" s="162" t="s">
        <v>1650</v>
      </c>
      <c r="F1488" s="171">
        <v>60086</v>
      </c>
      <c r="G1488" s="141" t="s">
        <v>1646</v>
      </c>
      <c r="H1488" s="174">
        <v>2</v>
      </c>
      <c r="I1488" s="188" t="s">
        <v>528</v>
      </c>
      <c r="J1488" s="174">
        <v>1310</v>
      </c>
      <c r="K1488" s="174">
        <v>1310</v>
      </c>
      <c r="M1488" s="217" t="s">
        <v>1660</v>
      </c>
      <c r="N1488" s="183" t="s">
        <v>1982</v>
      </c>
    </row>
    <row r="1489" spans="1:14" hidden="1">
      <c r="A1489" s="140" t="str">
        <f t="shared" si="23"/>
        <v>17301-43850-02-A25G</v>
      </c>
      <c r="B1489" s="162" t="s">
        <v>1118</v>
      </c>
      <c r="D1489" s="162" t="s">
        <v>1640</v>
      </c>
      <c r="E1489" s="162" t="s">
        <v>1650</v>
      </c>
      <c r="F1489" s="171">
        <v>60086</v>
      </c>
      <c r="G1489" s="141" t="s">
        <v>1646</v>
      </c>
      <c r="H1489" s="174">
        <v>2</v>
      </c>
      <c r="I1489" s="188" t="s">
        <v>806</v>
      </c>
      <c r="J1489" s="174">
        <v>1196</v>
      </c>
      <c r="K1489" s="174">
        <v>1196</v>
      </c>
      <c r="M1489" s="217" t="s">
        <v>1660</v>
      </c>
      <c r="N1489" s="183" t="s">
        <v>1982</v>
      </c>
    </row>
    <row r="1490" spans="1:14">
      <c r="A1490" s="140" t="str">
        <f t="shared" si="23"/>
        <v>17301-43850-02-A27A</v>
      </c>
      <c r="B1490" s="162" t="s">
        <v>1118</v>
      </c>
      <c r="D1490" s="162" t="s">
        <v>1640</v>
      </c>
      <c r="E1490" s="162" t="s">
        <v>1650</v>
      </c>
      <c r="F1490" s="171">
        <v>60086</v>
      </c>
      <c r="G1490" s="141" t="s">
        <v>1646</v>
      </c>
      <c r="H1490" s="174">
        <v>2</v>
      </c>
      <c r="I1490" s="188" t="s">
        <v>823</v>
      </c>
      <c r="J1490" s="174">
        <v>748</v>
      </c>
      <c r="K1490" s="174">
        <v>748</v>
      </c>
      <c r="M1490" s="217" t="s">
        <v>1660</v>
      </c>
      <c r="N1490" s="183" t="s">
        <v>1982</v>
      </c>
    </row>
    <row r="1491" spans="1:14">
      <c r="A1491" s="140" t="str">
        <f t="shared" si="23"/>
        <v>17301-43850-02-A27B</v>
      </c>
      <c r="B1491" s="162" t="s">
        <v>1118</v>
      </c>
      <c r="D1491" s="162" t="s">
        <v>1640</v>
      </c>
      <c r="E1491" s="162" t="s">
        <v>1650</v>
      </c>
      <c r="F1491" s="171">
        <v>60086</v>
      </c>
      <c r="G1491" s="141" t="s">
        <v>1646</v>
      </c>
      <c r="H1491" s="174">
        <v>2</v>
      </c>
      <c r="I1491" s="188" t="s">
        <v>808</v>
      </c>
      <c r="J1491" s="174">
        <v>1563</v>
      </c>
      <c r="K1491" s="174">
        <v>1562</v>
      </c>
      <c r="M1491" s="217" t="s">
        <v>1660</v>
      </c>
      <c r="N1491" s="183" t="s">
        <v>1982</v>
      </c>
    </row>
    <row r="1492" spans="1:14" ht="27" hidden="1">
      <c r="A1492" s="140" t="str">
        <f t="shared" si="23"/>
        <v>17301-43850-03-A25F</v>
      </c>
      <c r="B1492" s="162" t="s">
        <v>1118</v>
      </c>
      <c r="D1492" s="162" t="s">
        <v>1640</v>
      </c>
      <c r="E1492" s="162" t="s">
        <v>1650</v>
      </c>
      <c r="F1492" s="171">
        <v>60031</v>
      </c>
      <c r="G1492" s="141" t="s">
        <v>1646</v>
      </c>
      <c r="H1492" s="174">
        <v>3</v>
      </c>
      <c r="I1492" s="188" t="s">
        <v>528</v>
      </c>
      <c r="J1492" s="174">
        <v>1344</v>
      </c>
      <c r="K1492" s="174">
        <v>1344</v>
      </c>
      <c r="M1492" s="217" t="s">
        <v>1664</v>
      </c>
      <c r="N1492" s="183" t="s">
        <v>1983</v>
      </c>
    </row>
    <row r="1493" spans="1:14" ht="27" hidden="1">
      <c r="A1493" s="140" t="str">
        <f t="shared" si="23"/>
        <v>17301-43850-03-A25G</v>
      </c>
      <c r="B1493" s="162" t="s">
        <v>1118</v>
      </c>
      <c r="D1493" s="162" t="s">
        <v>1640</v>
      </c>
      <c r="E1493" s="162" t="s">
        <v>1650</v>
      </c>
      <c r="F1493" s="171">
        <v>60031</v>
      </c>
      <c r="G1493" s="141" t="s">
        <v>1646</v>
      </c>
      <c r="H1493" s="174">
        <v>3</v>
      </c>
      <c r="I1493" s="188" t="s">
        <v>806</v>
      </c>
      <c r="J1493" s="174">
        <v>1234</v>
      </c>
      <c r="K1493" s="174">
        <v>1234</v>
      </c>
      <c r="M1493" s="217" t="s">
        <v>1664</v>
      </c>
      <c r="N1493" s="183" t="s">
        <v>1983</v>
      </c>
    </row>
    <row r="1494" spans="1:14" ht="27">
      <c r="A1494" s="140" t="str">
        <f t="shared" si="23"/>
        <v>17301-43850-03-A27A</v>
      </c>
      <c r="B1494" s="162" t="s">
        <v>1118</v>
      </c>
      <c r="D1494" s="162" t="s">
        <v>1640</v>
      </c>
      <c r="E1494" s="162" t="s">
        <v>1650</v>
      </c>
      <c r="F1494" s="171">
        <v>60031</v>
      </c>
      <c r="G1494" s="141" t="s">
        <v>1646</v>
      </c>
      <c r="H1494" s="174">
        <v>3</v>
      </c>
      <c r="I1494" s="188" t="s">
        <v>823</v>
      </c>
      <c r="J1494" s="174">
        <v>756</v>
      </c>
      <c r="K1494" s="174">
        <v>756</v>
      </c>
      <c r="M1494" s="217" t="s">
        <v>1664</v>
      </c>
      <c r="N1494" s="183" t="s">
        <v>1983</v>
      </c>
    </row>
    <row r="1495" spans="1:14" ht="27">
      <c r="A1495" s="140" t="str">
        <f t="shared" si="23"/>
        <v>17301-43850-03-A27B</v>
      </c>
      <c r="B1495" s="162" t="s">
        <v>1118</v>
      </c>
      <c r="D1495" s="162" t="s">
        <v>1640</v>
      </c>
      <c r="E1495" s="162" t="s">
        <v>1650</v>
      </c>
      <c r="F1495" s="171">
        <v>60031</v>
      </c>
      <c r="G1495" s="141" t="s">
        <v>1646</v>
      </c>
      <c r="H1495" s="174">
        <v>3</v>
      </c>
      <c r="I1495" s="188" t="s">
        <v>808</v>
      </c>
      <c r="J1495" s="174">
        <v>1624</v>
      </c>
      <c r="K1495" s="174">
        <v>1624</v>
      </c>
      <c r="M1495" s="217" t="s">
        <v>1664</v>
      </c>
      <c r="N1495" s="183" t="s">
        <v>1983</v>
      </c>
    </row>
    <row r="1496" spans="1:14" hidden="1">
      <c r="A1496" s="140" t="str">
        <f t="shared" si="23"/>
        <v>17301-43852-00-A25F</v>
      </c>
      <c r="B1496" s="162" t="s">
        <v>1118</v>
      </c>
      <c r="D1496" s="162" t="s">
        <v>1640</v>
      </c>
      <c r="E1496" s="162" t="s">
        <v>1650</v>
      </c>
      <c r="F1496" s="171">
        <v>61205</v>
      </c>
      <c r="G1496" s="141" t="s">
        <v>1648</v>
      </c>
      <c r="H1496" s="174">
        <v>0</v>
      </c>
      <c r="I1496" s="188" t="s">
        <v>528</v>
      </c>
      <c r="J1496" s="174">
        <v>1414</v>
      </c>
      <c r="K1496" s="174">
        <v>1414</v>
      </c>
      <c r="M1496" s="217" t="s">
        <v>47</v>
      </c>
      <c r="N1496" s="183" t="s">
        <v>1984</v>
      </c>
    </row>
    <row r="1497" spans="1:14" hidden="1">
      <c r="A1497" s="140" t="str">
        <f t="shared" si="23"/>
        <v>17301-43852-00-A25G</v>
      </c>
      <c r="B1497" s="162" t="s">
        <v>1118</v>
      </c>
      <c r="D1497" s="162" t="s">
        <v>1640</v>
      </c>
      <c r="E1497" s="162" t="s">
        <v>1650</v>
      </c>
      <c r="F1497" s="171">
        <v>61205</v>
      </c>
      <c r="G1497" s="141" t="s">
        <v>1648</v>
      </c>
      <c r="H1497" s="174">
        <v>0</v>
      </c>
      <c r="I1497" s="188" t="s">
        <v>806</v>
      </c>
      <c r="J1497" s="174">
        <v>1358</v>
      </c>
      <c r="K1497" s="174">
        <v>1358</v>
      </c>
      <c r="M1497" s="217" t="s">
        <v>47</v>
      </c>
      <c r="N1497" s="183" t="s">
        <v>1984</v>
      </c>
    </row>
    <row r="1498" spans="1:14">
      <c r="A1498" s="140" t="str">
        <f t="shared" si="23"/>
        <v>17301-43852-00-A27A</v>
      </c>
      <c r="B1498" s="162" t="s">
        <v>1118</v>
      </c>
      <c r="D1498" s="162" t="s">
        <v>1640</v>
      </c>
      <c r="E1498" s="162" t="s">
        <v>1650</v>
      </c>
      <c r="F1498" s="171">
        <v>61205</v>
      </c>
      <c r="G1498" s="141" t="s">
        <v>1648</v>
      </c>
      <c r="H1498" s="174">
        <v>0</v>
      </c>
      <c r="I1498" s="188" t="s">
        <v>823</v>
      </c>
      <c r="J1498" s="174">
        <v>786</v>
      </c>
      <c r="K1498" s="174">
        <v>786</v>
      </c>
      <c r="M1498" s="217" t="s">
        <v>47</v>
      </c>
      <c r="N1498" s="183" t="s">
        <v>1984</v>
      </c>
    </row>
    <row r="1499" spans="1:14">
      <c r="A1499" s="140" t="str">
        <f t="shared" si="23"/>
        <v>17301-43852-00-A27B</v>
      </c>
      <c r="B1499" s="162" t="s">
        <v>1118</v>
      </c>
      <c r="D1499" s="162" t="s">
        <v>1640</v>
      </c>
      <c r="E1499" s="162" t="s">
        <v>1650</v>
      </c>
      <c r="F1499" s="171">
        <v>61205</v>
      </c>
      <c r="G1499" s="141" t="s">
        <v>1648</v>
      </c>
      <c r="H1499" s="174">
        <v>0</v>
      </c>
      <c r="I1499" s="188" t="s">
        <v>808</v>
      </c>
      <c r="J1499" s="174">
        <v>1833</v>
      </c>
      <c r="K1499" s="174">
        <v>1833</v>
      </c>
      <c r="M1499" s="217" t="s">
        <v>47</v>
      </c>
      <c r="N1499" s="183" t="s">
        <v>1984</v>
      </c>
    </row>
    <row r="1500" spans="1:14" ht="54" hidden="1">
      <c r="A1500" s="140" t="str">
        <f t="shared" si="23"/>
        <v>17301-43852-01-A25F</v>
      </c>
      <c r="B1500" s="162" t="s">
        <v>1118</v>
      </c>
      <c r="D1500" s="162" t="s">
        <v>1640</v>
      </c>
      <c r="E1500" s="162" t="s">
        <v>1650</v>
      </c>
      <c r="F1500" s="171" t="s">
        <v>1669</v>
      </c>
      <c r="G1500" s="141" t="s">
        <v>1648</v>
      </c>
      <c r="H1500" s="174">
        <v>1</v>
      </c>
      <c r="I1500" s="188" t="s">
        <v>528</v>
      </c>
      <c r="J1500" s="174">
        <v>1414</v>
      </c>
      <c r="K1500" s="174">
        <v>1414</v>
      </c>
      <c r="N1500" s="183" t="s">
        <v>1985</v>
      </c>
    </row>
    <row r="1501" spans="1:14" ht="54" hidden="1">
      <c r="A1501" s="140" t="str">
        <f t="shared" si="23"/>
        <v>17301-43852-01-A25G</v>
      </c>
      <c r="B1501" s="162" t="s">
        <v>1118</v>
      </c>
      <c r="D1501" s="162" t="s">
        <v>1640</v>
      </c>
      <c r="E1501" s="162" t="s">
        <v>1650</v>
      </c>
      <c r="F1501" s="171" t="s">
        <v>1669</v>
      </c>
      <c r="G1501" s="141" t="s">
        <v>1648</v>
      </c>
      <c r="H1501" s="174">
        <v>1</v>
      </c>
      <c r="I1501" s="188" t="s">
        <v>806</v>
      </c>
      <c r="J1501" s="174">
        <v>1358</v>
      </c>
      <c r="K1501" s="174">
        <v>1358</v>
      </c>
      <c r="N1501" s="183" t="s">
        <v>1985</v>
      </c>
    </row>
    <row r="1502" spans="1:14" ht="54">
      <c r="A1502" s="140" t="str">
        <f t="shared" si="23"/>
        <v>17301-43852-01-A27A</v>
      </c>
      <c r="B1502" s="162" t="s">
        <v>1118</v>
      </c>
      <c r="D1502" s="162" t="s">
        <v>1640</v>
      </c>
      <c r="E1502" s="162" t="s">
        <v>1650</v>
      </c>
      <c r="F1502" s="171" t="s">
        <v>1669</v>
      </c>
      <c r="G1502" s="141" t="s">
        <v>1648</v>
      </c>
      <c r="H1502" s="174">
        <v>1</v>
      </c>
      <c r="I1502" s="188" t="s">
        <v>823</v>
      </c>
      <c r="J1502" s="174">
        <v>786</v>
      </c>
      <c r="K1502" s="174">
        <v>786</v>
      </c>
      <c r="N1502" s="183" t="s">
        <v>1985</v>
      </c>
    </row>
    <row r="1503" spans="1:14" ht="54">
      <c r="A1503" s="140" t="str">
        <f t="shared" si="23"/>
        <v>17301-43852-01-A27B</v>
      </c>
      <c r="B1503" s="162" t="s">
        <v>1118</v>
      </c>
      <c r="D1503" s="162" t="s">
        <v>1640</v>
      </c>
      <c r="E1503" s="162" t="s">
        <v>1650</v>
      </c>
      <c r="F1503" s="171" t="s">
        <v>1669</v>
      </c>
      <c r="G1503" s="141" t="s">
        <v>1648</v>
      </c>
      <c r="H1503" s="174">
        <v>1</v>
      </c>
      <c r="I1503" s="188" t="s">
        <v>808</v>
      </c>
      <c r="J1503" s="174">
        <v>1833</v>
      </c>
      <c r="K1503" s="174">
        <v>1833</v>
      </c>
      <c r="N1503" s="183" t="s">
        <v>1985</v>
      </c>
    </row>
    <row r="1504" spans="1:14" ht="54" hidden="1">
      <c r="A1504" s="140" t="str">
        <f t="shared" si="23"/>
        <v>17301-43860-01-A13A</v>
      </c>
      <c r="B1504" s="162" t="s">
        <v>1118</v>
      </c>
      <c r="D1504" s="162" t="s">
        <v>1640</v>
      </c>
      <c r="E1504" s="162" t="s">
        <v>1650</v>
      </c>
      <c r="F1504" s="171">
        <v>55857</v>
      </c>
      <c r="G1504" s="141" t="s">
        <v>1676</v>
      </c>
      <c r="H1504" s="174">
        <v>1</v>
      </c>
      <c r="I1504" s="186" t="s">
        <v>1645</v>
      </c>
      <c r="J1504" s="174">
        <v>2106</v>
      </c>
      <c r="K1504" s="174">
        <v>2105</v>
      </c>
      <c r="M1504" s="217" t="s">
        <v>1690</v>
      </c>
      <c r="N1504" s="183" t="s">
        <v>1986</v>
      </c>
    </row>
    <row r="1505" spans="1:14" hidden="1">
      <c r="A1505" s="140" t="str">
        <f t="shared" si="23"/>
        <v>17301-43860-03-A13A</v>
      </c>
      <c r="B1505" s="162" t="s">
        <v>1118</v>
      </c>
      <c r="D1505" s="162" t="s">
        <v>1640</v>
      </c>
      <c r="E1505" s="162" t="s">
        <v>1650</v>
      </c>
      <c r="F1505" s="171">
        <v>61698</v>
      </c>
      <c r="G1505" s="141" t="s">
        <v>1676</v>
      </c>
      <c r="H1505" s="174">
        <v>3</v>
      </c>
      <c r="I1505" s="186" t="s">
        <v>1645</v>
      </c>
      <c r="J1505" s="174">
        <v>2424</v>
      </c>
      <c r="K1505" s="174">
        <v>2424</v>
      </c>
      <c r="M1505" s="217" t="s">
        <v>1664</v>
      </c>
      <c r="N1505" s="183" t="s">
        <v>1987</v>
      </c>
    </row>
    <row r="1506" spans="1:14" hidden="1">
      <c r="A1506" s="140" t="str">
        <f t="shared" si="23"/>
        <v>17301-43861-00-A13A</v>
      </c>
      <c r="B1506" s="162" t="s">
        <v>1118</v>
      </c>
      <c r="D1506" s="162" t="s">
        <v>1640</v>
      </c>
      <c r="E1506" s="162" t="s">
        <v>1650</v>
      </c>
      <c r="F1506" s="171">
        <v>61205</v>
      </c>
      <c r="G1506" s="141" t="s">
        <v>1678</v>
      </c>
      <c r="H1506" s="174">
        <v>0</v>
      </c>
      <c r="I1506" s="186" t="s">
        <v>1645</v>
      </c>
      <c r="J1506" s="174">
        <v>3112</v>
      </c>
      <c r="K1506" s="174">
        <v>3110</v>
      </c>
      <c r="N1506" s="183" t="s">
        <v>1984</v>
      </c>
    </row>
    <row r="1507" spans="1:14" hidden="1">
      <c r="A1507" s="140" t="str">
        <f t="shared" si="23"/>
        <v>17301-43861-01-A13A</v>
      </c>
      <c r="B1507" s="162" t="s">
        <v>1118</v>
      </c>
      <c r="D1507" s="162" t="s">
        <v>1640</v>
      </c>
      <c r="E1507" s="162" t="s">
        <v>1650</v>
      </c>
      <c r="F1507" s="171">
        <v>61591</v>
      </c>
      <c r="G1507" s="141" t="s">
        <v>1678</v>
      </c>
      <c r="H1507" s="174">
        <v>1</v>
      </c>
      <c r="I1507" s="186" t="s">
        <v>1645</v>
      </c>
      <c r="J1507" s="174">
        <v>3112</v>
      </c>
      <c r="K1507" s="174">
        <v>3110</v>
      </c>
      <c r="M1507" s="217" t="s">
        <v>1490</v>
      </c>
      <c r="N1507" s="183" t="s">
        <v>1988</v>
      </c>
    </row>
    <row r="1508" spans="1:14" ht="27" hidden="1">
      <c r="A1508" s="140" t="str">
        <f t="shared" si="23"/>
        <v>17301-43870-01-J7B</v>
      </c>
      <c r="B1508" s="162" t="s">
        <v>1118</v>
      </c>
      <c r="D1508" s="162" t="s">
        <v>1124</v>
      </c>
      <c r="E1508" s="162" t="s">
        <v>1596</v>
      </c>
      <c r="F1508" s="171">
        <v>61727</v>
      </c>
      <c r="G1508" s="141" t="s">
        <v>1642</v>
      </c>
      <c r="H1508" s="174">
        <v>1</v>
      </c>
      <c r="I1508" s="186" t="s">
        <v>1700</v>
      </c>
      <c r="J1508" s="174">
        <v>2109</v>
      </c>
      <c r="M1508" s="217" t="s">
        <v>1702</v>
      </c>
      <c r="N1508" s="183" t="s">
        <v>1989</v>
      </c>
    </row>
    <row r="1509" spans="1:14" hidden="1">
      <c r="A1509" s="140" t="str">
        <f t="shared" si="23"/>
        <v>17301-43870-02-J7B</v>
      </c>
      <c r="B1509" s="162" t="s">
        <v>1118</v>
      </c>
      <c r="D1509" s="162" t="s">
        <v>1124</v>
      </c>
      <c r="E1509" s="162" t="s">
        <v>1596</v>
      </c>
      <c r="F1509" s="171">
        <v>62317</v>
      </c>
      <c r="G1509" s="141" t="s">
        <v>1642</v>
      </c>
      <c r="H1509" s="174">
        <v>2</v>
      </c>
      <c r="I1509" s="186" t="s">
        <v>1700</v>
      </c>
      <c r="J1509" s="174">
        <v>2253</v>
      </c>
      <c r="K1509" s="174">
        <v>2253</v>
      </c>
      <c r="M1509" s="217" t="s">
        <v>1702</v>
      </c>
      <c r="N1509" s="183" t="s">
        <v>1968</v>
      </c>
    </row>
    <row r="1510" spans="1:14" hidden="1">
      <c r="A1510" s="140" t="str">
        <f t="shared" si="23"/>
        <v>17301-43880-01-L85G</v>
      </c>
      <c r="B1510" s="162" t="s">
        <v>1118</v>
      </c>
      <c r="D1510" s="162" t="s">
        <v>1640</v>
      </c>
      <c r="E1510" s="162" t="s">
        <v>1650</v>
      </c>
      <c r="F1510" s="171">
        <v>61086</v>
      </c>
      <c r="G1510" s="141" t="s">
        <v>1674</v>
      </c>
      <c r="H1510" s="174">
        <v>1</v>
      </c>
      <c r="I1510" s="188" t="s">
        <v>1643</v>
      </c>
      <c r="J1510" s="174">
        <v>6</v>
      </c>
      <c r="K1510" s="174">
        <v>6</v>
      </c>
      <c r="M1510" s="217" t="s">
        <v>1666</v>
      </c>
      <c r="N1510" s="183" t="s">
        <v>1990</v>
      </c>
    </row>
    <row r="1511" spans="1:14" ht="27" hidden="1">
      <c r="A1511" s="140" t="str">
        <f t="shared" si="23"/>
        <v>17301-43880-02-L85G</v>
      </c>
      <c r="B1511" s="162" t="s">
        <v>1118</v>
      </c>
      <c r="D1511" s="162" t="s">
        <v>1640</v>
      </c>
      <c r="E1511" s="162" t="s">
        <v>1650</v>
      </c>
      <c r="F1511" s="171">
        <v>61807</v>
      </c>
      <c r="G1511" s="141" t="s">
        <v>1674</v>
      </c>
      <c r="H1511" s="174">
        <v>2</v>
      </c>
      <c r="I1511" s="188" t="s">
        <v>1643</v>
      </c>
      <c r="J1511" s="174">
        <v>6</v>
      </c>
      <c r="K1511" s="174">
        <v>6</v>
      </c>
      <c r="M1511" s="217" t="s">
        <v>1685</v>
      </c>
      <c r="N1511" s="183" t="s">
        <v>1991</v>
      </c>
    </row>
    <row r="1512" spans="1:14" hidden="1">
      <c r="A1512" s="140" t="str">
        <f t="shared" si="23"/>
        <v>63542-00556-00-A7G</v>
      </c>
      <c r="B1512" s="162" t="s">
        <v>1119</v>
      </c>
      <c r="C1512" s="162" t="s">
        <v>1787</v>
      </c>
      <c r="D1512" s="162" t="s">
        <v>1122</v>
      </c>
      <c r="F1512" s="171">
        <v>62121</v>
      </c>
      <c r="G1512" s="144" t="s">
        <v>1031</v>
      </c>
      <c r="H1512" s="174">
        <v>0</v>
      </c>
      <c r="I1512" s="186" t="s">
        <v>1046</v>
      </c>
      <c r="M1512" s="217" t="s">
        <v>1045</v>
      </c>
    </row>
    <row r="1513" spans="1:14" hidden="1">
      <c r="A1513" s="140" t="str">
        <f t="shared" ref="A1513:A1576" si="24">G1513&amp;"-"&amp;TEXT(H1513,"00")&amp;"-"&amp;I1513</f>
        <v>17301-43810-05-A13A</v>
      </c>
      <c r="B1513" s="162" t="s">
        <v>2033</v>
      </c>
      <c r="C1513" s="162" t="s">
        <v>2033</v>
      </c>
      <c r="D1513" s="162" t="s">
        <v>1382</v>
      </c>
      <c r="F1513" s="171">
        <v>53838</v>
      </c>
      <c r="G1513" s="141" t="s">
        <v>2117</v>
      </c>
      <c r="H1513" s="174">
        <v>5</v>
      </c>
      <c r="I1513" s="210" t="s">
        <v>2119</v>
      </c>
      <c r="J1513" s="174">
        <v>1315</v>
      </c>
      <c r="K1513" s="174">
        <v>1315</v>
      </c>
      <c r="M1513" s="217" t="s">
        <v>298</v>
      </c>
      <c r="N1513" s="183" t="s">
        <v>2157</v>
      </c>
    </row>
    <row r="1514" spans="1:14" hidden="1">
      <c r="A1514" s="140" t="str">
        <f t="shared" si="24"/>
        <v>17301-43810-02-A13A</v>
      </c>
      <c r="B1514" s="162" t="s">
        <v>2033</v>
      </c>
      <c r="C1514" s="162" t="s">
        <v>2033</v>
      </c>
      <c r="D1514" s="162" t="s">
        <v>1382</v>
      </c>
      <c r="F1514" s="171">
        <v>50197</v>
      </c>
      <c r="G1514" s="173" t="s">
        <v>2118</v>
      </c>
      <c r="H1514" s="174">
        <v>2</v>
      </c>
      <c r="I1514" s="210" t="s">
        <v>2119</v>
      </c>
      <c r="J1514" s="174">
        <v>7</v>
      </c>
      <c r="K1514" s="174">
        <v>7</v>
      </c>
      <c r="N1514" s="183" t="s">
        <v>2158</v>
      </c>
    </row>
    <row r="1515" spans="1:14" ht="54" hidden="1">
      <c r="A1515" s="140" t="str">
        <f t="shared" si="24"/>
        <v>17301-43810-03-A13A</v>
      </c>
      <c r="B1515" s="162" t="s">
        <v>2033</v>
      </c>
      <c r="C1515" s="162" t="s">
        <v>2033</v>
      </c>
      <c r="D1515" s="162" t="s">
        <v>1382</v>
      </c>
      <c r="F1515" s="171">
        <v>51119</v>
      </c>
      <c r="G1515" s="173" t="s">
        <v>2118</v>
      </c>
      <c r="H1515" s="174">
        <v>3</v>
      </c>
      <c r="I1515" s="210" t="s">
        <v>2119</v>
      </c>
      <c r="J1515" s="174">
        <v>16</v>
      </c>
      <c r="K1515" s="174">
        <v>16</v>
      </c>
      <c r="M1515" s="217" t="s">
        <v>360</v>
      </c>
      <c r="N1515" s="183" t="s">
        <v>2159</v>
      </c>
    </row>
    <row r="1516" spans="1:14" hidden="1">
      <c r="A1516" s="140" t="str">
        <f t="shared" si="24"/>
        <v>17301-43810-04-A13A</v>
      </c>
      <c r="B1516" s="162" t="s">
        <v>2033</v>
      </c>
      <c r="C1516" s="162" t="s">
        <v>2033</v>
      </c>
      <c r="D1516" s="162" t="s">
        <v>1382</v>
      </c>
      <c r="F1516" s="171">
        <v>52642</v>
      </c>
      <c r="G1516" s="173" t="s">
        <v>2118</v>
      </c>
      <c r="H1516" s="174">
        <v>4</v>
      </c>
      <c r="I1516" s="210" t="s">
        <v>2119</v>
      </c>
      <c r="J1516" s="174">
        <v>877</v>
      </c>
      <c r="K1516" s="174">
        <v>877</v>
      </c>
      <c r="M1516" s="217" t="s">
        <v>1299</v>
      </c>
      <c r="N1516" s="183" t="s">
        <v>2160</v>
      </c>
    </row>
    <row r="1517" spans="1:14" hidden="1">
      <c r="A1517" s="140" t="str">
        <f t="shared" si="24"/>
        <v>-00-</v>
      </c>
    </row>
    <row r="1518" spans="1:14" hidden="1">
      <c r="A1518" s="140" t="str">
        <f t="shared" si="24"/>
        <v>-00-</v>
      </c>
    </row>
    <row r="1519" spans="1:14" hidden="1">
      <c r="A1519" s="140" t="str">
        <f t="shared" si="24"/>
        <v>-00-</v>
      </c>
    </row>
    <row r="1520" spans="1:14" hidden="1">
      <c r="A1520" s="140" t="str">
        <f t="shared" si="24"/>
        <v>-00-</v>
      </c>
    </row>
    <row r="1521" spans="1:1" hidden="1">
      <c r="A1521" s="140" t="str">
        <f t="shared" si="24"/>
        <v>-00-</v>
      </c>
    </row>
    <row r="1522" spans="1:1" hidden="1">
      <c r="A1522" s="140" t="str">
        <f t="shared" si="24"/>
        <v>-00-</v>
      </c>
    </row>
    <row r="1523" spans="1:1" hidden="1">
      <c r="A1523" s="140" t="str">
        <f t="shared" si="24"/>
        <v>-00-</v>
      </c>
    </row>
    <row r="1524" spans="1:1" hidden="1">
      <c r="A1524" s="140" t="str">
        <f t="shared" si="24"/>
        <v>-00-</v>
      </c>
    </row>
    <row r="1525" spans="1:1" hidden="1">
      <c r="A1525" s="140" t="str">
        <f t="shared" si="24"/>
        <v>-00-</v>
      </c>
    </row>
    <row r="1526" spans="1:1" hidden="1">
      <c r="A1526" s="140" t="str">
        <f t="shared" si="24"/>
        <v>-00-</v>
      </c>
    </row>
    <row r="1527" spans="1:1" hidden="1">
      <c r="A1527" s="140" t="str">
        <f t="shared" si="24"/>
        <v>-00-</v>
      </c>
    </row>
    <row r="1528" spans="1:1" hidden="1">
      <c r="A1528" s="140" t="str">
        <f t="shared" si="24"/>
        <v>-00-</v>
      </c>
    </row>
    <row r="1529" spans="1:1" hidden="1">
      <c r="A1529" s="140" t="str">
        <f t="shared" si="24"/>
        <v>-00-</v>
      </c>
    </row>
    <row r="1530" spans="1:1" hidden="1">
      <c r="A1530" s="140" t="str">
        <f t="shared" si="24"/>
        <v>-00-</v>
      </c>
    </row>
    <row r="1531" spans="1:1" hidden="1">
      <c r="A1531" s="140" t="str">
        <f t="shared" si="24"/>
        <v>-00-</v>
      </c>
    </row>
    <row r="1532" spans="1:1" hidden="1">
      <c r="A1532" s="140" t="str">
        <f t="shared" si="24"/>
        <v>-00-</v>
      </c>
    </row>
    <row r="1533" spans="1:1" hidden="1">
      <c r="A1533" s="140" t="str">
        <f t="shared" si="24"/>
        <v>-00-</v>
      </c>
    </row>
    <row r="1534" spans="1:1" hidden="1">
      <c r="A1534" s="140" t="str">
        <f t="shared" si="24"/>
        <v>-00-</v>
      </c>
    </row>
    <row r="1535" spans="1:1" hidden="1">
      <c r="A1535" s="140" t="str">
        <f t="shared" si="24"/>
        <v>-00-</v>
      </c>
    </row>
    <row r="1536" spans="1:1" hidden="1">
      <c r="A1536" s="140" t="str">
        <f t="shared" si="24"/>
        <v>-00-</v>
      </c>
    </row>
    <row r="1537" spans="1:1" hidden="1">
      <c r="A1537" s="140" t="str">
        <f t="shared" si="24"/>
        <v>-00-</v>
      </c>
    </row>
    <row r="1538" spans="1:1" hidden="1">
      <c r="A1538" s="140" t="str">
        <f t="shared" si="24"/>
        <v>-00-</v>
      </c>
    </row>
    <row r="1539" spans="1:1" hidden="1">
      <c r="A1539" s="140" t="str">
        <f t="shared" si="24"/>
        <v>-00-</v>
      </c>
    </row>
    <row r="1540" spans="1:1" hidden="1">
      <c r="A1540" s="140" t="str">
        <f t="shared" si="24"/>
        <v>-00-</v>
      </c>
    </row>
    <row r="1541" spans="1:1" hidden="1">
      <c r="A1541" s="140" t="str">
        <f t="shared" si="24"/>
        <v>-00-</v>
      </c>
    </row>
    <row r="1542" spans="1:1" hidden="1">
      <c r="A1542" s="140" t="str">
        <f t="shared" si="24"/>
        <v>-00-</v>
      </c>
    </row>
    <row r="1543" spans="1:1" hidden="1">
      <c r="A1543" s="140" t="str">
        <f t="shared" si="24"/>
        <v>-00-</v>
      </c>
    </row>
    <row r="1544" spans="1:1" hidden="1">
      <c r="A1544" s="140" t="str">
        <f t="shared" si="24"/>
        <v>-00-</v>
      </c>
    </row>
    <row r="1545" spans="1:1" hidden="1">
      <c r="A1545" s="140" t="str">
        <f t="shared" si="24"/>
        <v>-00-</v>
      </c>
    </row>
    <row r="1546" spans="1:1" hidden="1">
      <c r="A1546" s="140" t="str">
        <f t="shared" si="24"/>
        <v>-00-</v>
      </c>
    </row>
    <row r="1547" spans="1:1" hidden="1">
      <c r="A1547" s="140" t="str">
        <f t="shared" si="24"/>
        <v>-00-</v>
      </c>
    </row>
    <row r="1548" spans="1:1" hidden="1">
      <c r="A1548" s="140" t="str">
        <f t="shared" si="24"/>
        <v>-00-</v>
      </c>
    </row>
    <row r="1549" spans="1:1" hidden="1">
      <c r="A1549" s="140" t="str">
        <f t="shared" si="24"/>
        <v>-00-</v>
      </c>
    </row>
    <row r="1550" spans="1:1" hidden="1">
      <c r="A1550" s="140" t="str">
        <f t="shared" si="24"/>
        <v>-00-</v>
      </c>
    </row>
    <row r="1551" spans="1:1" hidden="1">
      <c r="A1551" s="140" t="str">
        <f t="shared" si="24"/>
        <v>-00-</v>
      </c>
    </row>
    <row r="1552" spans="1:1" hidden="1">
      <c r="A1552" s="140" t="str">
        <f t="shared" si="24"/>
        <v>-00-</v>
      </c>
    </row>
    <row r="1553" spans="1:1" hidden="1">
      <c r="A1553" s="140" t="str">
        <f t="shared" si="24"/>
        <v>-00-</v>
      </c>
    </row>
    <row r="1554" spans="1:1" hidden="1">
      <c r="A1554" s="140" t="str">
        <f t="shared" si="24"/>
        <v>-00-</v>
      </c>
    </row>
    <row r="1555" spans="1:1" hidden="1">
      <c r="A1555" s="140" t="str">
        <f t="shared" si="24"/>
        <v>-00-</v>
      </c>
    </row>
    <row r="1556" spans="1:1" hidden="1">
      <c r="A1556" s="140" t="str">
        <f t="shared" si="24"/>
        <v>-00-</v>
      </c>
    </row>
    <row r="1557" spans="1:1" hidden="1">
      <c r="A1557" s="140" t="str">
        <f t="shared" si="24"/>
        <v>-00-</v>
      </c>
    </row>
    <row r="1558" spans="1:1" hidden="1">
      <c r="A1558" s="140" t="str">
        <f t="shared" si="24"/>
        <v>-00-</v>
      </c>
    </row>
    <row r="1559" spans="1:1" hidden="1">
      <c r="A1559" s="140" t="str">
        <f t="shared" si="24"/>
        <v>-00-</v>
      </c>
    </row>
    <row r="1560" spans="1:1" hidden="1">
      <c r="A1560" s="140" t="str">
        <f t="shared" si="24"/>
        <v>-00-</v>
      </c>
    </row>
    <row r="1561" spans="1:1" hidden="1">
      <c r="A1561" s="140" t="str">
        <f t="shared" si="24"/>
        <v>-00-</v>
      </c>
    </row>
    <row r="1562" spans="1:1" hidden="1">
      <c r="A1562" s="140" t="str">
        <f t="shared" si="24"/>
        <v>-00-</v>
      </c>
    </row>
    <row r="1563" spans="1:1" hidden="1">
      <c r="A1563" s="140" t="str">
        <f t="shared" si="24"/>
        <v>-00-</v>
      </c>
    </row>
    <row r="1564" spans="1:1" hidden="1">
      <c r="A1564" s="140" t="str">
        <f t="shared" si="24"/>
        <v>-00-</v>
      </c>
    </row>
    <row r="1565" spans="1:1" hidden="1">
      <c r="A1565" s="140" t="str">
        <f t="shared" si="24"/>
        <v>-00-</v>
      </c>
    </row>
    <row r="1566" spans="1:1" hidden="1">
      <c r="A1566" s="140" t="str">
        <f t="shared" si="24"/>
        <v>-00-</v>
      </c>
    </row>
    <row r="1567" spans="1:1" hidden="1">
      <c r="A1567" s="140" t="str">
        <f t="shared" si="24"/>
        <v>-00-</v>
      </c>
    </row>
    <row r="1568" spans="1:1" hidden="1">
      <c r="A1568" s="140" t="str">
        <f t="shared" si="24"/>
        <v>-00-</v>
      </c>
    </row>
    <row r="1569" spans="1:1" hidden="1">
      <c r="A1569" s="140" t="str">
        <f t="shared" si="24"/>
        <v>-00-</v>
      </c>
    </row>
    <row r="1570" spans="1:1" hidden="1">
      <c r="A1570" s="140" t="str">
        <f t="shared" si="24"/>
        <v>-00-</v>
      </c>
    </row>
    <row r="1571" spans="1:1" hidden="1">
      <c r="A1571" s="140" t="str">
        <f t="shared" si="24"/>
        <v>-00-</v>
      </c>
    </row>
    <row r="1572" spans="1:1" hidden="1">
      <c r="A1572" s="140" t="str">
        <f t="shared" si="24"/>
        <v>-00-</v>
      </c>
    </row>
    <row r="1573" spans="1:1" hidden="1">
      <c r="A1573" s="140" t="str">
        <f t="shared" si="24"/>
        <v>-00-</v>
      </c>
    </row>
    <row r="1574" spans="1:1" hidden="1">
      <c r="A1574" s="140" t="str">
        <f t="shared" si="24"/>
        <v>-00-</v>
      </c>
    </row>
    <row r="1575" spans="1:1" hidden="1">
      <c r="A1575" s="140" t="str">
        <f t="shared" si="24"/>
        <v>-00-</v>
      </c>
    </row>
    <row r="1576" spans="1:1" hidden="1">
      <c r="A1576" s="140" t="str">
        <f t="shared" si="24"/>
        <v>-00-</v>
      </c>
    </row>
    <row r="1577" spans="1:1" hidden="1">
      <c r="A1577" s="140" t="str">
        <f t="shared" ref="A1577:A1595" si="25">G1577&amp;"-"&amp;TEXT(H1577,"00")&amp;"-"&amp;I1577</f>
        <v>-00-</v>
      </c>
    </row>
    <row r="1578" spans="1:1" hidden="1">
      <c r="A1578" s="140" t="str">
        <f t="shared" si="25"/>
        <v>-00-</v>
      </c>
    </row>
    <row r="1579" spans="1:1" hidden="1">
      <c r="A1579" s="140" t="str">
        <f t="shared" si="25"/>
        <v>-00-</v>
      </c>
    </row>
    <row r="1580" spans="1:1" hidden="1">
      <c r="A1580" s="140" t="str">
        <f t="shared" si="25"/>
        <v>-00-</v>
      </c>
    </row>
    <row r="1581" spans="1:1" hidden="1">
      <c r="A1581" s="140" t="str">
        <f t="shared" si="25"/>
        <v>-00-</v>
      </c>
    </row>
    <row r="1582" spans="1:1" hidden="1">
      <c r="A1582" s="140" t="str">
        <f t="shared" si="25"/>
        <v>-00-</v>
      </c>
    </row>
    <row r="1583" spans="1:1" hidden="1">
      <c r="A1583" s="140" t="str">
        <f t="shared" si="25"/>
        <v>-00-</v>
      </c>
    </row>
    <row r="1584" spans="1:1" hidden="1">
      <c r="A1584" s="140" t="str">
        <f t="shared" si="25"/>
        <v>-00-</v>
      </c>
    </row>
    <row r="1585" spans="1:1" hidden="1">
      <c r="A1585" s="140" t="str">
        <f t="shared" si="25"/>
        <v>-00-</v>
      </c>
    </row>
    <row r="1586" spans="1:1" hidden="1">
      <c r="A1586" s="140" t="str">
        <f t="shared" si="25"/>
        <v>-00-</v>
      </c>
    </row>
    <row r="1587" spans="1:1" hidden="1">
      <c r="A1587" s="140" t="str">
        <f t="shared" si="25"/>
        <v>-00-</v>
      </c>
    </row>
    <row r="1588" spans="1:1" hidden="1">
      <c r="A1588" s="140" t="str">
        <f t="shared" si="25"/>
        <v>-00-</v>
      </c>
    </row>
    <row r="1589" spans="1:1" hidden="1">
      <c r="A1589" s="140" t="str">
        <f t="shared" si="25"/>
        <v>-00-</v>
      </c>
    </row>
    <row r="1590" spans="1:1" hidden="1">
      <c r="A1590" s="140" t="str">
        <f t="shared" si="25"/>
        <v>-00-</v>
      </c>
    </row>
    <row r="1591" spans="1:1" hidden="1">
      <c r="A1591" s="140" t="str">
        <f t="shared" si="25"/>
        <v>-00-</v>
      </c>
    </row>
    <row r="1592" spans="1:1" hidden="1">
      <c r="A1592" s="140" t="str">
        <f t="shared" si="25"/>
        <v>-00-</v>
      </c>
    </row>
    <row r="1593" spans="1:1" hidden="1">
      <c r="A1593" s="140" t="str">
        <f t="shared" si="25"/>
        <v>-00-</v>
      </c>
    </row>
    <row r="1594" spans="1:1" hidden="1">
      <c r="A1594" s="140" t="str">
        <f t="shared" si="25"/>
        <v>-00-</v>
      </c>
    </row>
    <row r="1595" spans="1:1" hidden="1">
      <c r="A1595" s="140" t="str">
        <f t="shared" si="25"/>
        <v>-00-</v>
      </c>
    </row>
  </sheetData>
  <autoFilter ref="A1:X1595" xr:uid="{6B6F3FAF-CA73-438B-8BC3-5C3841A3CDA0}">
    <filterColumn colId="8">
      <filters>
        <filter val="A27A"/>
        <filter val="A27A_x0009_"/>
        <filter val="A27B"/>
      </filters>
    </filterColumn>
  </autoFilter>
  <sortState xmlns:xlrd2="http://schemas.microsoft.com/office/spreadsheetml/2017/richdata2" ref="B2:X1512">
    <sortCondition ref="G2:G1512"/>
    <sortCondition ref="H2:H1512"/>
  </sortState>
  <phoneticPr fontId="1"/>
  <conditionalFormatting sqref="A2:A1595">
    <cfRule type="duplicateValues" dxfId="1" priority="40"/>
    <cfRule type="duplicateValues" dxfId="0" priority="41"/>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AA76F-ABD3-4F4F-8CD1-C0307E17D07C}">
  <sheetPr codeName="Sheet4"/>
  <dimension ref="A1:Y188"/>
  <sheetViews>
    <sheetView topLeftCell="K86" zoomScale="70" zoomScaleNormal="70" workbookViewId="0">
      <selection activeCell="G227" sqref="C227:G244"/>
    </sheetView>
  </sheetViews>
  <sheetFormatPr defaultColWidth="15.5" defaultRowHeight="24" customHeight="1"/>
  <cols>
    <col min="1" max="1" width="5.875" style="4" customWidth="1"/>
    <col min="2" max="2" width="15.5" style="11"/>
    <col min="3" max="3" width="17" style="4" bestFit="1" customWidth="1"/>
    <col min="4" max="4" width="20" style="4" customWidth="1"/>
    <col min="5" max="7" width="10" style="4" customWidth="1"/>
    <col min="8" max="8" width="31.375" style="4" bestFit="1" customWidth="1"/>
    <col min="9" max="9" width="22" style="4" customWidth="1"/>
    <col min="10" max="10" width="29.625" style="4" bestFit="1" customWidth="1"/>
    <col min="11" max="11" width="22" style="4" customWidth="1"/>
    <col min="12" max="16" width="21.125" style="4" customWidth="1"/>
    <col min="17" max="17" width="11.125" style="4" customWidth="1"/>
    <col min="18" max="18" width="16.75" style="11" bestFit="1" customWidth="1"/>
    <col min="19" max="19" width="24.5" style="14" customWidth="1"/>
    <col min="20" max="20" width="43.375" style="4" customWidth="1"/>
    <col min="21" max="21" width="26.75" style="4" customWidth="1"/>
    <col min="22" max="16384" width="15.5" style="4"/>
  </cols>
  <sheetData>
    <row r="1" spans="2:19" ht="24" customHeight="1">
      <c r="C1" s="5" t="s">
        <v>544</v>
      </c>
      <c r="K1" s="9"/>
      <c r="S1" s="82"/>
    </row>
    <row r="2" spans="2:19" ht="24" customHeight="1">
      <c r="B2" s="13" t="s">
        <v>1</v>
      </c>
      <c r="C2" s="3" t="s">
        <v>545</v>
      </c>
      <c r="D2" s="220" t="s">
        <v>546</v>
      </c>
      <c r="E2" s="221"/>
      <c r="F2" s="221"/>
      <c r="G2" s="222"/>
      <c r="H2" s="2" t="s">
        <v>547</v>
      </c>
      <c r="I2" s="2" t="s">
        <v>548</v>
      </c>
      <c r="J2" s="2" t="s">
        <v>549</v>
      </c>
      <c r="K2" s="2" t="s">
        <v>550</v>
      </c>
      <c r="L2" s="16"/>
      <c r="M2" s="16"/>
      <c r="N2" s="16"/>
      <c r="O2" s="16"/>
      <c r="P2" s="16"/>
      <c r="Q2" s="14"/>
      <c r="R2" s="41"/>
      <c r="S2" s="82"/>
    </row>
    <row r="3" spans="2:19" ht="30" customHeight="1">
      <c r="B3" s="12" t="s">
        <v>10</v>
      </c>
      <c r="C3" s="3" t="s">
        <v>551</v>
      </c>
      <c r="D3" s="220" t="s">
        <v>552</v>
      </c>
      <c r="E3" s="221"/>
      <c r="F3" s="221"/>
      <c r="G3" s="222"/>
      <c r="H3" s="3" t="s">
        <v>553</v>
      </c>
      <c r="I3" s="3">
        <v>2</v>
      </c>
      <c r="J3" s="3">
        <v>20</v>
      </c>
      <c r="K3" s="3">
        <v>16</v>
      </c>
      <c r="Q3" s="14"/>
      <c r="R3" s="41"/>
      <c r="S3" s="4"/>
    </row>
    <row r="4" spans="2:19" ht="30" customHeight="1">
      <c r="B4" s="6" t="s">
        <v>6</v>
      </c>
      <c r="C4" s="3" t="s">
        <v>554</v>
      </c>
      <c r="D4" s="220" t="s">
        <v>555</v>
      </c>
      <c r="E4" s="221"/>
      <c r="F4" s="221"/>
      <c r="G4" s="222"/>
      <c r="H4" s="3" t="s">
        <v>553</v>
      </c>
      <c r="I4" s="3">
        <v>2</v>
      </c>
      <c r="J4" s="3">
        <v>20</v>
      </c>
      <c r="K4" s="3">
        <v>16</v>
      </c>
      <c r="Q4" s="14"/>
      <c r="R4" s="41"/>
      <c r="S4" s="4"/>
    </row>
    <row r="5" spans="2:19" ht="30" customHeight="1">
      <c r="B5" s="12" t="s">
        <v>10</v>
      </c>
      <c r="C5" s="3" t="s">
        <v>556</v>
      </c>
      <c r="D5" s="220" t="s">
        <v>557</v>
      </c>
      <c r="E5" s="221"/>
      <c r="F5" s="221"/>
      <c r="G5" s="222"/>
      <c r="H5" s="3" t="s">
        <v>558</v>
      </c>
      <c r="I5" s="3">
        <v>1</v>
      </c>
      <c r="J5" s="3">
        <v>6</v>
      </c>
      <c r="K5" s="3">
        <v>1</v>
      </c>
      <c r="Q5" s="14"/>
      <c r="R5" s="41"/>
      <c r="S5" s="4"/>
    </row>
    <row r="6" spans="2:19" ht="30" customHeight="1">
      <c r="B6" s="6" t="s">
        <v>6</v>
      </c>
      <c r="C6" s="3" t="s">
        <v>559</v>
      </c>
      <c r="D6" s="220" t="s">
        <v>560</v>
      </c>
      <c r="E6" s="221"/>
      <c r="F6" s="221"/>
      <c r="G6" s="222"/>
      <c r="H6" s="3" t="s">
        <v>561</v>
      </c>
      <c r="I6" s="3">
        <v>1</v>
      </c>
      <c r="J6" s="3">
        <v>17</v>
      </c>
      <c r="K6" s="3">
        <v>0</v>
      </c>
      <c r="Q6" s="14"/>
      <c r="R6" s="41"/>
      <c r="S6" s="4"/>
    </row>
    <row r="7" spans="2:19" ht="30" customHeight="1">
      <c r="B7" s="12" t="s">
        <v>10</v>
      </c>
      <c r="C7" s="3" t="s">
        <v>562</v>
      </c>
      <c r="D7" s="220" t="s">
        <v>563</v>
      </c>
      <c r="E7" s="221"/>
      <c r="F7" s="221"/>
      <c r="G7" s="222"/>
      <c r="H7" s="3" t="s">
        <v>564</v>
      </c>
      <c r="I7" s="3">
        <v>1</v>
      </c>
      <c r="J7" s="3">
        <v>0</v>
      </c>
      <c r="K7" s="3">
        <v>16</v>
      </c>
      <c r="Q7" s="14"/>
      <c r="R7" s="41"/>
      <c r="S7" s="4"/>
    </row>
    <row r="8" spans="2:19" ht="30" customHeight="1">
      <c r="B8" s="6" t="s">
        <v>6</v>
      </c>
      <c r="C8" s="3" t="s">
        <v>565</v>
      </c>
      <c r="D8" s="220" t="s">
        <v>566</v>
      </c>
      <c r="E8" s="221"/>
      <c r="F8" s="221"/>
      <c r="G8" s="222"/>
      <c r="H8" s="3" t="s">
        <v>564</v>
      </c>
      <c r="I8" s="3">
        <v>1</v>
      </c>
      <c r="J8" s="3">
        <v>0</v>
      </c>
      <c r="K8" s="3">
        <v>16</v>
      </c>
      <c r="Q8" s="14"/>
      <c r="R8" s="41"/>
      <c r="S8" s="4"/>
    </row>
    <row r="9" spans="2:19" ht="30" customHeight="1">
      <c r="B9" s="6" t="s">
        <v>6</v>
      </c>
      <c r="C9" s="3" t="s">
        <v>567</v>
      </c>
      <c r="D9" s="220" t="s">
        <v>566</v>
      </c>
      <c r="E9" s="221"/>
      <c r="F9" s="221"/>
      <c r="G9" s="222"/>
      <c r="H9" s="3" t="s">
        <v>568</v>
      </c>
      <c r="I9" s="3">
        <v>1</v>
      </c>
      <c r="J9" s="3">
        <v>0</v>
      </c>
      <c r="K9" s="3">
        <v>16</v>
      </c>
      <c r="Q9" s="14"/>
      <c r="R9" s="41"/>
      <c r="S9" s="4"/>
    </row>
    <row r="10" spans="2:19" ht="30" customHeight="1">
      <c r="B10" s="6" t="s">
        <v>6</v>
      </c>
      <c r="C10" s="3" t="s">
        <v>569</v>
      </c>
      <c r="D10" s="220" t="s">
        <v>570</v>
      </c>
      <c r="E10" s="221"/>
      <c r="F10" s="221"/>
      <c r="G10" s="222"/>
      <c r="H10" s="3" t="s">
        <v>571</v>
      </c>
      <c r="I10" s="3">
        <v>1</v>
      </c>
      <c r="J10" s="3">
        <v>6</v>
      </c>
      <c r="K10" s="3">
        <v>1</v>
      </c>
      <c r="Q10" s="14"/>
      <c r="R10" s="41"/>
      <c r="S10" s="4"/>
    </row>
    <row r="11" spans="2:19" ht="30" customHeight="1">
      <c r="B11" s="12" t="s">
        <v>10</v>
      </c>
      <c r="C11" s="3" t="s">
        <v>572</v>
      </c>
      <c r="D11" s="220" t="s">
        <v>573</v>
      </c>
      <c r="E11" s="221"/>
      <c r="F11" s="221"/>
      <c r="G11" s="222"/>
      <c r="H11" s="3" t="s">
        <v>574</v>
      </c>
      <c r="I11" s="3">
        <v>3</v>
      </c>
      <c r="J11" s="3">
        <v>33</v>
      </c>
      <c r="K11" s="3">
        <v>3</v>
      </c>
      <c r="Q11" s="14"/>
      <c r="R11" s="41"/>
      <c r="S11" s="4"/>
    </row>
    <row r="12" spans="2:19" ht="30" customHeight="1">
      <c r="B12" s="6" t="s">
        <v>6</v>
      </c>
      <c r="C12" s="3" t="s">
        <v>575</v>
      </c>
      <c r="D12" s="220" t="s">
        <v>576</v>
      </c>
      <c r="E12" s="221"/>
      <c r="F12" s="221"/>
      <c r="G12" s="222"/>
      <c r="H12" s="3" t="s">
        <v>577</v>
      </c>
      <c r="I12" s="3">
        <v>3</v>
      </c>
      <c r="J12" s="3">
        <v>33</v>
      </c>
      <c r="K12" s="3">
        <v>3</v>
      </c>
      <c r="Q12" s="14"/>
      <c r="R12" s="41"/>
      <c r="S12" s="4"/>
    </row>
    <row r="13" spans="2:19" ht="30" customHeight="1">
      <c r="B13" s="6" t="s">
        <v>6</v>
      </c>
      <c r="C13" s="3" t="s">
        <v>578</v>
      </c>
      <c r="D13" s="220" t="s">
        <v>579</v>
      </c>
      <c r="E13" s="221"/>
      <c r="F13" s="221"/>
      <c r="G13" s="222"/>
      <c r="H13" s="3" t="s">
        <v>580</v>
      </c>
      <c r="I13" s="3">
        <v>1</v>
      </c>
      <c r="J13" s="3">
        <v>5</v>
      </c>
      <c r="K13" s="3">
        <v>0</v>
      </c>
      <c r="Q13" s="14"/>
      <c r="R13" s="41"/>
      <c r="S13" s="4"/>
    </row>
    <row r="14" spans="2:19" ht="30" customHeight="1">
      <c r="B14" s="12" t="s">
        <v>10</v>
      </c>
      <c r="C14" s="3" t="s">
        <v>581</v>
      </c>
      <c r="D14" s="220" t="s">
        <v>582</v>
      </c>
      <c r="E14" s="221"/>
      <c r="F14" s="221"/>
      <c r="G14" s="222"/>
      <c r="H14" s="3" t="s">
        <v>583</v>
      </c>
      <c r="I14" s="3">
        <v>1</v>
      </c>
      <c r="J14" s="3">
        <v>0</v>
      </c>
      <c r="K14" s="3">
        <v>6</v>
      </c>
      <c r="Q14" s="14"/>
      <c r="R14" s="41"/>
      <c r="S14" s="4"/>
    </row>
    <row r="15" spans="2:19" ht="30" customHeight="1">
      <c r="B15" s="6" t="s">
        <v>6</v>
      </c>
      <c r="C15" s="3" t="s">
        <v>584</v>
      </c>
      <c r="D15" s="220" t="s">
        <v>585</v>
      </c>
      <c r="E15" s="221"/>
      <c r="F15" s="221"/>
      <c r="G15" s="222"/>
      <c r="H15" s="3" t="s">
        <v>583</v>
      </c>
      <c r="I15" s="3">
        <v>1</v>
      </c>
      <c r="J15" s="3">
        <v>0</v>
      </c>
      <c r="K15" s="3">
        <v>6</v>
      </c>
      <c r="Q15" s="14"/>
      <c r="R15" s="41"/>
      <c r="S15" s="4"/>
    </row>
    <row r="16" spans="2:19" ht="30" customHeight="1">
      <c r="B16" s="6" t="s">
        <v>6</v>
      </c>
      <c r="C16" s="3" t="s">
        <v>586</v>
      </c>
      <c r="D16" s="220" t="s">
        <v>585</v>
      </c>
      <c r="E16" s="221"/>
      <c r="F16" s="221"/>
      <c r="G16" s="222"/>
      <c r="H16" s="3" t="s">
        <v>587</v>
      </c>
      <c r="I16" s="3">
        <v>1</v>
      </c>
      <c r="J16" s="3">
        <v>0</v>
      </c>
      <c r="K16" s="3">
        <v>6</v>
      </c>
      <c r="Q16" s="14"/>
      <c r="R16" s="41"/>
      <c r="S16" s="4"/>
    </row>
    <row r="17" spans="2:19" ht="30" customHeight="1">
      <c r="B17" s="12" t="s">
        <v>10</v>
      </c>
      <c r="C17" s="3" t="s">
        <v>588</v>
      </c>
      <c r="D17" s="220" t="s">
        <v>589</v>
      </c>
      <c r="E17" s="221"/>
      <c r="F17" s="221"/>
      <c r="G17" s="222"/>
      <c r="H17" s="3" t="s">
        <v>590</v>
      </c>
      <c r="I17" s="3">
        <v>1</v>
      </c>
      <c r="J17" s="3">
        <v>13</v>
      </c>
      <c r="K17" s="3">
        <v>4</v>
      </c>
      <c r="Q17" s="14"/>
      <c r="R17" s="41"/>
      <c r="S17" s="4"/>
    </row>
    <row r="18" spans="2:19" ht="30" customHeight="1">
      <c r="B18" s="6" t="s">
        <v>6</v>
      </c>
      <c r="C18" s="3" t="s">
        <v>591</v>
      </c>
      <c r="D18" s="220" t="s">
        <v>592</v>
      </c>
      <c r="E18" s="221"/>
      <c r="F18" s="221"/>
      <c r="G18" s="222"/>
      <c r="H18" s="3" t="s">
        <v>590</v>
      </c>
      <c r="I18" s="3">
        <v>1</v>
      </c>
      <c r="J18" s="3">
        <v>13</v>
      </c>
      <c r="K18" s="3">
        <v>4</v>
      </c>
      <c r="Q18" s="14"/>
      <c r="R18" s="41"/>
      <c r="S18" s="4"/>
    </row>
    <row r="19" spans="2:19" ht="30" customHeight="1">
      <c r="B19" s="12" t="s">
        <v>10</v>
      </c>
      <c r="C19" s="3" t="s">
        <v>12</v>
      </c>
      <c r="D19" s="220" t="s">
        <v>593</v>
      </c>
      <c r="E19" s="221"/>
      <c r="F19" s="221"/>
      <c r="G19" s="222"/>
      <c r="H19" s="3" t="s">
        <v>594</v>
      </c>
      <c r="I19" s="3">
        <v>1</v>
      </c>
      <c r="J19" s="3">
        <v>6</v>
      </c>
      <c r="K19" s="3">
        <v>1</v>
      </c>
      <c r="Q19" s="14"/>
      <c r="R19" s="41"/>
      <c r="S19" s="4"/>
    </row>
    <row r="20" spans="2:19" ht="30" customHeight="1">
      <c r="B20" s="12" t="s">
        <v>10</v>
      </c>
      <c r="C20" s="3" t="s">
        <v>14</v>
      </c>
      <c r="D20" s="220" t="s">
        <v>593</v>
      </c>
      <c r="E20" s="221"/>
      <c r="F20" s="221"/>
      <c r="G20" s="222"/>
      <c r="H20" s="3" t="s">
        <v>595</v>
      </c>
      <c r="I20" s="3">
        <v>1</v>
      </c>
      <c r="J20" s="3">
        <v>6</v>
      </c>
      <c r="K20" s="3">
        <v>1</v>
      </c>
      <c r="Q20" s="14"/>
      <c r="R20" s="41"/>
      <c r="S20" s="4"/>
    </row>
    <row r="21" spans="2:19" ht="30" customHeight="1">
      <c r="B21" s="6" t="s">
        <v>6</v>
      </c>
      <c r="C21" s="3" t="s">
        <v>17</v>
      </c>
      <c r="D21" s="220" t="s">
        <v>596</v>
      </c>
      <c r="E21" s="221"/>
      <c r="F21" s="221"/>
      <c r="G21" s="222"/>
      <c r="H21" s="3" t="s">
        <v>594</v>
      </c>
      <c r="I21" s="3">
        <v>1</v>
      </c>
      <c r="J21" s="3">
        <v>6</v>
      </c>
      <c r="K21" s="3">
        <v>1</v>
      </c>
      <c r="Q21" s="14"/>
      <c r="R21" s="41"/>
      <c r="S21" s="4"/>
    </row>
    <row r="22" spans="2:19" ht="30" customHeight="1">
      <c r="B22" s="6" t="s">
        <v>6</v>
      </c>
      <c r="C22" s="3" t="s">
        <v>18</v>
      </c>
      <c r="D22" s="220" t="s">
        <v>596</v>
      </c>
      <c r="E22" s="221"/>
      <c r="F22" s="221"/>
      <c r="G22" s="222"/>
      <c r="H22" s="3" t="s">
        <v>595</v>
      </c>
      <c r="I22" s="3">
        <v>1</v>
      </c>
      <c r="J22" s="3">
        <v>6</v>
      </c>
      <c r="K22" s="3">
        <v>1</v>
      </c>
      <c r="Q22" s="14"/>
      <c r="R22" s="41"/>
      <c r="S22" s="4"/>
    </row>
    <row r="23" spans="2:19" ht="30" customHeight="1">
      <c r="B23" s="6" t="s">
        <v>10</v>
      </c>
      <c r="C23" s="3" t="s">
        <v>597</v>
      </c>
      <c r="D23" s="220" t="s">
        <v>598</v>
      </c>
      <c r="E23" s="221"/>
      <c r="F23" s="221"/>
      <c r="G23" s="222"/>
      <c r="H23" s="3" t="s">
        <v>599</v>
      </c>
      <c r="I23" s="3">
        <v>2</v>
      </c>
      <c r="J23" s="3">
        <v>5</v>
      </c>
      <c r="K23" s="3">
        <v>1</v>
      </c>
      <c r="Q23" s="14"/>
      <c r="R23" s="41"/>
      <c r="S23" s="4"/>
    </row>
    <row r="24" spans="2:19" ht="30" customHeight="1">
      <c r="B24" s="6" t="s">
        <v>6</v>
      </c>
      <c r="C24" s="3" t="s">
        <v>600</v>
      </c>
      <c r="D24" s="220" t="s">
        <v>601</v>
      </c>
      <c r="E24" s="221"/>
      <c r="F24" s="221"/>
      <c r="G24" s="222"/>
      <c r="H24" s="3" t="s">
        <v>602</v>
      </c>
      <c r="I24" s="3">
        <v>1</v>
      </c>
      <c r="J24" s="3">
        <v>7</v>
      </c>
      <c r="K24" s="3">
        <v>1</v>
      </c>
      <c r="Q24" s="14"/>
      <c r="R24" s="41"/>
      <c r="S24" s="4"/>
    </row>
    <row r="25" spans="2:19" ht="30" customHeight="1">
      <c r="B25" s="6" t="s">
        <v>6</v>
      </c>
      <c r="C25" s="3" t="s">
        <v>603</v>
      </c>
      <c r="D25" s="220" t="s">
        <v>601</v>
      </c>
      <c r="E25" s="221"/>
      <c r="F25" s="221"/>
      <c r="G25" s="222"/>
      <c r="H25" s="3" t="s">
        <v>604</v>
      </c>
      <c r="I25" s="3">
        <v>2</v>
      </c>
      <c r="J25" s="3">
        <v>2</v>
      </c>
      <c r="K25" s="3">
        <v>0</v>
      </c>
      <c r="Q25" s="14"/>
      <c r="R25" s="41"/>
      <c r="S25" s="4"/>
    </row>
    <row r="26" spans="2:19" ht="30" customHeight="1">
      <c r="B26" s="6" t="s">
        <v>6</v>
      </c>
      <c r="C26" s="3" t="s">
        <v>605</v>
      </c>
      <c r="D26" s="220" t="s">
        <v>601</v>
      </c>
      <c r="E26" s="221"/>
      <c r="F26" s="221"/>
      <c r="G26" s="222"/>
      <c r="H26" s="3" t="s">
        <v>604</v>
      </c>
      <c r="I26" s="3">
        <v>2</v>
      </c>
      <c r="J26" s="3">
        <v>2</v>
      </c>
      <c r="K26" s="3">
        <v>0</v>
      </c>
      <c r="L26" s="223"/>
      <c r="M26" s="224"/>
      <c r="N26" s="224"/>
      <c r="O26" s="224"/>
      <c r="P26" s="224"/>
      <c r="Q26" s="224"/>
      <c r="R26" s="4"/>
      <c r="S26" s="4"/>
    </row>
    <row r="27" spans="2:19" ht="30" customHeight="1">
      <c r="B27" s="6" t="s">
        <v>6</v>
      </c>
      <c r="C27" s="3" t="s">
        <v>606</v>
      </c>
      <c r="D27" s="220" t="s">
        <v>601</v>
      </c>
      <c r="E27" s="221"/>
      <c r="F27" s="221"/>
      <c r="G27" s="222"/>
      <c r="H27" s="3" t="s">
        <v>607</v>
      </c>
      <c r="I27" s="3">
        <v>2</v>
      </c>
      <c r="J27" s="3">
        <v>2</v>
      </c>
      <c r="K27" s="3">
        <v>0</v>
      </c>
      <c r="L27" s="223"/>
      <c r="M27" s="224"/>
      <c r="N27" s="224"/>
      <c r="O27" s="224"/>
      <c r="P27" s="224"/>
      <c r="Q27" s="224"/>
      <c r="R27" s="4"/>
      <c r="S27" s="4"/>
    </row>
    <row r="28" spans="2:19" ht="30" customHeight="1">
      <c r="B28" s="6" t="s">
        <v>6</v>
      </c>
      <c r="C28" s="3" t="s">
        <v>608</v>
      </c>
      <c r="D28" s="220" t="s">
        <v>609</v>
      </c>
      <c r="E28" s="221"/>
      <c r="F28" s="221"/>
      <c r="G28" s="222"/>
      <c r="H28" s="3" t="s">
        <v>610</v>
      </c>
      <c r="I28" s="3">
        <v>2</v>
      </c>
      <c r="J28" s="3">
        <v>4</v>
      </c>
      <c r="K28" s="3">
        <v>1</v>
      </c>
      <c r="L28" s="44"/>
      <c r="M28" s="44"/>
      <c r="N28" s="44"/>
      <c r="O28" s="44"/>
      <c r="P28" s="44"/>
      <c r="Q28" s="44"/>
      <c r="R28" s="4"/>
      <c r="S28" s="4"/>
    </row>
    <row r="29" spans="2:19" ht="30" customHeight="1">
      <c r="B29" s="6" t="s">
        <v>49</v>
      </c>
      <c r="C29" s="3" t="s">
        <v>611</v>
      </c>
      <c r="D29" s="220" t="s">
        <v>609</v>
      </c>
      <c r="E29" s="221"/>
      <c r="F29" s="221"/>
      <c r="G29" s="222"/>
      <c r="H29" s="3" t="s">
        <v>612</v>
      </c>
      <c r="I29" s="3">
        <v>2</v>
      </c>
      <c r="J29" s="3">
        <v>4</v>
      </c>
      <c r="K29" s="3">
        <v>1</v>
      </c>
      <c r="L29" s="44"/>
      <c r="M29" s="44"/>
      <c r="N29" s="44"/>
      <c r="O29" s="44"/>
      <c r="P29" s="44"/>
      <c r="Q29" s="44"/>
      <c r="R29" s="4"/>
      <c r="S29" s="4"/>
    </row>
    <row r="30" spans="2:19" ht="30" customHeight="1">
      <c r="B30" s="6" t="s">
        <v>49</v>
      </c>
      <c r="C30" s="3" t="s">
        <v>613</v>
      </c>
      <c r="D30" s="220" t="s">
        <v>601</v>
      </c>
      <c r="E30" s="221"/>
      <c r="F30" s="221"/>
      <c r="G30" s="222"/>
      <c r="H30" s="3" t="s">
        <v>614</v>
      </c>
      <c r="I30" s="3">
        <v>2</v>
      </c>
      <c r="J30" s="3">
        <v>2</v>
      </c>
      <c r="K30" s="3">
        <v>0</v>
      </c>
      <c r="L30" s="44"/>
      <c r="M30" s="44"/>
      <c r="N30" s="44"/>
      <c r="O30" s="44"/>
      <c r="P30" s="44"/>
      <c r="Q30" s="44"/>
      <c r="R30" s="4"/>
      <c r="S30" s="4"/>
    </row>
    <row r="31" spans="2:19" ht="30" customHeight="1">
      <c r="B31" s="6" t="s">
        <v>49</v>
      </c>
      <c r="C31" s="3" t="s">
        <v>615</v>
      </c>
      <c r="D31" s="220" t="s">
        <v>601</v>
      </c>
      <c r="E31" s="221"/>
      <c r="F31" s="221"/>
      <c r="G31" s="222"/>
      <c r="H31" s="3" t="s">
        <v>616</v>
      </c>
      <c r="I31" s="3">
        <v>2</v>
      </c>
      <c r="J31" s="3">
        <v>2</v>
      </c>
      <c r="K31" s="3">
        <v>0</v>
      </c>
      <c r="L31" s="44"/>
      <c r="M31" s="44"/>
      <c r="N31" s="44"/>
      <c r="O31" s="44"/>
      <c r="P31" s="44"/>
      <c r="Q31" s="44"/>
      <c r="R31" s="4"/>
      <c r="S31" s="4"/>
    </row>
    <row r="32" spans="2:19" ht="30" customHeight="1">
      <c r="B32" s="12" t="s">
        <v>10</v>
      </c>
      <c r="C32" s="3" t="s">
        <v>617</v>
      </c>
      <c r="D32" s="220" t="s">
        <v>618</v>
      </c>
      <c r="E32" s="221"/>
      <c r="F32" s="221"/>
      <c r="G32" s="222"/>
      <c r="H32" s="3" t="s">
        <v>619</v>
      </c>
      <c r="I32" s="3">
        <v>1</v>
      </c>
      <c r="J32" s="3">
        <v>3</v>
      </c>
      <c r="K32" s="3">
        <v>2</v>
      </c>
      <c r="Q32" s="14"/>
      <c r="R32" s="41"/>
      <c r="S32" s="4"/>
    </row>
    <row r="33" spans="2:19" ht="30" customHeight="1">
      <c r="B33" s="6" t="s">
        <v>6</v>
      </c>
      <c r="C33" s="3" t="s">
        <v>620</v>
      </c>
      <c r="D33" s="220" t="s">
        <v>621</v>
      </c>
      <c r="E33" s="221"/>
      <c r="F33" s="221"/>
      <c r="G33" s="222"/>
      <c r="H33" s="3" t="s">
        <v>619</v>
      </c>
      <c r="I33" s="3">
        <v>1</v>
      </c>
      <c r="J33" s="3">
        <v>3</v>
      </c>
      <c r="K33" s="3">
        <v>2</v>
      </c>
      <c r="Q33" s="14"/>
      <c r="R33" s="41"/>
      <c r="S33" s="4"/>
    </row>
    <row r="34" spans="2:19" ht="30" customHeight="1">
      <c r="B34" s="12" t="s">
        <v>10</v>
      </c>
      <c r="C34" s="3" t="s">
        <v>622</v>
      </c>
      <c r="D34" s="220" t="s">
        <v>623</v>
      </c>
      <c r="E34" s="221"/>
      <c r="F34" s="221"/>
      <c r="G34" s="222"/>
      <c r="H34" s="3" t="s">
        <v>590</v>
      </c>
      <c r="I34" s="3">
        <v>1</v>
      </c>
      <c r="J34" s="3">
        <v>7</v>
      </c>
      <c r="K34" s="3">
        <v>8</v>
      </c>
      <c r="Q34" s="14"/>
      <c r="R34" s="41"/>
      <c r="S34" s="4"/>
    </row>
    <row r="35" spans="2:19" ht="35.25" customHeight="1">
      <c r="B35" s="6" t="s">
        <v>6</v>
      </c>
      <c r="C35" s="3" t="s">
        <v>624</v>
      </c>
      <c r="D35" s="220" t="s">
        <v>625</v>
      </c>
      <c r="E35" s="221"/>
      <c r="F35" s="221"/>
      <c r="G35" s="222"/>
      <c r="H35" s="3" t="s">
        <v>590</v>
      </c>
      <c r="I35" s="3">
        <v>1</v>
      </c>
      <c r="J35" s="3">
        <v>7</v>
      </c>
      <c r="K35" s="3">
        <v>8</v>
      </c>
      <c r="Q35" s="14"/>
      <c r="R35" s="41"/>
      <c r="S35" s="4"/>
    </row>
    <row r="36" spans="2:19" ht="30" customHeight="1">
      <c r="B36" s="12" t="s">
        <v>10</v>
      </c>
      <c r="C36" s="3" t="s">
        <v>626</v>
      </c>
      <c r="D36" s="220" t="s">
        <v>627</v>
      </c>
      <c r="E36" s="221"/>
      <c r="F36" s="221"/>
      <c r="G36" s="222"/>
      <c r="H36" s="3" t="s">
        <v>590</v>
      </c>
      <c r="I36" s="3">
        <v>1</v>
      </c>
      <c r="J36" s="3">
        <v>7</v>
      </c>
      <c r="K36" s="3">
        <v>8</v>
      </c>
      <c r="Q36" s="14"/>
      <c r="R36" s="41"/>
      <c r="S36" s="4"/>
    </row>
    <row r="37" spans="2:19" ht="30" customHeight="1">
      <c r="B37" s="6" t="s">
        <v>6</v>
      </c>
      <c r="C37" s="7" t="s">
        <v>628</v>
      </c>
      <c r="D37" s="220" t="s">
        <v>629</v>
      </c>
      <c r="E37" s="221"/>
      <c r="F37" s="221"/>
      <c r="G37" s="222"/>
      <c r="H37" s="3" t="s">
        <v>590</v>
      </c>
      <c r="I37" s="3">
        <v>1</v>
      </c>
      <c r="J37" s="3">
        <v>7</v>
      </c>
      <c r="K37" s="3">
        <v>8</v>
      </c>
      <c r="Q37" s="14"/>
      <c r="R37" s="41"/>
      <c r="S37" s="4"/>
    </row>
    <row r="38" spans="2:19" ht="30" customHeight="1">
      <c r="B38" s="6" t="s">
        <v>6</v>
      </c>
      <c r="C38" s="7" t="s">
        <v>630</v>
      </c>
      <c r="D38" s="220" t="s">
        <v>631</v>
      </c>
      <c r="E38" s="221"/>
      <c r="F38" s="221"/>
      <c r="G38" s="222"/>
      <c r="H38" s="3" t="s">
        <v>590</v>
      </c>
      <c r="I38" s="3">
        <v>1</v>
      </c>
      <c r="J38" s="3">
        <v>13</v>
      </c>
      <c r="K38" s="3">
        <v>4</v>
      </c>
      <c r="L38" s="14"/>
      <c r="M38" s="14"/>
      <c r="N38" s="14"/>
      <c r="O38" s="14"/>
      <c r="P38" s="14"/>
      <c r="Q38" s="41"/>
      <c r="R38" s="4"/>
      <c r="S38" s="4"/>
    </row>
    <row r="39" spans="2:19" ht="30" customHeight="1">
      <c r="B39" s="12"/>
      <c r="C39" s="3" t="s">
        <v>632</v>
      </c>
      <c r="D39" s="220" t="s">
        <v>633</v>
      </c>
      <c r="E39" s="221"/>
      <c r="F39" s="221"/>
      <c r="G39" s="222"/>
      <c r="H39" s="3" t="s">
        <v>634</v>
      </c>
      <c r="I39" s="3">
        <v>1</v>
      </c>
      <c r="J39" s="3">
        <v>3</v>
      </c>
      <c r="K39" s="3">
        <v>2</v>
      </c>
      <c r="Q39" s="14"/>
      <c r="R39" s="41"/>
      <c r="S39" s="4"/>
    </row>
    <row r="40" spans="2:19" ht="30" customHeight="1">
      <c r="B40" s="12" t="s">
        <v>10</v>
      </c>
      <c r="C40" s="3" t="s">
        <v>635</v>
      </c>
      <c r="D40" s="220" t="s">
        <v>636</v>
      </c>
      <c r="E40" s="221"/>
      <c r="F40" s="221"/>
      <c r="G40" s="222"/>
      <c r="H40" s="3" t="s">
        <v>637</v>
      </c>
      <c r="I40" s="3">
        <v>1</v>
      </c>
      <c r="J40" s="3">
        <v>7</v>
      </c>
      <c r="K40" s="3">
        <v>8</v>
      </c>
      <c r="Q40" s="14"/>
      <c r="R40" s="41"/>
      <c r="S40" s="4"/>
    </row>
    <row r="41" spans="2:19" ht="30" customHeight="1">
      <c r="B41" s="6" t="s">
        <v>6</v>
      </c>
      <c r="C41" s="3" t="s">
        <v>638</v>
      </c>
      <c r="D41" s="220" t="s">
        <v>639</v>
      </c>
      <c r="E41" s="221"/>
      <c r="F41" s="221"/>
      <c r="G41" s="222"/>
      <c r="H41" s="3" t="s">
        <v>637</v>
      </c>
      <c r="I41" s="3">
        <v>1</v>
      </c>
      <c r="J41" s="3">
        <v>7</v>
      </c>
      <c r="K41" s="3">
        <v>8</v>
      </c>
      <c r="Q41" s="14"/>
      <c r="R41" s="41"/>
      <c r="S41" s="4"/>
    </row>
    <row r="42" spans="2:19" ht="30" customHeight="1">
      <c r="B42" s="6" t="s">
        <v>6</v>
      </c>
      <c r="C42" s="3" t="s">
        <v>640</v>
      </c>
      <c r="D42" s="220" t="s">
        <v>639</v>
      </c>
      <c r="E42" s="221"/>
      <c r="F42" s="221"/>
      <c r="G42" s="222"/>
      <c r="H42" s="3" t="s">
        <v>641</v>
      </c>
      <c r="I42" s="3">
        <v>1</v>
      </c>
      <c r="J42" s="3">
        <v>7</v>
      </c>
      <c r="K42" s="3">
        <v>8</v>
      </c>
      <c r="Q42" s="14"/>
      <c r="R42" s="41"/>
      <c r="S42" s="4"/>
    </row>
    <row r="43" spans="2:19" ht="30" customHeight="1">
      <c r="B43" s="6" t="s">
        <v>6</v>
      </c>
      <c r="C43" s="3" t="s">
        <v>642</v>
      </c>
      <c r="D43" s="220" t="s">
        <v>566</v>
      </c>
      <c r="E43" s="221"/>
      <c r="F43" s="221"/>
      <c r="G43" s="222"/>
      <c r="H43" s="2" t="s">
        <v>643</v>
      </c>
      <c r="I43" s="3">
        <v>1</v>
      </c>
      <c r="J43" s="3">
        <v>0</v>
      </c>
      <c r="K43" s="3">
        <v>16</v>
      </c>
      <c r="Q43" s="14"/>
      <c r="R43" s="41"/>
      <c r="S43" s="4"/>
    </row>
    <row r="44" spans="2:19" ht="30" customHeight="1">
      <c r="B44" s="12"/>
      <c r="C44" s="3" t="s">
        <v>644</v>
      </c>
      <c r="D44" s="220" t="s">
        <v>645</v>
      </c>
      <c r="E44" s="221"/>
      <c r="F44" s="221"/>
      <c r="G44" s="222"/>
      <c r="H44" s="3" t="s">
        <v>646</v>
      </c>
      <c r="I44" s="3"/>
      <c r="J44" s="3"/>
      <c r="K44" s="3"/>
      <c r="Q44" s="14"/>
      <c r="R44" s="41"/>
      <c r="S44" s="4"/>
    </row>
    <row r="45" spans="2:19" ht="30" customHeight="1">
      <c r="B45" s="6" t="s">
        <v>6</v>
      </c>
      <c r="C45" s="3" t="s">
        <v>647</v>
      </c>
      <c r="D45" s="220" t="s">
        <v>648</v>
      </c>
      <c r="E45" s="221"/>
      <c r="F45" s="221"/>
      <c r="G45" s="222"/>
      <c r="H45" s="3"/>
      <c r="I45" s="3">
        <v>3</v>
      </c>
      <c r="J45" s="3">
        <v>31</v>
      </c>
      <c r="K45" s="3">
        <v>33</v>
      </c>
      <c r="Q45" s="14"/>
      <c r="R45" s="41"/>
      <c r="S45" s="4"/>
    </row>
    <row r="46" spans="2:19" ht="30" customHeight="1">
      <c r="B46" s="6" t="s">
        <v>6</v>
      </c>
      <c r="C46" s="3" t="s">
        <v>649</v>
      </c>
      <c r="D46" s="220" t="s">
        <v>650</v>
      </c>
      <c r="E46" s="221"/>
      <c r="F46" s="221"/>
      <c r="G46" s="222"/>
      <c r="H46" s="3"/>
      <c r="I46" s="3">
        <v>3</v>
      </c>
      <c r="J46" s="3">
        <v>40</v>
      </c>
      <c r="K46" s="3">
        <v>24</v>
      </c>
      <c r="L46" s="40"/>
      <c r="M46" s="40"/>
      <c r="N46" s="40"/>
      <c r="O46" s="40"/>
      <c r="P46" s="40"/>
      <c r="Q46" s="14"/>
      <c r="R46" s="41"/>
      <c r="S46" s="4"/>
    </row>
    <row r="47" spans="2:19" ht="30" customHeight="1">
      <c r="B47" s="6" t="s">
        <v>47</v>
      </c>
      <c r="C47" s="3" t="s">
        <v>651</v>
      </c>
      <c r="D47" s="220" t="s">
        <v>652</v>
      </c>
      <c r="E47" s="221"/>
      <c r="F47" s="221"/>
      <c r="G47" s="222"/>
      <c r="H47" s="3"/>
      <c r="I47" s="3">
        <v>3</v>
      </c>
      <c r="J47" s="3">
        <v>48</v>
      </c>
      <c r="K47" s="3">
        <v>40</v>
      </c>
      <c r="Q47" s="14"/>
      <c r="R47" s="41"/>
      <c r="S47" s="4"/>
    </row>
    <row r="48" spans="2:19" ht="30" customHeight="1">
      <c r="B48" s="6" t="s">
        <v>6</v>
      </c>
      <c r="C48" s="3" t="s">
        <v>653</v>
      </c>
      <c r="D48" s="220" t="s">
        <v>654</v>
      </c>
      <c r="E48" s="221"/>
      <c r="F48" s="221"/>
      <c r="G48" s="222"/>
      <c r="H48" s="2" t="s">
        <v>655</v>
      </c>
      <c r="I48" s="3"/>
      <c r="J48" s="3"/>
      <c r="K48" s="3"/>
      <c r="Q48" s="14"/>
      <c r="R48" s="41"/>
      <c r="S48" s="4"/>
    </row>
    <row r="49" spans="2:25" ht="24" customHeight="1" thickBot="1">
      <c r="C49" s="1" t="s">
        <v>656</v>
      </c>
    </row>
    <row r="50" spans="2:25" ht="56.25" customHeight="1" thickBot="1">
      <c r="C50" s="230" t="s">
        <v>657</v>
      </c>
      <c r="D50" s="231"/>
      <c r="E50" s="231"/>
      <c r="F50" s="231"/>
      <c r="G50" s="231"/>
      <c r="H50" s="231"/>
      <c r="I50" s="231"/>
      <c r="J50" s="231"/>
      <c r="K50" s="232"/>
    </row>
    <row r="51" spans="2:25" ht="24" customHeight="1">
      <c r="C51" s="5"/>
    </row>
    <row r="52" spans="2:25" ht="24" customHeight="1">
      <c r="D52" s="5" t="s">
        <v>0</v>
      </c>
      <c r="E52" s="5"/>
      <c r="F52" s="5"/>
      <c r="G52" s="5"/>
      <c r="K52" s="1"/>
    </row>
    <row r="53" spans="2:25" ht="30" customHeight="1">
      <c r="B53" s="13" t="s">
        <v>1</v>
      </c>
      <c r="C53" s="2" t="s">
        <v>2</v>
      </c>
      <c r="D53" s="2" t="s">
        <v>3</v>
      </c>
      <c r="E53" s="8" t="s">
        <v>253</v>
      </c>
      <c r="F53" s="8" t="s">
        <v>4</v>
      </c>
      <c r="G53" s="8" t="s">
        <v>252</v>
      </c>
      <c r="H53" s="2" t="s">
        <v>254</v>
      </c>
      <c r="I53" s="2" t="s">
        <v>255</v>
      </c>
      <c r="J53" s="2" t="s">
        <v>256</v>
      </c>
      <c r="K53" s="2" t="s">
        <v>5</v>
      </c>
      <c r="L53" s="10" t="s">
        <v>658</v>
      </c>
      <c r="M53" s="10" t="s">
        <v>659</v>
      </c>
      <c r="N53" s="10" t="s">
        <v>660</v>
      </c>
      <c r="O53" s="10" t="s">
        <v>661</v>
      </c>
      <c r="P53" s="10" t="s">
        <v>257</v>
      </c>
      <c r="Q53" s="2" t="s">
        <v>258</v>
      </c>
      <c r="R53" s="6" t="s">
        <v>259</v>
      </c>
      <c r="T53" s="1"/>
    </row>
    <row r="54" spans="2:25" ht="30" customHeight="1">
      <c r="B54" s="20" t="s">
        <v>6</v>
      </c>
      <c r="C54" s="51" t="s">
        <v>7</v>
      </c>
      <c r="D54" s="22" t="s">
        <v>8</v>
      </c>
      <c r="E54" s="22"/>
      <c r="F54" s="22"/>
      <c r="G54" s="22"/>
      <c r="H54" s="22" t="s">
        <v>260</v>
      </c>
      <c r="I54" s="22" t="s">
        <v>47</v>
      </c>
      <c r="J54" s="22" t="s">
        <v>47</v>
      </c>
      <c r="K54" s="2"/>
      <c r="L54" s="2"/>
      <c r="M54" s="2"/>
      <c r="N54" s="2"/>
      <c r="O54" s="2"/>
      <c r="P54" s="2"/>
      <c r="Q54" s="2" t="s">
        <v>47</v>
      </c>
      <c r="R54" s="6"/>
      <c r="T54" s="1"/>
    </row>
    <row r="55" spans="2:25" ht="24.95" customHeight="1">
      <c r="B55" s="20" t="s">
        <v>10</v>
      </c>
      <c r="C55" s="225" t="s">
        <v>11</v>
      </c>
      <c r="D55" s="22" t="s">
        <v>12</v>
      </c>
      <c r="E55" s="23">
        <v>1.7</v>
      </c>
      <c r="F55" s="22"/>
      <c r="G55" s="22"/>
      <c r="H55" s="22" t="s">
        <v>47</v>
      </c>
      <c r="I55" s="22" t="s">
        <v>47</v>
      </c>
      <c r="J55" s="22" t="s">
        <v>47</v>
      </c>
      <c r="K55" s="22" t="s">
        <v>13</v>
      </c>
      <c r="L55" s="23"/>
      <c r="M55" s="23"/>
      <c r="N55" s="23"/>
      <c r="O55" s="23"/>
      <c r="P55" s="23"/>
      <c r="Q55" s="24">
        <v>1.7</v>
      </c>
      <c r="R55" s="42"/>
      <c r="T55" s="14"/>
      <c r="U55" s="14"/>
      <c r="V55" s="14"/>
      <c r="W55" s="14"/>
      <c r="X55" s="14"/>
      <c r="Y55" s="14"/>
    </row>
    <row r="56" spans="2:25" ht="24.95" customHeight="1">
      <c r="B56" s="20" t="s">
        <v>10</v>
      </c>
      <c r="C56" s="226"/>
      <c r="D56" s="22" t="s">
        <v>14</v>
      </c>
      <c r="E56" s="23">
        <v>1.7</v>
      </c>
      <c r="F56" s="22"/>
      <c r="G56" s="22"/>
      <c r="H56" s="22" t="s">
        <v>47</v>
      </c>
      <c r="I56" s="22" t="s">
        <v>47</v>
      </c>
      <c r="J56" s="22" t="s">
        <v>47</v>
      </c>
      <c r="K56" s="22" t="s">
        <v>16</v>
      </c>
      <c r="L56" s="23"/>
      <c r="M56" s="23"/>
      <c r="N56" s="23"/>
      <c r="O56" s="23"/>
      <c r="P56" s="23"/>
      <c r="Q56" s="24">
        <v>1.4</v>
      </c>
      <c r="R56" s="42"/>
      <c r="T56" s="14"/>
      <c r="U56" s="14"/>
      <c r="V56" s="14"/>
      <c r="W56" s="14"/>
      <c r="X56" s="14"/>
      <c r="Y56" s="14"/>
    </row>
    <row r="57" spans="2:25" ht="24.95" customHeight="1">
      <c r="B57" s="20" t="s">
        <v>10</v>
      </c>
      <c r="C57" s="226"/>
      <c r="D57" s="22" t="s">
        <v>17</v>
      </c>
      <c r="E57" s="23">
        <v>1.33</v>
      </c>
      <c r="F57" s="22"/>
      <c r="G57" s="22"/>
      <c r="H57" s="22" t="s">
        <v>47</v>
      </c>
      <c r="I57" s="22" t="s">
        <v>47</v>
      </c>
      <c r="J57" s="22" t="s">
        <v>47</v>
      </c>
      <c r="K57" s="22" t="s">
        <v>13</v>
      </c>
      <c r="L57" s="23"/>
      <c r="M57" s="23"/>
      <c r="N57" s="23"/>
      <c r="O57" s="23"/>
      <c r="P57" s="23"/>
      <c r="Q57" s="24">
        <v>1.33</v>
      </c>
      <c r="R57" s="42"/>
      <c r="T57" s="14"/>
      <c r="U57" s="14"/>
      <c r="V57" s="14"/>
      <c r="W57" s="14"/>
      <c r="X57" s="14"/>
      <c r="Y57" s="14"/>
    </row>
    <row r="58" spans="2:25" ht="24.95" customHeight="1">
      <c r="B58" s="20" t="s">
        <v>10</v>
      </c>
      <c r="C58" s="226"/>
      <c r="D58" s="22" t="s">
        <v>18</v>
      </c>
      <c r="E58" s="23">
        <v>1.33</v>
      </c>
      <c r="F58" s="22"/>
      <c r="G58" s="22"/>
      <c r="H58" s="22" t="s">
        <v>47</v>
      </c>
      <c r="I58" s="22" t="s">
        <v>47</v>
      </c>
      <c r="J58" s="22" t="s">
        <v>47</v>
      </c>
      <c r="K58" s="22" t="s">
        <v>16</v>
      </c>
      <c r="L58" s="23"/>
      <c r="M58" s="23"/>
      <c r="N58" s="23"/>
      <c r="O58" s="23"/>
      <c r="P58" s="23"/>
      <c r="Q58" s="24">
        <v>1.33</v>
      </c>
      <c r="R58" s="42"/>
      <c r="T58" s="14"/>
      <c r="U58" s="14"/>
      <c r="V58" s="14"/>
      <c r="W58" s="14"/>
      <c r="X58" s="14"/>
      <c r="Y58" s="14"/>
    </row>
    <row r="59" spans="2:25" ht="24.95" customHeight="1">
      <c r="B59" s="20" t="s">
        <v>6</v>
      </c>
      <c r="C59" s="226"/>
      <c r="D59" s="22" t="s">
        <v>19</v>
      </c>
      <c r="E59" s="23">
        <v>1.65</v>
      </c>
      <c r="F59" s="22"/>
      <c r="G59" s="22"/>
      <c r="H59" s="22" t="s">
        <v>47</v>
      </c>
      <c r="I59" s="22" t="s">
        <v>47</v>
      </c>
      <c r="J59" s="22" t="s">
        <v>47</v>
      </c>
      <c r="K59" s="22" t="s">
        <v>20</v>
      </c>
      <c r="L59" s="23"/>
      <c r="M59" s="23"/>
      <c r="N59" s="23"/>
      <c r="O59" s="23"/>
      <c r="P59" s="23"/>
      <c r="Q59" s="24">
        <v>1.5</v>
      </c>
      <c r="R59" s="42"/>
      <c r="T59" s="14"/>
      <c r="U59" s="14"/>
      <c r="V59" s="14"/>
      <c r="W59" s="14"/>
      <c r="X59" s="14"/>
      <c r="Y59" s="14"/>
    </row>
    <row r="60" spans="2:25" ht="24.95" customHeight="1">
      <c r="B60" s="20" t="s">
        <v>6</v>
      </c>
      <c r="C60" s="226"/>
      <c r="D60" s="22" t="s">
        <v>21</v>
      </c>
      <c r="E60" s="23">
        <v>1.65</v>
      </c>
      <c r="F60" s="22"/>
      <c r="G60" s="22"/>
      <c r="H60" s="22" t="s">
        <v>47</v>
      </c>
      <c r="I60" s="22" t="s">
        <v>47</v>
      </c>
      <c r="J60" s="22" t="s">
        <v>47</v>
      </c>
      <c r="K60" s="22" t="s">
        <v>22</v>
      </c>
      <c r="L60" s="23"/>
      <c r="M60" s="23"/>
      <c r="N60" s="23"/>
      <c r="O60" s="23"/>
      <c r="P60" s="23"/>
      <c r="Q60" s="24">
        <v>1.5</v>
      </c>
      <c r="R60" s="42"/>
      <c r="T60" s="14"/>
      <c r="U60" s="14"/>
      <c r="V60" s="14"/>
      <c r="W60" s="14"/>
      <c r="X60" s="14"/>
      <c r="Y60" s="14"/>
    </row>
    <row r="61" spans="2:25" ht="24.95" customHeight="1">
      <c r="B61" s="20" t="s">
        <v>6</v>
      </c>
      <c r="C61" s="226"/>
      <c r="D61" s="22" t="s">
        <v>23</v>
      </c>
      <c r="E61" s="23">
        <v>1.65</v>
      </c>
      <c r="F61" s="22"/>
      <c r="G61" s="22"/>
      <c r="H61" s="22" t="s">
        <v>47</v>
      </c>
      <c r="I61" s="22" t="s">
        <v>47</v>
      </c>
      <c r="J61" s="22" t="s">
        <v>47</v>
      </c>
      <c r="K61" s="22" t="s">
        <v>24</v>
      </c>
      <c r="L61" s="23"/>
      <c r="M61" s="23"/>
      <c r="N61" s="23"/>
      <c r="O61" s="23"/>
      <c r="P61" s="23"/>
      <c r="Q61" s="24">
        <v>1.5</v>
      </c>
      <c r="R61" s="42"/>
      <c r="T61" s="14"/>
      <c r="U61" s="14"/>
      <c r="V61" s="14"/>
      <c r="W61" s="14"/>
      <c r="X61" s="14"/>
      <c r="Y61" s="14"/>
    </row>
    <row r="62" spans="2:25" ht="24.95" customHeight="1">
      <c r="B62" s="20" t="s">
        <v>6</v>
      </c>
      <c r="C62" s="227"/>
      <c r="D62" s="22" t="s">
        <v>25</v>
      </c>
      <c r="E62" s="23">
        <v>1</v>
      </c>
      <c r="F62" s="22"/>
      <c r="G62" s="22"/>
      <c r="H62" s="22" t="s">
        <v>47</v>
      </c>
      <c r="I62" s="22"/>
      <c r="J62" s="25"/>
      <c r="K62" s="22" t="s">
        <v>26</v>
      </c>
      <c r="L62" s="23"/>
      <c r="M62" s="23"/>
      <c r="N62" s="23"/>
      <c r="O62" s="23"/>
      <c r="P62" s="23"/>
      <c r="Q62" s="24"/>
      <c r="R62" s="42"/>
      <c r="T62" s="14"/>
      <c r="U62" s="14"/>
      <c r="V62" s="14"/>
      <c r="W62" s="14"/>
      <c r="X62" s="14"/>
      <c r="Y62" s="14"/>
    </row>
    <row r="63" spans="2:25" ht="24.95" customHeight="1">
      <c r="B63" s="20" t="s">
        <v>10</v>
      </c>
      <c r="C63" s="225" t="s">
        <v>27</v>
      </c>
      <c r="D63" s="73" t="s">
        <v>28</v>
      </c>
      <c r="E63" s="22" t="s">
        <v>263</v>
      </c>
      <c r="F63" s="83">
        <v>55511</v>
      </c>
      <c r="G63" s="83">
        <v>9</v>
      </c>
      <c r="H63" s="22" t="s">
        <v>271</v>
      </c>
      <c r="I63" s="22" t="s">
        <v>662</v>
      </c>
      <c r="J63" s="22" t="s">
        <v>663</v>
      </c>
      <c r="K63" s="22" t="s">
        <v>29</v>
      </c>
      <c r="L63" s="81" t="s">
        <v>664</v>
      </c>
      <c r="M63" s="81"/>
      <c r="N63" s="81"/>
      <c r="O63" s="81"/>
      <c r="P63" s="81" t="s">
        <v>187</v>
      </c>
      <c r="Q63" s="24">
        <v>1.06</v>
      </c>
      <c r="R63" s="233"/>
      <c r="T63" s="14"/>
      <c r="U63" s="14"/>
      <c r="V63" s="14"/>
      <c r="W63" s="14"/>
      <c r="X63" s="14"/>
      <c r="Y63" s="14"/>
    </row>
    <row r="64" spans="2:25" ht="24.95" customHeight="1">
      <c r="B64" s="20" t="s">
        <v>10</v>
      </c>
      <c r="C64" s="226"/>
      <c r="D64" s="74" t="s">
        <v>30</v>
      </c>
      <c r="E64" s="26" t="s">
        <v>264</v>
      </c>
      <c r="F64" s="84">
        <v>55511</v>
      </c>
      <c r="G64" s="84">
        <v>4</v>
      </c>
      <c r="H64" s="22" t="s">
        <v>276</v>
      </c>
      <c r="I64" s="22" t="s">
        <v>47</v>
      </c>
      <c r="J64" s="27" t="s">
        <v>665</v>
      </c>
      <c r="K64" s="22" t="s">
        <v>31</v>
      </c>
      <c r="L64" s="81" t="s">
        <v>666</v>
      </c>
      <c r="M64" s="81"/>
      <c r="N64" s="81"/>
      <c r="O64" s="81"/>
      <c r="P64" s="81" t="s">
        <v>321</v>
      </c>
      <c r="Q64" s="24">
        <v>2.0099999999999998</v>
      </c>
      <c r="R64" s="233"/>
      <c r="T64" s="14"/>
      <c r="U64" s="14"/>
      <c r="V64" s="14"/>
      <c r="W64" s="14"/>
      <c r="X64" s="14"/>
      <c r="Y64" s="14"/>
    </row>
    <row r="65" spans="2:25" ht="24.95" customHeight="1">
      <c r="B65" s="20" t="s">
        <v>10</v>
      </c>
      <c r="C65" s="226"/>
      <c r="D65" s="74" t="s">
        <v>32</v>
      </c>
      <c r="E65" s="26" t="s">
        <v>265</v>
      </c>
      <c r="F65" s="84">
        <v>55511</v>
      </c>
      <c r="G65" s="84">
        <v>5</v>
      </c>
      <c r="H65" s="22" t="s">
        <v>276</v>
      </c>
      <c r="I65" s="22" t="s">
        <v>47</v>
      </c>
      <c r="J65" s="27"/>
      <c r="K65" s="22" t="s">
        <v>33</v>
      </c>
      <c r="L65" s="81" t="s">
        <v>667</v>
      </c>
      <c r="M65" s="81"/>
      <c r="N65" s="81"/>
      <c r="O65" s="81"/>
      <c r="P65" s="81" t="s">
        <v>668</v>
      </c>
      <c r="Q65" s="24">
        <v>3.11</v>
      </c>
      <c r="R65" s="233"/>
      <c r="T65" s="14"/>
      <c r="U65" s="14"/>
      <c r="V65" s="15"/>
      <c r="W65" s="14"/>
      <c r="X65" s="14"/>
      <c r="Y65" s="14"/>
    </row>
    <row r="66" spans="2:25" ht="24.95" customHeight="1">
      <c r="B66" s="20" t="s">
        <v>6</v>
      </c>
      <c r="C66" s="227"/>
      <c r="D66" s="74" t="s">
        <v>34</v>
      </c>
      <c r="E66" s="26" t="s">
        <v>266</v>
      </c>
      <c r="F66" s="84">
        <v>55511</v>
      </c>
      <c r="G66" s="84">
        <v>4</v>
      </c>
      <c r="H66" s="22" t="s">
        <v>276</v>
      </c>
      <c r="I66" s="22" t="s">
        <v>47</v>
      </c>
      <c r="J66" s="22" t="s">
        <v>47</v>
      </c>
      <c r="K66" s="22" t="s">
        <v>35</v>
      </c>
      <c r="L66" s="81" t="s">
        <v>669</v>
      </c>
      <c r="M66" s="81"/>
      <c r="N66" s="81"/>
      <c r="O66" s="81"/>
      <c r="P66" s="81" t="s">
        <v>35</v>
      </c>
      <c r="Q66" s="24">
        <v>4.0199999999999996</v>
      </c>
      <c r="R66" s="234"/>
      <c r="T66" s="14"/>
      <c r="U66" s="14"/>
      <c r="V66" s="15"/>
      <c r="W66" s="14"/>
      <c r="X66" s="14"/>
      <c r="Y66" s="14"/>
    </row>
    <row r="67" spans="2:25" s="18" customFormat="1" ht="24.95" customHeight="1">
      <c r="B67" s="20" t="s">
        <v>10</v>
      </c>
      <c r="C67" s="225" t="s">
        <v>36</v>
      </c>
      <c r="D67" s="73" t="s">
        <v>37</v>
      </c>
      <c r="E67" s="22" t="s">
        <v>268</v>
      </c>
      <c r="F67" s="84">
        <v>55511</v>
      </c>
      <c r="G67" s="84">
        <v>7</v>
      </c>
      <c r="H67" s="22" t="s">
        <v>276</v>
      </c>
      <c r="I67" s="22"/>
      <c r="J67" s="25"/>
      <c r="K67" s="22" t="s">
        <v>38</v>
      </c>
      <c r="L67" s="81" t="s">
        <v>670</v>
      </c>
      <c r="M67" s="81"/>
      <c r="N67" s="81"/>
      <c r="O67" s="81"/>
      <c r="P67" s="81" t="s">
        <v>187</v>
      </c>
      <c r="Q67" s="23">
        <v>1.1200000000000001</v>
      </c>
      <c r="R67" s="228"/>
      <c r="S67" s="14"/>
      <c r="T67" s="14"/>
      <c r="U67" s="14"/>
      <c r="V67" s="14"/>
      <c r="W67" s="14"/>
      <c r="X67" s="14"/>
      <c r="Y67" s="14"/>
    </row>
    <row r="68" spans="2:25" s="18" customFormat="1" ht="24.95" customHeight="1">
      <c r="B68" s="20" t="s">
        <v>10</v>
      </c>
      <c r="C68" s="226"/>
      <c r="D68" s="73" t="s">
        <v>39</v>
      </c>
      <c r="E68" s="22" t="s">
        <v>264</v>
      </c>
      <c r="F68" s="84">
        <v>61087</v>
      </c>
      <c r="G68" s="84">
        <v>8</v>
      </c>
      <c r="H68" s="22" t="s">
        <v>276</v>
      </c>
      <c r="I68" s="22"/>
      <c r="J68" s="25"/>
      <c r="K68" s="22" t="s">
        <v>40</v>
      </c>
      <c r="L68" s="81" t="s">
        <v>671</v>
      </c>
      <c r="M68" s="81"/>
      <c r="N68" s="81"/>
      <c r="O68" s="81"/>
      <c r="P68" s="81" t="s">
        <v>672</v>
      </c>
      <c r="Q68" s="23" t="s">
        <v>47</v>
      </c>
      <c r="R68" s="229"/>
      <c r="S68" s="14"/>
      <c r="T68" s="14"/>
      <c r="U68" s="14"/>
      <c r="V68" s="14"/>
      <c r="W68" s="14"/>
      <c r="X68" s="14"/>
      <c r="Y68" s="14"/>
    </row>
    <row r="69" spans="2:25" s="18" customFormat="1" ht="24.95" customHeight="1">
      <c r="B69" s="20" t="s">
        <v>6</v>
      </c>
      <c r="C69" s="227"/>
      <c r="D69" s="73" t="s">
        <v>41</v>
      </c>
      <c r="E69" s="22" t="s">
        <v>673</v>
      </c>
      <c r="F69" s="84">
        <v>61591</v>
      </c>
      <c r="G69" s="84">
        <v>0</v>
      </c>
      <c r="H69" s="22" t="s">
        <v>276</v>
      </c>
      <c r="I69" s="22"/>
      <c r="J69" s="25"/>
      <c r="K69" s="22" t="s">
        <v>42</v>
      </c>
      <c r="L69" s="81" t="s">
        <v>674</v>
      </c>
      <c r="M69" s="81"/>
      <c r="N69" s="81"/>
      <c r="O69" s="81"/>
      <c r="P69" s="22" t="s">
        <v>42</v>
      </c>
      <c r="Q69" s="23" t="s">
        <v>47</v>
      </c>
      <c r="R69" s="81"/>
      <c r="S69" s="14"/>
      <c r="T69" s="14"/>
      <c r="U69" s="14"/>
      <c r="V69" s="14"/>
      <c r="W69" s="14"/>
      <c r="X69" s="14"/>
      <c r="Y69" s="14"/>
    </row>
    <row r="70" spans="2:25" ht="24.95" customHeight="1">
      <c r="B70" s="20" t="s">
        <v>10</v>
      </c>
      <c r="C70" s="73" t="s">
        <v>43</v>
      </c>
      <c r="D70" s="73" t="s">
        <v>44</v>
      </c>
      <c r="E70" s="22" t="s">
        <v>270</v>
      </c>
      <c r="F70" s="84">
        <v>43589</v>
      </c>
      <c r="G70" s="84">
        <v>5</v>
      </c>
      <c r="H70" s="22" t="s">
        <v>271</v>
      </c>
      <c r="I70" s="22" t="s">
        <v>272</v>
      </c>
      <c r="J70" s="25" t="s">
        <v>273</v>
      </c>
      <c r="K70" s="22" t="s">
        <v>29</v>
      </c>
      <c r="L70" s="85" t="s">
        <v>675</v>
      </c>
      <c r="M70" s="85"/>
      <c r="N70" s="85"/>
      <c r="O70" s="85"/>
      <c r="P70" s="85" t="s">
        <v>187</v>
      </c>
      <c r="Q70" s="24">
        <v>1.04</v>
      </c>
      <c r="R70" s="75"/>
      <c r="T70" s="14"/>
      <c r="U70" s="14"/>
      <c r="V70" s="14"/>
      <c r="W70" s="14"/>
      <c r="X70" s="14"/>
      <c r="Y70" s="14"/>
    </row>
    <row r="71" spans="2:25" ht="24.95" customHeight="1">
      <c r="B71" s="20" t="s">
        <v>6</v>
      </c>
      <c r="C71" s="225" t="s">
        <v>45</v>
      </c>
      <c r="D71" s="225" t="s">
        <v>46</v>
      </c>
      <c r="E71" s="22" t="s">
        <v>275</v>
      </c>
      <c r="F71" s="84">
        <v>46655</v>
      </c>
      <c r="G71" s="84">
        <v>1</v>
      </c>
      <c r="H71" s="22" t="s">
        <v>276</v>
      </c>
      <c r="I71" s="22" t="s">
        <v>277</v>
      </c>
      <c r="J71" s="25" t="s">
        <v>278</v>
      </c>
      <c r="K71" s="22" t="s">
        <v>29</v>
      </c>
      <c r="L71" s="85" t="s">
        <v>676</v>
      </c>
      <c r="M71" s="85"/>
      <c r="N71" s="85"/>
      <c r="O71" s="85"/>
      <c r="P71" s="85" t="s">
        <v>187</v>
      </c>
      <c r="Q71" s="24"/>
      <c r="R71" s="235" t="s">
        <v>677</v>
      </c>
      <c r="S71" s="15" t="s">
        <v>678</v>
      </c>
      <c r="T71" s="14" t="s">
        <v>679</v>
      </c>
      <c r="U71" s="14"/>
      <c r="V71" s="14"/>
      <c r="W71" s="14"/>
      <c r="X71" s="14"/>
      <c r="Y71" s="14"/>
    </row>
    <row r="72" spans="2:25" ht="24.95" customHeight="1">
      <c r="B72" s="20" t="s">
        <v>47</v>
      </c>
      <c r="C72" s="227"/>
      <c r="D72" s="227"/>
      <c r="E72" s="22" t="s">
        <v>279</v>
      </c>
      <c r="F72" s="84" t="s">
        <v>47</v>
      </c>
      <c r="G72" s="84" t="s">
        <v>47</v>
      </c>
      <c r="H72" s="22" t="s">
        <v>276</v>
      </c>
      <c r="I72" s="22" t="s">
        <v>280</v>
      </c>
      <c r="J72" s="27" t="s">
        <v>281</v>
      </c>
      <c r="K72" s="22" t="s">
        <v>48</v>
      </c>
      <c r="L72" s="85" t="s">
        <v>676</v>
      </c>
      <c r="M72" s="85"/>
      <c r="N72" s="85"/>
      <c r="O72" s="85"/>
      <c r="P72" s="85"/>
      <c r="Q72" s="24">
        <v>2.0299999999999998</v>
      </c>
      <c r="R72" s="234"/>
      <c r="S72" s="15" t="s">
        <v>680</v>
      </c>
      <c r="T72" s="14"/>
      <c r="U72" s="14"/>
      <c r="V72" s="14"/>
      <c r="W72" s="14"/>
      <c r="X72" s="14"/>
      <c r="Y72" s="14"/>
    </row>
    <row r="73" spans="2:25" ht="24.95" customHeight="1">
      <c r="B73" s="20" t="s">
        <v>49</v>
      </c>
      <c r="C73" s="22" t="s">
        <v>50</v>
      </c>
      <c r="D73" s="22" t="s">
        <v>51</v>
      </c>
      <c r="E73" s="22" t="s">
        <v>282</v>
      </c>
      <c r="F73" s="84">
        <v>49026</v>
      </c>
      <c r="G73" s="22"/>
      <c r="H73" s="22" t="s">
        <v>276</v>
      </c>
      <c r="I73" s="22" t="s">
        <v>47</v>
      </c>
      <c r="J73" s="27" t="s">
        <v>283</v>
      </c>
      <c r="K73" s="22" t="s">
        <v>29</v>
      </c>
      <c r="L73" s="85" t="s">
        <v>47</v>
      </c>
      <c r="M73" s="85"/>
      <c r="N73" s="85"/>
      <c r="O73" s="85"/>
      <c r="P73" s="85"/>
      <c r="Q73" s="24"/>
      <c r="R73" s="42"/>
      <c r="S73" s="15"/>
      <c r="T73" s="14"/>
      <c r="U73" s="14"/>
      <c r="V73" s="14"/>
      <c r="W73" s="14"/>
      <c r="X73" s="14"/>
      <c r="Y73" s="14"/>
    </row>
    <row r="74" spans="2:25" ht="24.95" customHeight="1">
      <c r="B74" s="20" t="s">
        <v>10</v>
      </c>
      <c r="C74" s="226" t="s">
        <v>52</v>
      </c>
      <c r="D74" s="73" t="s">
        <v>53</v>
      </c>
      <c r="E74" s="22" t="s">
        <v>284</v>
      </c>
      <c r="F74" s="84">
        <v>55511</v>
      </c>
      <c r="G74" s="84">
        <v>2</v>
      </c>
      <c r="H74" s="22" t="s">
        <v>271</v>
      </c>
      <c r="I74" s="22" t="s">
        <v>285</v>
      </c>
      <c r="J74" s="22" t="s">
        <v>286</v>
      </c>
      <c r="K74" s="22" t="s">
        <v>54</v>
      </c>
      <c r="L74" s="81" t="s">
        <v>681</v>
      </c>
      <c r="M74" s="81"/>
      <c r="N74" s="81"/>
      <c r="O74" s="81"/>
      <c r="P74" s="81" t="s">
        <v>452</v>
      </c>
      <c r="Q74" s="24">
        <v>1.01</v>
      </c>
      <c r="R74" s="42"/>
      <c r="T74" s="14"/>
      <c r="U74" s="14"/>
      <c r="V74" s="14"/>
      <c r="W74" s="14"/>
      <c r="X74" s="14"/>
      <c r="Y74" s="14"/>
    </row>
    <row r="75" spans="2:25" ht="24.95" customHeight="1">
      <c r="B75" s="20" t="s">
        <v>10</v>
      </c>
      <c r="C75" s="226"/>
      <c r="D75" s="73" t="s">
        <v>55</v>
      </c>
      <c r="E75" s="22" t="s">
        <v>290</v>
      </c>
      <c r="F75" s="84">
        <v>55511</v>
      </c>
      <c r="G75" s="84">
        <v>5</v>
      </c>
      <c r="H75" s="22" t="s">
        <v>287</v>
      </c>
      <c r="I75" s="22" t="s">
        <v>291</v>
      </c>
      <c r="J75" s="22" t="s">
        <v>292</v>
      </c>
      <c r="K75" s="22" t="s">
        <v>31</v>
      </c>
      <c r="L75" s="81" t="s">
        <v>682</v>
      </c>
      <c r="M75" s="81"/>
      <c r="N75" s="81"/>
      <c r="O75" s="81"/>
      <c r="P75" s="81" t="s">
        <v>358</v>
      </c>
      <c r="Q75" s="24">
        <v>1</v>
      </c>
      <c r="R75" s="75"/>
      <c r="T75" s="14"/>
      <c r="U75" s="14"/>
      <c r="V75" s="14"/>
      <c r="W75" s="14"/>
      <c r="X75" s="14"/>
      <c r="Y75" s="14"/>
    </row>
    <row r="76" spans="2:25" s="63" customFormat="1" ht="24.95" customHeight="1">
      <c r="B76" s="56" t="s">
        <v>10</v>
      </c>
      <c r="C76" s="226"/>
      <c r="D76" s="57" t="s">
        <v>56</v>
      </c>
      <c r="E76" s="57"/>
      <c r="F76" s="57"/>
      <c r="G76" s="57"/>
      <c r="H76" s="57" t="s">
        <v>276</v>
      </c>
      <c r="I76" s="57" t="s">
        <v>683</v>
      </c>
      <c r="J76" s="57" t="s">
        <v>47</v>
      </c>
      <c r="K76" s="57" t="s">
        <v>57</v>
      </c>
      <c r="L76" s="58"/>
      <c r="M76" s="58"/>
      <c r="N76" s="58"/>
      <c r="O76" s="58"/>
      <c r="P76" s="58"/>
      <c r="Q76" s="58"/>
      <c r="R76" s="60"/>
      <c r="S76" s="61" t="s">
        <v>684</v>
      </c>
      <c r="T76" s="62"/>
      <c r="U76" s="62"/>
      <c r="V76" s="62"/>
      <c r="W76" s="62"/>
      <c r="X76" s="62"/>
      <c r="Y76" s="62"/>
    </row>
    <row r="77" spans="2:25" ht="24.95" customHeight="1">
      <c r="B77" s="20" t="s">
        <v>10</v>
      </c>
      <c r="C77" s="226"/>
      <c r="D77" s="73" t="s">
        <v>58</v>
      </c>
      <c r="E77" s="22" t="s">
        <v>298</v>
      </c>
      <c r="F77" s="84">
        <v>44946</v>
      </c>
      <c r="G77" s="84">
        <v>2</v>
      </c>
      <c r="H77" s="22" t="s">
        <v>293</v>
      </c>
      <c r="I77" s="22" t="s">
        <v>294</v>
      </c>
      <c r="J77" s="22" t="s">
        <v>295</v>
      </c>
      <c r="K77" s="22" t="s">
        <v>59</v>
      </c>
      <c r="L77" s="85" t="s">
        <v>685</v>
      </c>
      <c r="M77" s="85"/>
      <c r="N77" s="85"/>
      <c r="O77" s="85"/>
      <c r="P77" s="85" t="s">
        <v>296</v>
      </c>
      <c r="Q77" s="24">
        <v>1</v>
      </c>
      <c r="R77" s="42"/>
      <c r="S77" s="14" t="s">
        <v>297</v>
      </c>
      <c r="T77" s="14"/>
      <c r="U77" s="14"/>
      <c r="V77" s="14"/>
      <c r="W77" s="14"/>
      <c r="X77" s="14"/>
      <c r="Y77" s="14"/>
    </row>
    <row r="78" spans="2:25" s="63" customFormat="1" ht="24.95" customHeight="1">
      <c r="B78" s="56" t="s">
        <v>10</v>
      </c>
      <c r="C78" s="226"/>
      <c r="D78" s="57" t="s">
        <v>60</v>
      </c>
      <c r="E78" s="57"/>
      <c r="F78" s="57"/>
      <c r="G78" s="57"/>
      <c r="H78" s="57" t="s">
        <v>293</v>
      </c>
      <c r="I78" s="57" t="s">
        <v>686</v>
      </c>
      <c r="J78" s="57" t="s">
        <v>47</v>
      </c>
      <c r="K78" s="57" t="s">
        <v>61</v>
      </c>
      <c r="L78" s="58"/>
      <c r="M78" s="58"/>
      <c r="N78" s="58"/>
      <c r="O78" s="58"/>
      <c r="P78" s="58"/>
      <c r="Q78" s="59"/>
      <c r="R78" s="60"/>
      <c r="S78" s="62"/>
      <c r="T78" s="62"/>
      <c r="U78" s="62"/>
      <c r="V78" s="62"/>
      <c r="W78" s="62"/>
      <c r="X78" s="62"/>
      <c r="Y78" s="62"/>
    </row>
    <row r="79" spans="2:25" s="63" customFormat="1" ht="24.95" customHeight="1">
      <c r="B79" s="56" t="s">
        <v>10</v>
      </c>
      <c r="C79" s="226"/>
      <c r="D79" s="57" t="s">
        <v>62</v>
      </c>
      <c r="E79" s="57" t="s">
        <v>63</v>
      </c>
      <c r="F79" s="57" t="s">
        <v>63</v>
      </c>
      <c r="G79" s="86" t="s">
        <v>63</v>
      </c>
      <c r="H79" s="57" t="s">
        <v>415</v>
      </c>
      <c r="I79" s="57" t="s">
        <v>62</v>
      </c>
      <c r="J79" s="64" t="s">
        <v>47</v>
      </c>
      <c r="K79" s="57" t="s">
        <v>64</v>
      </c>
      <c r="L79" s="65"/>
      <c r="M79" s="65"/>
      <c r="N79" s="65"/>
      <c r="O79" s="65"/>
      <c r="P79" s="65"/>
      <c r="Q79" s="59">
        <v>2</v>
      </c>
      <c r="R79" s="67"/>
      <c r="S79" s="62" t="s">
        <v>687</v>
      </c>
      <c r="T79" s="62"/>
      <c r="U79" s="62"/>
      <c r="V79" s="62"/>
      <c r="W79" s="62"/>
      <c r="X79" s="62"/>
      <c r="Y79" s="62"/>
    </row>
    <row r="80" spans="2:25" s="63" customFormat="1" ht="24.95" customHeight="1">
      <c r="B80" s="20" t="s">
        <v>65</v>
      </c>
      <c r="C80" s="227"/>
      <c r="D80" s="22" t="s">
        <v>66</v>
      </c>
      <c r="E80" s="22" t="s">
        <v>299</v>
      </c>
      <c r="F80" s="22">
        <v>50770</v>
      </c>
      <c r="G80" s="84">
        <v>0</v>
      </c>
      <c r="H80" s="22" t="s">
        <v>300</v>
      </c>
      <c r="I80" s="22"/>
      <c r="J80" s="22"/>
      <c r="K80" s="22" t="s">
        <v>67</v>
      </c>
      <c r="L80" s="85" t="s">
        <v>47</v>
      </c>
      <c r="M80" s="85"/>
      <c r="N80" s="85"/>
      <c r="O80" s="85"/>
      <c r="P80" s="85"/>
      <c r="Q80" s="24"/>
      <c r="R80" s="42"/>
      <c r="S80" s="62"/>
      <c r="T80" s="62"/>
      <c r="U80" s="62"/>
      <c r="V80" s="62"/>
      <c r="W80" s="62"/>
      <c r="X80" s="62"/>
      <c r="Y80" s="62"/>
    </row>
    <row r="81" spans="1:25" ht="24.95" customHeight="1">
      <c r="B81" s="20" t="s">
        <v>10</v>
      </c>
      <c r="C81" s="73" t="s">
        <v>68</v>
      </c>
      <c r="D81" s="73" t="s">
        <v>69</v>
      </c>
      <c r="E81" s="22" t="s">
        <v>303</v>
      </c>
      <c r="F81" s="22">
        <v>55511</v>
      </c>
      <c r="G81" s="84">
        <v>5</v>
      </c>
      <c r="H81" s="22" t="s">
        <v>276</v>
      </c>
      <c r="I81" s="22"/>
      <c r="J81" s="25"/>
      <c r="K81" s="22" t="s">
        <v>29</v>
      </c>
      <c r="L81" s="81" t="s">
        <v>688</v>
      </c>
      <c r="M81" s="81"/>
      <c r="N81" s="81"/>
      <c r="O81" s="81"/>
      <c r="P81" s="81" t="s">
        <v>187</v>
      </c>
      <c r="Q81" s="24">
        <v>1.05</v>
      </c>
      <c r="R81" s="236"/>
      <c r="T81" s="14"/>
      <c r="U81" s="14"/>
      <c r="V81" s="14"/>
      <c r="W81" s="14"/>
      <c r="X81" s="14"/>
      <c r="Y81" s="14"/>
    </row>
    <row r="82" spans="1:25" ht="24.95" customHeight="1">
      <c r="B82" s="20" t="s">
        <v>10</v>
      </c>
      <c r="C82" s="226" t="s">
        <v>70</v>
      </c>
      <c r="D82" s="21" t="s">
        <v>71</v>
      </c>
      <c r="E82" s="22" t="s">
        <v>305</v>
      </c>
      <c r="F82" s="22">
        <v>55511</v>
      </c>
      <c r="G82" s="84">
        <v>5</v>
      </c>
      <c r="H82" s="22" t="s">
        <v>287</v>
      </c>
      <c r="I82" s="22"/>
      <c r="J82" s="25"/>
      <c r="K82" s="22" t="s">
        <v>72</v>
      </c>
      <c r="L82" s="87" t="s">
        <v>689</v>
      </c>
      <c r="M82" s="87" t="s">
        <v>690</v>
      </c>
      <c r="N82" s="88"/>
      <c r="O82" s="88"/>
      <c r="P82" s="88" t="s">
        <v>304</v>
      </c>
      <c r="Q82" s="24">
        <v>3.3</v>
      </c>
      <c r="R82" s="236"/>
      <c r="T82" s="14"/>
      <c r="U82" s="14"/>
      <c r="V82" s="14"/>
      <c r="W82" s="14"/>
      <c r="X82" s="14"/>
      <c r="Y82" s="14"/>
    </row>
    <row r="83" spans="1:25" ht="24.95" customHeight="1">
      <c r="B83" s="20" t="s">
        <v>10</v>
      </c>
      <c r="C83" s="226"/>
      <c r="D83" s="21" t="s">
        <v>73</v>
      </c>
      <c r="E83" s="22" t="s">
        <v>306</v>
      </c>
      <c r="F83" s="22">
        <v>55511</v>
      </c>
      <c r="G83" s="84">
        <v>3</v>
      </c>
      <c r="H83" s="22"/>
      <c r="I83" s="22"/>
      <c r="J83" s="25"/>
      <c r="K83" s="22" t="s">
        <v>74</v>
      </c>
      <c r="L83" s="87" t="s">
        <v>691</v>
      </c>
      <c r="M83" s="87" t="s">
        <v>692</v>
      </c>
      <c r="N83" s="88"/>
      <c r="O83" s="88"/>
      <c r="P83" s="88" t="s">
        <v>35</v>
      </c>
      <c r="Q83" s="24">
        <v>4.0199999999999996</v>
      </c>
      <c r="R83" s="236"/>
      <c r="T83" s="14"/>
      <c r="U83" s="14"/>
      <c r="V83" s="14"/>
      <c r="W83" s="14"/>
      <c r="X83" s="14"/>
      <c r="Y83" s="14"/>
    </row>
    <row r="84" spans="1:25" ht="24.95" customHeight="1">
      <c r="B84" s="20" t="s">
        <v>10</v>
      </c>
      <c r="C84" s="226"/>
      <c r="D84" s="21" t="s">
        <v>75</v>
      </c>
      <c r="E84" s="22" t="s">
        <v>307</v>
      </c>
      <c r="F84" s="22">
        <v>60031</v>
      </c>
      <c r="G84" s="84">
        <v>7</v>
      </c>
      <c r="H84" s="22" t="s">
        <v>276</v>
      </c>
      <c r="I84" s="22"/>
      <c r="J84" s="25"/>
      <c r="K84" s="22" t="s">
        <v>76</v>
      </c>
      <c r="L84" s="87" t="s">
        <v>693</v>
      </c>
      <c r="M84" s="87" t="s">
        <v>694</v>
      </c>
      <c r="N84" s="88"/>
      <c r="O84" s="88"/>
      <c r="P84" s="88" t="s">
        <v>76</v>
      </c>
      <c r="Q84" s="24">
        <v>5.03</v>
      </c>
      <c r="R84" s="236"/>
      <c r="T84" s="14"/>
      <c r="U84" s="14"/>
      <c r="V84" s="14"/>
      <c r="W84" s="14"/>
      <c r="X84" s="14"/>
      <c r="Y84" s="14"/>
    </row>
    <row r="85" spans="1:25" ht="24.95" customHeight="1">
      <c r="B85" s="20" t="s">
        <v>6</v>
      </c>
      <c r="C85" s="227"/>
      <c r="D85" s="21" t="s">
        <v>77</v>
      </c>
      <c r="E85" s="22" t="s">
        <v>309</v>
      </c>
      <c r="F85" s="22">
        <v>51803</v>
      </c>
      <c r="G85" s="84">
        <v>4</v>
      </c>
      <c r="H85" s="22" t="s">
        <v>310</v>
      </c>
      <c r="I85" s="22"/>
      <c r="J85" s="25"/>
      <c r="K85" s="22" t="s">
        <v>78</v>
      </c>
      <c r="L85" s="87" t="s">
        <v>695</v>
      </c>
      <c r="M85" s="87" t="s">
        <v>696</v>
      </c>
      <c r="N85" s="88"/>
      <c r="O85" s="88"/>
      <c r="P85" s="88" t="s">
        <v>308</v>
      </c>
      <c r="Q85" s="24">
        <v>1.1299999999999999</v>
      </c>
      <c r="R85" s="236"/>
      <c r="T85" s="14"/>
      <c r="U85" s="14"/>
      <c r="V85" s="14"/>
      <c r="W85" s="14"/>
      <c r="X85" s="14"/>
      <c r="Y85" s="14"/>
    </row>
    <row r="86" spans="1:25" ht="24.95" customHeight="1">
      <c r="B86" s="20" t="s">
        <v>10</v>
      </c>
      <c r="C86" s="226" t="s">
        <v>79</v>
      </c>
      <c r="D86" s="48" t="s">
        <v>80</v>
      </c>
      <c r="E86" s="26" t="s">
        <v>312</v>
      </c>
      <c r="F86" s="26">
        <v>43748</v>
      </c>
      <c r="G86" s="84">
        <v>4</v>
      </c>
      <c r="H86" s="25" t="s">
        <v>271</v>
      </c>
      <c r="I86" s="22" t="s">
        <v>313</v>
      </c>
      <c r="J86" s="22" t="s">
        <v>314</v>
      </c>
      <c r="K86" s="22" t="s">
        <v>29</v>
      </c>
      <c r="L86" s="89" t="s">
        <v>697</v>
      </c>
      <c r="M86" s="90" t="s">
        <v>698</v>
      </c>
      <c r="N86" s="90" t="s">
        <v>699</v>
      </c>
      <c r="O86" s="23"/>
      <c r="P86" s="85" t="s">
        <v>187</v>
      </c>
      <c r="Q86" s="24">
        <v>1.04</v>
      </c>
      <c r="R86" s="239"/>
      <c r="S86" s="241" t="s">
        <v>311</v>
      </c>
      <c r="T86" s="242"/>
      <c r="U86" s="14"/>
      <c r="V86" s="14"/>
      <c r="W86" s="14"/>
      <c r="X86" s="14"/>
      <c r="Y86" s="14"/>
    </row>
    <row r="87" spans="1:25" ht="24.95" customHeight="1">
      <c r="B87" s="20" t="s">
        <v>10</v>
      </c>
      <c r="C87" s="226"/>
      <c r="D87" s="21" t="s">
        <v>81</v>
      </c>
      <c r="E87" s="22" t="s">
        <v>318</v>
      </c>
      <c r="F87" s="22">
        <v>52576</v>
      </c>
      <c r="G87" s="84">
        <v>8</v>
      </c>
      <c r="H87" s="22" t="s">
        <v>287</v>
      </c>
      <c r="I87" s="22" t="s">
        <v>319</v>
      </c>
      <c r="J87" s="27" t="s">
        <v>320</v>
      </c>
      <c r="K87" s="22" t="s">
        <v>82</v>
      </c>
      <c r="L87" s="91"/>
      <c r="M87" s="90"/>
      <c r="N87" s="23" t="s">
        <v>700</v>
      </c>
      <c r="O87" s="23"/>
      <c r="P87" s="23" t="s">
        <v>315</v>
      </c>
      <c r="Q87" s="24">
        <v>3.3</v>
      </c>
      <c r="R87" s="239"/>
      <c r="S87" s="14" t="s">
        <v>316</v>
      </c>
      <c r="T87" s="15" t="s">
        <v>317</v>
      </c>
      <c r="U87" s="14" t="s">
        <v>83</v>
      </c>
      <c r="V87" s="14"/>
      <c r="W87" s="14"/>
      <c r="X87" s="14"/>
      <c r="Y87" s="14"/>
    </row>
    <row r="88" spans="1:25" ht="24.95" customHeight="1">
      <c r="B88" s="20" t="s">
        <v>10</v>
      </c>
      <c r="C88" s="226"/>
      <c r="D88" s="21" t="s">
        <v>84</v>
      </c>
      <c r="E88" s="29" t="s">
        <v>324</v>
      </c>
      <c r="F88" s="29">
        <v>52576</v>
      </c>
      <c r="G88" s="84">
        <v>7</v>
      </c>
      <c r="H88" s="29" t="s">
        <v>276</v>
      </c>
      <c r="I88" s="29" t="s">
        <v>325</v>
      </c>
      <c r="J88" s="30" t="s">
        <v>326</v>
      </c>
      <c r="K88" s="29" t="s">
        <v>31</v>
      </c>
      <c r="L88" s="91" t="s">
        <v>701</v>
      </c>
      <c r="M88" s="90" t="s">
        <v>702</v>
      </c>
      <c r="N88" s="92" t="s">
        <v>703</v>
      </c>
      <c r="O88" s="93"/>
      <c r="P88" s="93" t="s">
        <v>321</v>
      </c>
      <c r="Q88" s="32">
        <v>2.2999999999999998</v>
      </c>
      <c r="R88" s="239"/>
      <c r="S88" s="14" t="s">
        <v>322</v>
      </c>
      <c r="T88" s="15" t="s">
        <v>323</v>
      </c>
      <c r="U88" s="14" t="s">
        <v>85</v>
      </c>
      <c r="V88" s="14"/>
      <c r="W88" s="14"/>
      <c r="X88" s="14"/>
      <c r="Y88" s="14"/>
    </row>
    <row r="89" spans="1:25" ht="24.95" customHeight="1">
      <c r="B89" s="20" t="s">
        <v>10</v>
      </c>
      <c r="C89" s="226"/>
      <c r="D89" s="21" t="s">
        <v>86</v>
      </c>
      <c r="E89" s="22" t="s">
        <v>327</v>
      </c>
      <c r="F89" s="22">
        <v>53292</v>
      </c>
      <c r="G89" s="84">
        <v>5</v>
      </c>
      <c r="H89" s="22" t="s">
        <v>276</v>
      </c>
      <c r="I89" s="22" t="s">
        <v>328</v>
      </c>
      <c r="J89" s="27" t="s">
        <v>329</v>
      </c>
      <c r="K89" s="22" t="s">
        <v>87</v>
      </c>
      <c r="L89" s="85" t="s">
        <v>47</v>
      </c>
      <c r="M89" s="90" t="s">
        <v>704</v>
      </c>
      <c r="N89" s="85" t="s">
        <v>47</v>
      </c>
      <c r="O89" s="92"/>
      <c r="P89" s="92" t="s">
        <v>87</v>
      </c>
      <c r="Q89" s="24">
        <v>4.12</v>
      </c>
      <c r="R89" s="239"/>
      <c r="T89" s="15"/>
      <c r="U89" s="14"/>
      <c r="V89" s="14"/>
      <c r="W89" s="14"/>
      <c r="X89" s="14"/>
      <c r="Y89" s="14"/>
    </row>
    <row r="90" spans="1:25" ht="24.95" customHeight="1">
      <c r="B90" s="20" t="s">
        <v>6</v>
      </c>
      <c r="C90" s="226"/>
      <c r="D90" s="21" t="s">
        <v>88</v>
      </c>
      <c r="E90" s="22" t="s">
        <v>331</v>
      </c>
      <c r="F90" s="22">
        <v>54464</v>
      </c>
      <c r="G90" s="84">
        <v>5</v>
      </c>
      <c r="H90" s="22" t="s">
        <v>276</v>
      </c>
      <c r="I90" s="22" t="s">
        <v>332</v>
      </c>
      <c r="J90" s="27" t="s">
        <v>333</v>
      </c>
      <c r="K90" s="22" t="s">
        <v>89</v>
      </c>
      <c r="L90" s="85" t="s">
        <v>47</v>
      </c>
      <c r="M90" s="90" t="s">
        <v>705</v>
      </c>
      <c r="N90" s="94" t="s">
        <v>705</v>
      </c>
      <c r="O90" s="23"/>
      <c r="P90" s="23" t="s">
        <v>330</v>
      </c>
      <c r="Q90" s="24"/>
      <c r="R90" s="239"/>
      <c r="T90" s="15"/>
      <c r="U90" s="14"/>
      <c r="V90" s="14"/>
      <c r="W90" s="14"/>
      <c r="X90" s="14"/>
      <c r="Y90" s="14"/>
    </row>
    <row r="91" spans="1:25" ht="24.95" customHeight="1">
      <c r="B91" s="20" t="s">
        <v>90</v>
      </c>
      <c r="C91" s="226"/>
      <c r="D91" s="21" t="s">
        <v>91</v>
      </c>
      <c r="E91" s="22" t="s">
        <v>334</v>
      </c>
      <c r="F91" s="22">
        <v>52576</v>
      </c>
      <c r="G91" s="84">
        <v>7</v>
      </c>
      <c r="H91" s="22" t="s">
        <v>276</v>
      </c>
      <c r="I91" s="22" t="s">
        <v>335</v>
      </c>
      <c r="J91" s="22" t="s">
        <v>336</v>
      </c>
      <c r="K91" s="22" t="s">
        <v>92</v>
      </c>
      <c r="L91" s="85" t="s">
        <v>47</v>
      </c>
      <c r="M91" s="90"/>
      <c r="N91" s="85"/>
      <c r="O91" s="85"/>
      <c r="P91" s="85"/>
      <c r="Q91" s="24"/>
      <c r="R91" s="239"/>
      <c r="S91" s="15" t="s">
        <v>337</v>
      </c>
      <c r="T91" s="15" t="s">
        <v>338</v>
      </c>
      <c r="U91" s="14"/>
      <c r="V91" s="15"/>
      <c r="W91" s="14"/>
      <c r="X91" s="14"/>
      <c r="Y91" s="14"/>
    </row>
    <row r="92" spans="1:25" ht="24.95" customHeight="1">
      <c r="B92" s="20" t="s">
        <v>90</v>
      </c>
      <c r="C92" s="226"/>
      <c r="D92" s="21" t="s">
        <v>93</v>
      </c>
      <c r="E92" s="22" t="s">
        <v>339</v>
      </c>
      <c r="F92" s="22">
        <v>52576</v>
      </c>
      <c r="G92" s="84">
        <v>6</v>
      </c>
      <c r="H92" s="22" t="s">
        <v>276</v>
      </c>
      <c r="I92" s="22" t="s">
        <v>340</v>
      </c>
      <c r="J92" s="22" t="s">
        <v>341</v>
      </c>
      <c r="K92" s="22" t="s">
        <v>94</v>
      </c>
      <c r="L92" s="85" t="s">
        <v>47</v>
      </c>
      <c r="M92" s="90"/>
      <c r="N92" s="85"/>
      <c r="O92" s="85"/>
      <c r="P92" s="85"/>
      <c r="Q92" s="24"/>
      <c r="R92" s="239"/>
      <c r="S92" s="15" t="s">
        <v>342</v>
      </c>
      <c r="T92" s="15" t="s">
        <v>343</v>
      </c>
      <c r="U92" s="14"/>
      <c r="V92" s="15"/>
      <c r="W92" s="14"/>
      <c r="X92" s="14"/>
      <c r="Y92" s="14"/>
    </row>
    <row r="93" spans="1:25" ht="24.95" customHeight="1">
      <c r="B93" s="20" t="s">
        <v>90</v>
      </c>
      <c r="C93" s="226"/>
      <c r="D93" s="21" t="s">
        <v>95</v>
      </c>
      <c r="E93" s="22" t="s">
        <v>344</v>
      </c>
      <c r="F93" s="22">
        <v>52576</v>
      </c>
      <c r="G93" s="84">
        <v>2</v>
      </c>
      <c r="H93" s="22" t="s">
        <v>276</v>
      </c>
      <c r="I93" s="22" t="s">
        <v>345</v>
      </c>
      <c r="J93" s="27" t="s">
        <v>346</v>
      </c>
      <c r="K93" s="22" t="s">
        <v>96</v>
      </c>
      <c r="L93" s="85" t="s">
        <v>706</v>
      </c>
      <c r="M93" s="85" t="s">
        <v>707</v>
      </c>
      <c r="N93" s="85"/>
      <c r="O93" s="85"/>
      <c r="P93" s="85"/>
      <c r="Q93" s="24"/>
      <c r="R93" s="239"/>
      <c r="T93" s="15" t="s">
        <v>347</v>
      </c>
      <c r="U93" s="14"/>
      <c r="V93" s="14"/>
      <c r="W93" s="14"/>
      <c r="X93" s="14"/>
      <c r="Y93" s="14"/>
    </row>
    <row r="94" spans="1:25" ht="24.95" customHeight="1">
      <c r="B94" s="20" t="s">
        <v>90</v>
      </c>
      <c r="C94" s="227"/>
      <c r="D94" s="21" t="s">
        <v>97</v>
      </c>
      <c r="E94" s="22" t="s">
        <v>348</v>
      </c>
      <c r="F94" s="22">
        <v>52576</v>
      </c>
      <c r="G94" s="84">
        <v>2</v>
      </c>
      <c r="H94" s="22" t="s">
        <v>276</v>
      </c>
      <c r="I94" s="22" t="s">
        <v>349</v>
      </c>
      <c r="J94" s="27" t="s">
        <v>350</v>
      </c>
      <c r="K94" s="22" t="s">
        <v>98</v>
      </c>
      <c r="L94" s="85" t="s">
        <v>706</v>
      </c>
      <c r="M94" s="85" t="s">
        <v>707</v>
      </c>
      <c r="N94" s="85"/>
      <c r="O94" s="85"/>
      <c r="P94" s="85"/>
      <c r="Q94" s="24">
        <v>3.9</v>
      </c>
      <c r="R94" s="240"/>
      <c r="T94" s="15" t="s">
        <v>347</v>
      </c>
      <c r="U94" s="14"/>
      <c r="V94" s="14"/>
      <c r="W94" s="14"/>
      <c r="X94" s="14"/>
      <c r="Y94" s="14"/>
    </row>
    <row r="95" spans="1:25" ht="24.95" customHeight="1">
      <c r="A95" s="113" t="s">
        <v>972</v>
      </c>
      <c r="B95" s="20" t="s">
        <v>6</v>
      </c>
      <c r="C95" s="22" t="s">
        <v>493</v>
      </c>
      <c r="D95" s="21" t="s">
        <v>973</v>
      </c>
      <c r="E95" s="22" t="s">
        <v>974</v>
      </c>
      <c r="F95" s="22">
        <v>62636</v>
      </c>
      <c r="G95" s="84">
        <v>0</v>
      </c>
      <c r="H95" s="22" t="s">
        <v>276</v>
      </c>
      <c r="I95" s="22" t="s">
        <v>47</v>
      </c>
      <c r="J95" s="27" t="s">
        <v>47</v>
      </c>
      <c r="K95" s="22" t="s">
        <v>975</v>
      </c>
      <c r="L95" s="85"/>
      <c r="M95" s="85"/>
      <c r="N95" s="85"/>
      <c r="O95" s="85"/>
      <c r="P95" s="119" t="s">
        <v>1059</v>
      </c>
      <c r="Q95" s="24"/>
      <c r="R95" s="107"/>
      <c r="T95" s="15"/>
      <c r="U95" s="14"/>
      <c r="V95" s="14"/>
      <c r="W95" s="14"/>
      <c r="X95" s="14"/>
      <c r="Y95" s="14"/>
    </row>
    <row r="96" spans="1:25" ht="24.95" customHeight="1">
      <c r="B96" s="28" t="s">
        <v>6</v>
      </c>
      <c r="C96" s="226" t="s">
        <v>99</v>
      </c>
      <c r="D96" s="46" t="s">
        <v>100</v>
      </c>
      <c r="E96" s="29" t="s">
        <v>270</v>
      </c>
      <c r="F96" s="29">
        <v>55511</v>
      </c>
      <c r="G96" s="84">
        <v>4</v>
      </c>
      <c r="H96" s="29" t="s">
        <v>276</v>
      </c>
      <c r="I96" s="29"/>
      <c r="J96" s="30"/>
      <c r="K96" s="29" t="s">
        <v>101</v>
      </c>
      <c r="L96" s="31" t="s">
        <v>708</v>
      </c>
      <c r="M96" s="31"/>
      <c r="N96" s="31"/>
      <c r="O96" s="31"/>
      <c r="P96" s="95" t="s">
        <v>187</v>
      </c>
      <c r="Q96" s="32">
        <v>1.03</v>
      </c>
      <c r="R96" s="243"/>
      <c r="T96" s="15"/>
      <c r="U96" s="14"/>
      <c r="V96" s="14"/>
      <c r="W96" s="14"/>
      <c r="X96" s="14"/>
      <c r="Y96" s="14"/>
    </row>
    <row r="97" spans="1:25" ht="24.95" customHeight="1">
      <c r="B97" s="28" t="s">
        <v>6</v>
      </c>
      <c r="C97" s="227"/>
      <c r="D97" s="46" t="s">
        <v>102</v>
      </c>
      <c r="E97" s="29" t="s">
        <v>352</v>
      </c>
      <c r="F97" s="29">
        <v>55616</v>
      </c>
      <c r="G97" s="84">
        <v>5</v>
      </c>
      <c r="H97" s="29" t="s">
        <v>276</v>
      </c>
      <c r="I97" s="29"/>
      <c r="J97" s="30"/>
      <c r="K97" s="29" t="s">
        <v>103</v>
      </c>
      <c r="L97" s="31" t="s">
        <v>709</v>
      </c>
      <c r="M97" s="31"/>
      <c r="N97" s="31"/>
      <c r="O97" s="31"/>
      <c r="P97" s="31" t="s">
        <v>351</v>
      </c>
      <c r="Q97" s="32">
        <v>2</v>
      </c>
      <c r="R97" s="244"/>
      <c r="T97" s="15"/>
      <c r="U97" s="14"/>
      <c r="V97" s="14"/>
      <c r="W97" s="14"/>
      <c r="X97" s="14"/>
      <c r="Y97" s="14"/>
    </row>
    <row r="98" spans="1:25" ht="24.95" customHeight="1">
      <c r="B98" s="20" t="s">
        <v>10</v>
      </c>
      <c r="C98" s="225" t="s">
        <v>104</v>
      </c>
      <c r="D98" s="22" t="s">
        <v>105</v>
      </c>
      <c r="E98" s="22" t="s">
        <v>353</v>
      </c>
      <c r="F98" s="22">
        <v>42074</v>
      </c>
      <c r="G98" s="84">
        <v>0</v>
      </c>
      <c r="H98" s="22" t="s">
        <v>271</v>
      </c>
      <c r="I98" s="22" t="s">
        <v>354</v>
      </c>
      <c r="J98" s="22" t="s">
        <v>355</v>
      </c>
      <c r="K98" s="25" t="s">
        <v>106</v>
      </c>
      <c r="L98" s="85" t="s">
        <v>710</v>
      </c>
      <c r="M98" s="85"/>
      <c r="N98" s="85"/>
      <c r="O98" s="85"/>
      <c r="P98" s="85" t="s">
        <v>356</v>
      </c>
      <c r="Q98" s="24">
        <v>1</v>
      </c>
      <c r="R98" s="42"/>
      <c r="S98" s="15" t="s">
        <v>357</v>
      </c>
      <c r="T98" s="14"/>
      <c r="U98" s="14"/>
      <c r="V98" s="14"/>
      <c r="W98" s="14"/>
      <c r="X98" s="14"/>
      <c r="Y98" s="14"/>
    </row>
    <row r="99" spans="1:25" ht="24.95" customHeight="1">
      <c r="B99" s="20" t="s">
        <v>10</v>
      </c>
      <c r="C99" s="226"/>
      <c r="D99" s="26" t="s">
        <v>107</v>
      </c>
      <c r="E99" s="26" t="s">
        <v>360</v>
      </c>
      <c r="F99" s="26">
        <v>55511</v>
      </c>
      <c r="G99" s="84">
        <v>1</v>
      </c>
      <c r="H99" s="22" t="s">
        <v>276</v>
      </c>
      <c r="I99" s="22" t="s">
        <v>361</v>
      </c>
      <c r="J99" s="22" t="s">
        <v>362</v>
      </c>
      <c r="K99" s="25" t="s">
        <v>106</v>
      </c>
      <c r="L99" s="85" t="s">
        <v>711</v>
      </c>
      <c r="M99" s="85"/>
      <c r="N99" s="85"/>
      <c r="O99" s="85"/>
      <c r="P99" s="85" t="s">
        <v>358</v>
      </c>
      <c r="Q99" s="24">
        <v>1</v>
      </c>
      <c r="R99" s="42" t="s">
        <v>359</v>
      </c>
      <c r="T99" s="14"/>
      <c r="U99" s="14"/>
      <c r="V99" s="14"/>
      <c r="W99" s="14"/>
      <c r="X99" s="14"/>
      <c r="Y99" s="14"/>
    </row>
    <row r="100" spans="1:25" ht="24.95" customHeight="1">
      <c r="B100" s="20" t="s">
        <v>10</v>
      </c>
      <c r="C100" s="227"/>
      <c r="D100" s="74" t="s">
        <v>108</v>
      </c>
      <c r="E100" s="26" t="s">
        <v>364</v>
      </c>
      <c r="F100" s="26">
        <v>55511</v>
      </c>
      <c r="G100" s="84">
        <v>3</v>
      </c>
      <c r="H100" s="22" t="s">
        <v>276</v>
      </c>
      <c r="I100" s="26" t="s">
        <v>365</v>
      </c>
      <c r="J100" s="22" t="s">
        <v>47</v>
      </c>
      <c r="K100" s="25" t="s">
        <v>109</v>
      </c>
      <c r="L100" s="85" t="s">
        <v>712</v>
      </c>
      <c r="M100" s="85"/>
      <c r="N100" s="85"/>
      <c r="O100" s="85"/>
      <c r="P100" s="85" t="s">
        <v>363</v>
      </c>
      <c r="Q100" s="24">
        <v>1.04</v>
      </c>
      <c r="R100" s="42" t="s">
        <v>359</v>
      </c>
      <c r="T100" s="14"/>
      <c r="U100" s="14"/>
      <c r="V100" s="14"/>
      <c r="W100" s="14"/>
      <c r="X100" s="14"/>
      <c r="Y100" s="14"/>
    </row>
    <row r="101" spans="1:25" ht="24.95" customHeight="1">
      <c r="B101" s="20" t="s">
        <v>10</v>
      </c>
      <c r="C101" s="225" t="s">
        <v>110</v>
      </c>
      <c r="D101" s="22" t="s">
        <v>111</v>
      </c>
      <c r="E101" s="26" t="s">
        <v>312</v>
      </c>
      <c r="F101" s="26">
        <v>42055</v>
      </c>
      <c r="G101" s="84">
        <v>6</v>
      </c>
      <c r="H101" s="22" t="s">
        <v>271</v>
      </c>
      <c r="I101" s="22" t="s">
        <v>367</v>
      </c>
      <c r="J101" s="22" t="s">
        <v>368</v>
      </c>
      <c r="K101" s="25" t="s">
        <v>106</v>
      </c>
      <c r="L101" s="85" t="s">
        <v>713</v>
      </c>
      <c r="M101" s="85" t="s">
        <v>714</v>
      </c>
      <c r="N101" s="85"/>
      <c r="O101" s="85"/>
      <c r="P101" s="85" t="s">
        <v>187</v>
      </c>
      <c r="Q101" s="24">
        <v>1.05</v>
      </c>
      <c r="R101" s="42"/>
      <c r="S101" s="14" t="s">
        <v>366</v>
      </c>
      <c r="T101" s="14"/>
      <c r="U101" s="14"/>
      <c r="V101" s="14"/>
      <c r="W101" s="14"/>
      <c r="X101" s="14"/>
      <c r="Y101" s="14"/>
    </row>
    <row r="102" spans="1:25" ht="24.95" customHeight="1">
      <c r="B102" s="20" t="s">
        <v>10</v>
      </c>
      <c r="C102" s="227"/>
      <c r="D102" s="22" t="s">
        <v>112</v>
      </c>
      <c r="E102" s="26" t="s">
        <v>360</v>
      </c>
      <c r="F102" s="26">
        <v>55511</v>
      </c>
      <c r="G102" s="84">
        <v>1</v>
      </c>
      <c r="H102" s="22" t="s">
        <v>276</v>
      </c>
      <c r="I102" s="22" t="s">
        <v>369</v>
      </c>
      <c r="J102" s="22" t="s">
        <v>370</v>
      </c>
      <c r="K102" s="25" t="s">
        <v>106</v>
      </c>
      <c r="L102" s="85" t="s">
        <v>711</v>
      </c>
      <c r="M102" s="85"/>
      <c r="N102" s="85"/>
      <c r="O102" s="85"/>
      <c r="P102" s="85" t="s">
        <v>358</v>
      </c>
      <c r="Q102" s="24">
        <v>1</v>
      </c>
      <c r="R102" s="42" t="s">
        <v>359</v>
      </c>
      <c r="T102" s="14"/>
      <c r="U102" s="14"/>
      <c r="V102" s="14"/>
      <c r="W102" s="14"/>
      <c r="X102" s="14"/>
      <c r="Y102" s="14"/>
    </row>
    <row r="103" spans="1:25" ht="24.95" customHeight="1">
      <c r="B103" s="20" t="s">
        <v>10</v>
      </c>
      <c r="C103" s="245" t="s">
        <v>113</v>
      </c>
      <c r="D103" s="22" t="s">
        <v>114</v>
      </c>
      <c r="E103" s="26" t="s">
        <v>312</v>
      </c>
      <c r="F103" s="26">
        <v>55511</v>
      </c>
      <c r="G103" s="84">
        <v>2</v>
      </c>
      <c r="H103" s="22" t="s">
        <v>271</v>
      </c>
      <c r="I103" s="22" t="s">
        <v>371</v>
      </c>
      <c r="J103" s="22" t="s">
        <v>372</v>
      </c>
      <c r="K103" s="22"/>
      <c r="L103" s="23" t="s">
        <v>715</v>
      </c>
      <c r="M103" s="23"/>
      <c r="N103" s="23"/>
      <c r="O103" s="23"/>
      <c r="P103" s="85" t="s">
        <v>187</v>
      </c>
      <c r="Q103" s="24">
        <v>1.03</v>
      </c>
      <c r="R103" s="247" t="s">
        <v>113</v>
      </c>
      <c r="T103" s="14"/>
      <c r="U103" s="14"/>
      <c r="V103" s="14"/>
      <c r="W103" s="14"/>
      <c r="X103" s="14"/>
      <c r="Y103" s="14"/>
    </row>
    <row r="104" spans="1:25" ht="24.95" customHeight="1">
      <c r="B104" s="20" t="s">
        <v>10</v>
      </c>
      <c r="C104" s="246"/>
      <c r="D104" s="22" t="s">
        <v>115</v>
      </c>
      <c r="E104" s="26" t="s">
        <v>373</v>
      </c>
      <c r="F104" s="26">
        <v>55511</v>
      </c>
      <c r="G104" s="84">
        <v>2</v>
      </c>
      <c r="H104" s="22" t="s">
        <v>276</v>
      </c>
      <c r="I104" s="22" t="s">
        <v>374</v>
      </c>
      <c r="J104" s="22" t="s">
        <v>375</v>
      </c>
      <c r="K104" s="22" t="s">
        <v>116</v>
      </c>
      <c r="L104" s="23" t="s">
        <v>716</v>
      </c>
      <c r="M104" s="23"/>
      <c r="N104" s="23"/>
      <c r="O104" s="23"/>
      <c r="P104" s="23" t="s">
        <v>358</v>
      </c>
      <c r="Q104" s="24">
        <v>1</v>
      </c>
      <c r="R104" s="240"/>
      <c r="T104" s="14"/>
      <c r="U104" s="14"/>
      <c r="V104" s="14"/>
      <c r="W104" s="14"/>
      <c r="X104" s="14"/>
      <c r="Y104" s="14"/>
    </row>
    <row r="105" spans="1:25" ht="24.95" customHeight="1">
      <c r="B105" s="20" t="s">
        <v>10</v>
      </c>
      <c r="C105" s="33" t="s">
        <v>117</v>
      </c>
      <c r="D105" s="26" t="s">
        <v>118</v>
      </c>
      <c r="E105" s="26" t="s">
        <v>263</v>
      </c>
      <c r="F105" s="26">
        <v>55511</v>
      </c>
      <c r="G105" s="84">
        <v>5</v>
      </c>
      <c r="H105" s="22" t="s">
        <v>276</v>
      </c>
      <c r="I105" s="26" t="s">
        <v>47</v>
      </c>
      <c r="J105" s="22" t="s">
        <v>47</v>
      </c>
      <c r="K105" s="25" t="s">
        <v>106</v>
      </c>
      <c r="L105" s="23" t="s">
        <v>717</v>
      </c>
      <c r="M105" s="23"/>
      <c r="N105" s="23"/>
      <c r="O105" s="23"/>
      <c r="P105" s="23" t="s">
        <v>376</v>
      </c>
      <c r="Q105" s="24">
        <v>1.03</v>
      </c>
      <c r="R105" s="247" t="s">
        <v>117</v>
      </c>
      <c r="T105" s="14"/>
      <c r="U105" s="14"/>
      <c r="V105" s="14"/>
      <c r="W105" s="14"/>
      <c r="X105" s="14"/>
      <c r="Y105" s="14"/>
    </row>
    <row r="106" spans="1:25" ht="24.95" customHeight="1">
      <c r="B106" s="20" t="s">
        <v>10</v>
      </c>
      <c r="C106" s="237" t="s">
        <v>119</v>
      </c>
      <c r="D106" s="26" t="s">
        <v>120</v>
      </c>
      <c r="E106" s="26" t="s">
        <v>378</v>
      </c>
      <c r="F106" s="26">
        <v>55511</v>
      </c>
      <c r="G106" s="84">
        <v>7</v>
      </c>
      <c r="H106" s="22" t="s">
        <v>276</v>
      </c>
      <c r="I106" s="26" t="s">
        <v>47</v>
      </c>
      <c r="J106" s="22" t="s">
        <v>47</v>
      </c>
      <c r="K106" s="25" t="s">
        <v>72</v>
      </c>
      <c r="L106" s="94" t="s">
        <v>718</v>
      </c>
      <c r="M106" s="90" t="s">
        <v>719</v>
      </c>
      <c r="N106" s="90" t="s">
        <v>720</v>
      </c>
      <c r="O106" s="90" t="s">
        <v>721</v>
      </c>
      <c r="P106" s="90" t="s">
        <v>377</v>
      </c>
      <c r="Q106" s="24">
        <v>2.15</v>
      </c>
      <c r="R106" s="239"/>
      <c r="T106" s="14"/>
      <c r="U106" s="14"/>
      <c r="V106" s="14"/>
      <c r="W106" s="14"/>
      <c r="X106" s="14"/>
      <c r="Y106" s="14"/>
    </row>
    <row r="107" spans="1:25" s="18" customFormat="1" ht="24.95" customHeight="1">
      <c r="B107" s="20" t="s">
        <v>10</v>
      </c>
      <c r="C107" s="248"/>
      <c r="D107" s="26" t="s">
        <v>121</v>
      </c>
      <c r="E107" s="26" t="s">
        <v>266</v>
      </c>
      <c r="F107" s="26">
        <v>55511</v>
      </c>
      <c r="G107" s="84">
        <v>3</v>
      </c>
      <c r="H107" s="22" t="s">
        <v>276</v>
      </c>
      <c r="I107" s="26" t="s">
        <v>47</v>
      </c>
      <c r="J107" s="22" t="s">
        <v>47</v>
      </c>
      <c r="K107" s="25" t="s">
        <v>122</v>
      </c>
      <c r="L107" s="94" t="s">
        <v>722</v>
      </c>
      <c r="M107" s="90" t="s">
        <v>723</v>
      </c>
      <c r="N107" s="90" t="s">
        <v>724</v>
      </c>
      <c r="O107" s="90" t="s">
        <v>725</v>
      </c>
      <c r="P107" s="90" t="s">
        <v>122</v>
      </c>
      <c r="Q107" s="24">
        <v>4.03</v>
      </c>
      <c r="R107" s="239"/>
      <c r="S107" s="14"/>
      <c r="T107" s="14"/>
      <c r="U107" s="14"/>
      <c r="V107" s="14"/>
      <c r="W107" s="14"/>
      <c r="X107" s="14"/>
      <c r="Y107" s="14"/>
    </row>
    <row r="108" spans="1:25" ht="24.95" customHeight="1">
      <c r="A108" s="4" t="s">
        <v>1099</v>
      </c>
      <c r="B108" s="20" t="s">
        <v>10</v>
      </c>
      <c r="C108" s="248"/>
      <c r="D108" s="26" t="s">
        <v>123</v>
      </c>
      <c r="E108" s="26" t="s">
        <v>1183</v>
      </c>
      <c r="F108" s="26">
        <v>62927</v>
      </c>
      <c r="G108" s="84">
        <v>5</v>
      </c>
      <c r="H108" s="22" t="s">
        <v>276</v>
      </c>
      <c r="I108" s="26" t="s">
        <v>47</v>
      </c>
      <c r="J108" s="22" t="s">
        <v>47</v>
      </c>
      <c r="K108" s="25" t="s">
        <v>124</v>
      </c>
      <c r="L108" s="94" t="s">
        <v>726</v>
      </c>
      <c r="M108" s="90" t="s">
        <v>727</v>
      </c>
      <c r="N108" s="90" t="s">
        <v>728</v>
      </c>
      <c r="O108" s="90" t="s">
        <v>729</v>
      </c>
      <c r="P108" s="90" t="s">
        <v>124</v>
      </c>
      <c r="Q108" s="24">
        <v>5.0199999999999996</v>
      </c>
      <c r="R108" s="239"/>
      <c r="T108" s="14"/>
      <c r="U108" s="14"/>
      <c r="V108" s="14"/>
      <c r="W108" s="14"/>
      <c r="X108" s="14"/>
      <c r="Y108" s="14"/>
    </row>
    <row r="109" spans="1:25" ht="24.95" customHeight="1">
      <c r="A109" s="4" t="s">
        <v>1099</v>
      </c>
      <c r="B109" s="20" t="s">
        <v>10</v>
      </c>
      <c r="C109" s="248"/>
      <c r="D109" s="26" t="s">
        <v>125</v>
      </c>
      <c r="E109" s="26" t="s">
        <v>1184</v>
      </c>
      <c r="F109" s="26">
        <v>62927</v>
      </c>
      <c r="G109" s="84">
        <v>4</v>
      </c>
      <c r="H109" s="22" t="s">
        <v>276</v>
      </c>
      <c r="I109" s="26" t="s">
        <v>47</v>
      </c>
      <c r="J109" s="22" t="s">
        <v>47</v>
      </c>
      <c r="K109" s="25" t="s">
        <v>124</v>
      </c>
      <c r="L109" s="94" t="s">
        <v>730</v>
      </c>
      <c r="M109" s="90" t="s">
        <v>731</v>
      </c>
      <c r="N109" s="90" t="s">
        <v>732</v>
      </c>
      <c r="O109" s="90" t="s">
        <v>733</v>
      </c>
      <c r="P109" s="90" t="s">
        <v>124</v>
      </c>
      <c r="Q109" s="24">
        <v>6.1</v>
      </c>
      <c r="R109" s="239"/>
      <c r="T109" s="14"/>
      <c r="U109" s="14"/>
      <c r="V109" s="14"/>
      <c r="W109" s="14"/>
      <c r="X109" s="14"/>
      <c r="Y109" s="14"/>
    </row>
    <row r="110" spans="1:25" ht="24.95" customHeight="1">
      <c r="A110" s="4" t="s">
        <v>1099</v>
      </c>
      <c r="B110" s="20" t="s">
        <v>10</v>
      </c>
      <c r="C110" s="248"/>
      <c r="D110" s="26" t="s">
        <v>126</v>
      </c>
      <c r="E110" s="26" t="s">
        <v>1185</v>
      </c>
      <c r="F110" s="26">
        <v>62927</v>
      </c>
      <c r="G110" s="84">
        <v>4</v>
      </c>
      <c r="H110" s="22" t="s">
        <v>276</v>
      </c>
      <c r="I110" s="26" t="s">
        <v>47</v>
      </c>
      <c r="J110" s="22" t="s">
        <v>47</v>
      </c>
      <c r="K110" s="25" t="s">
        <v>127</v>
      </c>
      <c r="L110" s="94" t="s">
        <v>734</v>
      </c>
      <c r="M110" s="90" t="s">
        <v>735</v>
      </c>
      <c r="N110" s="90" t="s">
        <v>736</v>
      </c>
      <c r="O110" s="90" t="s">
        <v>737</v>
      </c>
      <c r="P110" s="90" t="s">
        <v>381</v>
      </c>
      <c r="Q110" s="24">
        <v>7</v>
      </c>
      <c r="R110" s="239"/>
      <c r="T110" s="14"/>
      <c r="U110" s="14"/>
      <c r="V110" s="14"/>
      <c r="W110" s="14"/>
      <c r="X110" s="14"/>
      <c r="Y110" s="14"/>
    </row>
    <row r="111" spans="1:25" ht="24.95" customHeight="1">
      <c r="A111" s="4" t="s">
        <v>1099</v>
      </c>
      <c r="B111" s="20" t="s">
        <v>10</v>
      </c>
      <c r="C111" s="248"/>
      <c r="D111" s="26" t="s">
        <v>128</v>
      </c>
      <c r="E111" s="26" t="s">
        <v>1186</v>
      </c>
      <c r="F111" s="26">
        <v>62927</v>
      </c>
      <c r="G111" s="84">
        <v>8</v>
      </c>
      <c r="H111" s="22" t="s">
        <v>276</v>
      </c>
      <c r="I111" s="26"/>
      <c r="J111" s="22"/>
      <c r="K111" s="22" t="s">
        <v>129</v>
      </c>
      <c r="L111" s="94" t="s">
        <v>976</v>
      </c>
      <c r="M111" s="90" t="s">
        <v>977</v>
      </c>
      <c r="N111" s="90" t="s">
        <v>978</v>
      </c>
      <c r="O111" s="90" t="s">
        <v>979</v>
      </c>
      <c r="P111" s="90" t="s">
        <v>76</v>
      </c>
      <c r="Q111" s="24"/>
      <c r="R111" s="54"/>
      <c r="T111" s="14"/>
      <c r="U111" s="14"/>
      <c r="V111" s="14"/>
      <c r="W111" s="14"/>
      <c r="X111" s="14"/>
      <c r="Y111" s="14"/>
    </row>
    <row r="112" spans="1:25" ht="24.95" customHeight="1">
      <c r="A112" s="4" t="s">
        <v>1099</v>
      </c>
      <c r="B112" s="20" t="s">
        <v>130</v>
      </c>
      <c r="C112" s="238"/>
      <c r="D112" s="26" t="s">
        <v>131</v>
      </c>
      <c r="E112" s="26" t="s">
        <v>1187</v>
      </c>
      <c r="F112" s="26">
        <v>62927</v>
      </c>
      <c r="G112" s="84">
        <v>2</v>
      </c>
      <c r="H112" s="22" t="s">
        <v>287</v>
      </c>
      <c r="I112" s="26"/>
      <c r="J112" s="22"/>
      <c r="K112" s="22" t="s">
        <v>42</v>
      </c>
      <c r="L112" s="94" t="s">
        <v>980</v>
      </c>
      <c r="M112" s="90" t="s">
        <v>981</v>
      </c>
      <c r="N112" s="111" t="s">
        <v>982</v>
      </c>
      <c r="O112" s="90" t="s">
        <v>983</v>
      </c>
      <c r="P112" s="22" t="s">
        <v>42</v>
      </c>
      <c r="Q112" s="24"/>
      <c r="R112" s="54"/>
      <c r="T112" s="14"/>
      <c r="U112" s="14"/>
      <c r="V112" s="14"/>
      <c r="W112" s="14"/>
      <c r="X112" s="14"/>
      <c r="Y112" s="14"/>
    </row>
    <row r="113" spans="1:25" ht="24.95" customHeight="1">
      <c r="B113" s="20" t="s">
        <v>6</v>
      </c>
      <c r="C113" s="237" t="s">
        <v>132</v>
      </c>
      <c r="D113" s="22" t="s">
        <v>133</v>
      </c>
      <c r="E113" s="26" t="s">
        <v>386</v>
      </c>
      <c r="F113" s="26">
        <v>55511</v>
      </c>
      <c r="G113" s="84">
        <v>9</v>
      </c>
      <c r="H113" s="22" t="s">
        <v>276</v>
      </c>
      <c r="I113" s="22" t="s">
        <v>47</v>
      </c>
      <c r="J113" s="22" t="s">
        <v>47</v>
      </c>
      <c r="K113" s="22" t="s">
        <v>48</v>
      </c>
      <c r="L113" s="85" t="s">
        <v>738</v>
      </c>
      <c r="M113" s="85" t="s">
        <v>739</v>
      </c>
      <c r="N113" s="85" t="s">
        <v>740</v>
      </c>
      <c r="O113" s="85"/>
      <c r="P113" s="85" t="s">
        <v>187</v>
      </c>
      <c r="Q113" s="24"/>
      <c r="R113" s="42" t="s">
        <v>385</v>
      </c>
      <c r="T113" s="14"/>
      <c r="U113" s="14"/>
      <c r="V113" s="14"/>
      <c r="W113" s="14"/>
      <c r="X113" s="14"/>
      <c r="Y113" s="14"/>
    </row>
    <row r="114" spans="1:25" ht="24.95" customHeight="1">
      <c r="B114" s="20" t="s">
        <v>6</v>
      </c>
      <c r="C114" s="238"/>
      <c r="D114" s="22" t="s">
        <v>134</v>
      </c>
      <c r="E114" s="26" t="s">
        <v>388</v>
      </c>
      <c r="F114" s="26">
        <v>55511</v>
      </c>
      <c r="G114" s="84">
        <v>5</v>
      </c>
      <c r="H114" s="22" t="s">
        <v>276</v>
      </c>
      <c r="I114" s="22" t="s">
        <v>47</v>
      </c>
      <c r="J114" s="22" t="s">
        <v>47</v>
      </c>
      <c r="K114" s="22" t="s">
        <v>135</v>
      </c>
      <c r="L114" s="85" t="s">
        <v>741</v>
      </c>
      <c r="M114" s="85" t="s">
        <v>741</v>
      </c>
      <c r="N114" s="85" t="s">
        <v>741</v>
      </c>
      <c r="O114" s="85"/>
      <c r="P114" s="85" t="s">
        <v>387</v>
      </c>
      <c r="Q114" s="24"/>
      <c r="R114" s="42" t="s">
        <v>385</v>
      </c>
      <c r="T114" s="14"/>
      <c r="U114" s="14"/>
      <c r="V114" s="14"/>
      <c r="W114" s="14"/>
      <c r="X114" s="14"/>
      <c r="Y114" s="14"/>
    </row>
    <row r="115" spans="1:25" ht="24.95" customHeight="1">
      <c r="B115" s="20" t="s">
        <v>90</v>
      </c>
      <c r="C115" s="237" t="s">
        <v>136</v>
      </c>
      <c r="D115" s="22" t="s">
        <v>138</v>
      </c>
      <c r="E115" s="26" t="s">
        <v>393</v>
      </c>
      <c r="F115" s="26">
        <v>55511</v>
      </c>
      <c r="G115" s="84">
        <v>3</v>
      </c>
      <c r="H115" s="22" t="s">
        <v>276</v>
      </c>
      <c r="I115" s="22" t="s">
        <v>47</v>
      </c>
      <c r="J115" s="22" t="s">
        <v>47</v>
      </c>
      <c r="K115" s="22" t="s">
        <v>139</v>
      </c>
      <c r="L115" s="23" t="s">
        <v>746</v>
      </c>
      <c r="M115" s="94" t="s">
        <v>747</v>
      </c>
      <c r="N115" s="94" t="s">
        <v>748</v>
      </c>
      <c r="O115" s="94" t="s">
        <v>749</v>
      </c>
      <c r="P115" s="94"/>
      <c r="Q115" s="24"/>
      <c r="R115" s="42" t="s">
        <v>147</v>
      </c>
      <c r="S115" s="15"/>
      <c r="T115" s="15" t="s">
        <v>394</v>
      </c>
      <c r="U115" s="14"/>
      <c r="V115" s="15"/>
      <c r="W115" s="14"/>
      <c r="X115" s="14"/>
      <c r="Y115" s="14"/>
    </row>
    <row r="116" spans="1:25" ht="24.95" customHeight="1">
      <c r="B116" s="20" t="s">
        <v>6</v>
      </c>
      <c r="C116" s="248"/>
      <c r="D116" s="22" t="s">
        <v>137</v>
      </c>
      <c r="E116" s="26" t="s">
        <v>390</v>
      </c>
      <c r="F116" s="26">
        <v>55511</v>
      </c>
      <c r="G116" s="84">
        <v>12</v>
      </c>
      <c r="H116" s="22" t="s">
        <v>276</v>
      </c>
      <c r="I116" s="22" t="s">
        <v>391</v>
      </c>
      <c r="J116" s="22" t="s">
        <v>47</v>
      </c>
      <c r="K116" s="22" t="s">
        <v>48</v>
      </c>
      <c r="L116" s="94" t="s">
        <v>742</v>
      </c>
      <c r="M116" s="94" t="s">
        <v>743</v>
      </c>
      <c r="N116" s="94" t="s">
        <v>744</v>
      </c>
      <c r="O116" s="94" t="s">
        <v>745</v>
      </c>
      <c r="P116" s="85" t="s">
        <v>321</v>
      </c>
      <c r="Q116" s="24">
        <v>3.14</v>
      </c>
      <c r="R116" s="42" t="s">
        <v>147</v>
      </c>
      <c r="S116" s="15" t="s">
        <v>389</v>
      </c>
      <c r="T116" s="14" t="s">
        <v>392</v>
      </c>
      <c r="U116" s="14"/>
      <c r="V116" s="15"/>
      <c r="W116" s="14"/>
      <c r="X116" s="14"/>
      <c r="Y116" s="14"/>
    </row>
    <row r="117" spans="1:25" ht="24.95" customHeight="1">
      <c r="B117" s="20" t="s">
        <v>6</v>
      </c>
      <c r="C117" s="248"/>
      <c r="D117" s="22" t="s">
        <v>142</v>
      </c>
      <c r="E117" s="26" t="s">
        <v>397</v>
      </c>
      <c r="F117" s="26">
        <v>55511</v>
      </c>
      <c r="G117" s="84">
        <v>2</v>
      </c>
      <c r="H117" s="22" t="s">
        <v>276</v>
      </c>
      <c r="I117" s="22"/>
      <c r="J117" s="22"/>
      <c r="K117" s="22" t="s">
        <v>143</v>
      </c>
      <c r="L117" s="85" t="s">
        <v>754</v>
      </c>
      <c r="M117" s="85" t="s">
        <v>755</v>
      </c>
      <c r="N117" s="85" t="s">
        <v>756</v>
      </c>
      <c r="O117" s="85" t="s">
        <v>47</v>
      </c>
      <c r="P117" s="85"/>
      <c r="Q117" s="24"/>
      <c r="R117" s="42" t="s">
        <v>147</v>
      </c>
      <c r="T117" s="14"/>
      <c r="U117" s="14"/>
      <c r="V117" s="15"/>
      <c r="W117" s="14"/>
      <c r="X117" s="14"/>
      <c r="Y117" s="14"/>
    </row>
    <row r="118" spans="1:25" ht="24.95" customHeight="1">
      <c r="B118" s="28" t="s">
        <v>6</v>
      </c>
      <c r="C118" s="238"/>
      <c r="D118" s="29" t="s">
        <v>140</v>
      </c>
      <c r="E118" s="26" t="s">
        <v>396</v>
      </c>
      <c r="F118" s="26">
        <v>55511</v>
      </c>
      <c r="G118" s="84">
        <v>8</v>
      </c>
      <c r="H118" s="29" t="s">
        <v>276</v>
      </c>
      <c r="I118" s="29" t="s">
        <v>47</v>
      </c>
      <c r="J118" s="29" t="s">
        <v>47</v>
      </c>
      <c r="K118" s="29" t="s">
        <v>141</v>
      </c>
      <c r="L118" s="94" t="s">
        <v>750</v>
      </c>
      <c r="M118" s="94" t="s">
        <v>751</v>
      </c>
      <c r="N118" s="94" t="s">
        <v>752</v>
      </c>
      <c r="O118" s="94" t="s">
        <v>753</v>
      </c>
      <c r="P118" s="85" t="s">
        <v>395</v>
      </c>
      <c r="Q118" s="32">
        <v>4.0599999999999996</v>
      </c>
      <c r="R118" s="43" t="s">
        <v>147</v>
      </c>
      <c r="S118" s="15"/>
      <c r="T118" s="14"/>
      <c r="U118" s="14"/>
      <c r="V118" s="15"/>
      <c r="W118" s="14"/>
      <c r="X118" s="14"/>
      <c r="Y118" s="14"/>
    </row>
    <row r="119" spans="1:25" ht="24.95" customHeight="1">
      <c r="A119" s="113" t="s">
        <v>972</v>
      </c>
      <c r="B119" s="20" t="s">
        <v>6</v>
      </c>
      <c r="C119" s="110" t="s">
        <v>803</v>
      </c>
      <c r="D119" s="22" t="s">
        <v>984</v>
      </c>
      <c r="E119" s="26" t="s">
        <v>974</v>
      </c>
      <c r="F119" s="26">
        <v>63015</v>
      </c>
      <c r="G119" s="84">
        <v>0</v>
      </c>
      <c r="H119" s="29" t="s">
        <v>276</v>
      </c>
      <c r="I119" s="29" t="s">
        <v>47</v>
      </c>
      <c r="J119" s="29" t="s">
        <v>47</v>
      </c>
      <c r="K119" s="22" t="s">
        <v>988</v>
      </c>
      <c r="L119" s="85"/>
      <c r="M119" s="85"/>
      <c r="N119" s="85"/>
      <c r="O119" s="85"/>
      <c r="P119" s="22" t="s">
        <v>988</v>
      </c>
      <c r="Q119" s="24"/>
      <c r="R119" s="45"/>
      <c r="T119" s="14"/>
      <c r="U119" s="14"/>
      <c r="V119" s="15"/>
      <c r="W119" s="14"/>
      <c r="X119" s="14"/>
      <c r="Y119" s="14"/>
    </row>
    <row r="120" spans="1:25" ht="24.95" customHeight="1">
      <c r="A120" s="113" t="s">
        <v>972</v>
      </c>
      <c r="B120" s="20" t="s">
        <v>6</v>
      </c>
      <c r="C120" s="110" t="s">
        <v>497</v>
      </c>
      <c r="D120" s="22" t="s">
        <v>985</v>
      </c>
      <c r="E120" s="26" t="s">
        <v>974</v>
      </c>
      <c r="F120" s="26">
        <v>62121</v>
      </c>
      <c r="G120" s="84">
        <v>0</v>
      </c>
      <c r="H120" s="29" t="s">
        <v>276</v>
      </c>
      <c r="I120" s="29" t="s">
        <v>47</v>
      </c>
      <c r="J120" s="29" t="s">
        <v>47</v>
      </c>
      <c r="K120" s="22" t="s">
        <v>975</v>
      </c>
      <c r="L120" s="85"/>
      <c r="M120" s="85"/>
      <c r="N120" s="85"/>
      <c r="O120" s="85"/>
      <c r="P120" s="22" t="s">
        <v>1060</v>
      </c>
      <c r="Q120" s="24"/>
      <c r="R120" s="45"/>
      <c r="T120" s="14"/>
      <c r="U120" s="14"/>
      <c r="V120" s="15"/>
      <c r="W120" s="14"/>
      <c r="X120" s="14"/>
      <c r="Y120" s="14"/>
    </row>
    <row r="121" spans="1:25" ht="24.95" customHeight="1">
      <c r="B121" s="20" t="s">
        <v>10</v>
      </c>
      <c r="C121" s="83" t="s">
        <v>144</v>
      </c>
      <c r="D121" s="22" t="s">
        <v>145</v>
      </c>
      <c r="E121" s="26" t="s">
        <v>290</v>
      </c>
      <c r="F121" s="26">
        <v>55511</v>
      </c>
      <c r="G121" s="84">
        <v>7</v>
      </c>
      <c r="H121" s="22" t="s">
        <v>271</v>
      </c>
      <c r="I121" s="29" t="s">
        <v>47</v>
      </c>
      <c r="J121" s="29" t="s">
        <v>47</v>
      </c>
      <c r="K121" s="22" t="s">
        <v>146</v>
      </c>
      <c r="L121" s="23" t="s">
        <v>757</v>
      </c>
      <c r="M121" s="23"/>
      <c r="N121" s="23"/>
      <c r="O121" s="23"/>
      <c r="P121" s="85" t="s">
        <v>187</v>
      </c>
      <c r="Q121" s="24">
        <v>2.0099999999999998</v>
      </c>
      <c r="R121" s="247" t="s">
        <v>147</v>
      </c>
      <c r="T121" s="14"/>
      <c r="U121" s="14"/>
      <c r="V121" s="14"/>
      <c r="W121" s="14"/>
      <c r="X121" s="14"/>
      <c r="Y121" s="14"/>
    </row>
    <row r="122" spans="1:25" ht="24.95" customHeight="1">
      <c r="B122" s="20" t="s">
        <v>10</v>
      </c>
      <c r="C122" s="237" t="s">
        <v>147</v>
      </c>
      <c r="D122" s="22" t="s">
        <v>148</v>
      </c>
      <c r="E122" s="26" t="s">
        <v>298</v>
      </c>
      <c r="F122" s="26">
        <v>55511</v>
      </c>
      <c r="G122" s="84">
        <v>3</v>
      </c>
      <c r="H122" s="22" t="s">
        <v>271</v>
      </c>
      <c r="I122" s="22" t="s">
        <v>398</v>
      </c>
      <c r="J122" s="22" t="s">
        <v>399</v>
      </c>
      <c r="K122" s="22" t="s">
        <v>149</v>
      </c>
      <c r="L122" s="23" t="s">
        <v>757</v>
      </c>
      <c r="M122" s="23"/>
      <c r="N122" s="23"/>
      <c r="O122" s="23"/>
      <c r="P122" s="85" t="s">
        <v>149</v>
      </c>
      <c r="Q122" s="24">
        <v>1</v>
      </c>
      <c r="R122" s="239"/>
      <c r="T122" s="14"/>
      <c r="U122" s="14"/>
      <c r="V122" s="14"/>
      <c r="W122" s="14"/>
      <c r="X122" s="14"/>
      <c r="Y122" s="14"/>
    </row>
    <row r="123" spans="1:25" ht="24.95" customHeight="1">
      <c r="B123" s="20" t="s">
        <v>6</v>
      </c>
      <c r="C123" s="248"/>
      <c r="D123" s="22" t="s">
        <v>150</v>
      </c>
      <c r="E123" s="26" t="s">
        <v>318</v>
      </c>
      <c r="F123" s="26">
        <v>55511</v>
      </c>
      <c r="G123" s="84">
        <v>6</v>
      </c>
      <c r="H123" s="22" t="s">
        <v>276</v>
      </c>
      <c r="I123" s="22"/>
      <c r="J123" s="22"/>
      <c r="K123" s="22" t="s">
        <v>151</v>
      </c>
      <c r="L123" s="23" t="s">
        <v>758</v>
      </c>
      <c r="M123" s="23"/>
      <c r="N123" s="23"/>
      <c r="O123" s="23"/>
      <c r="P123" s="23" t="s">
        <v>400</v>
      </c>
      <c r="Q123" s="24">
        <v>3.54</v>
      </c>
      <c r="R123" s="240"/>
      <c r="T123" s="14"/>
      <c r="U123" s="14"/>
      <c r="V123" s="15"/>
      <c r="W123" s="14"/>
      <c r="X123" s="14"/>
      <c r="Y123" s="14"/>
    </row>
    <row r="124" spans="1:25" ht="24.95" customHeight="1">
      <c r="B124" s="20" t="s">
        <v>6</v>
      </c>
      <c r="C124" s="238"/>
      <c r="D124" s="22" t="s">
        <v>152</v>
      </c>
      <c r="E124" s="26" t="s">
        <v>402</v>
      </c>
      <c r="F124" s="26">
        <v>55511</v>
      </c>
      <c r="G124" s="84">
        <v>2</v>
      </c>
      <c r="H124" s="22" t="s">
        <v>276</v>
      </c>
      <c r="I124" s="22"/>
      <c r="J124" s="22"/>
      <c r="K124" s="22" t="s">
        <v>153</v>
      </c>
      <c r="L124" s="23" t="s">
        <v>759</v>
      </c>
      <c r="M124" s="23"/>
      <c r="N124" s="23"/>
      <c r="O124" s="23"/>
      <c r="P124" s="23" t="s">
        <v>401</v>
      </c>
      <c r="Q124" s="24"/>
      <c r="R124" s="54"/>
      <c r="T124" s="14"/>
      <c r="U124" s="14"/>
      <c r="V124" s="15"/>
      <c r="W124" s="14"/>
      <c r="X124" s="14"/>
      <c r="Y124" s="14"/>
    </row>
    <row r="125" spans="1:25" ht="24.95" customHeight="1">
      <c r="B125" s="28" t="s">
        <v>6</v>
      </c>
      <c r="C125" s="103" t="s">
        <v>154</v>
      </c>
      <c r="D125" s="29" t="s">
        <v>155</v>
      </c>
      <c r="E125" s="29" t="s">
        <v>404</v>
      </c>
      <c r="F125" s="29">
        <v>54790</v>
      </c>
      <c r="G125" s="84">
        <v>8</v>
      </c>
      <c r="H125" s="29" t="s">
        <v>276</v>
      </c>
      <c r="I125" s="29"/>
      <c r="J125" s="38"/>
      <c r="K125" s="29"/>
      <c r="L125" s="23" t="s">
        <v>760</v>
      </c>
      <c r="M125" s="23" t="s">
        <v>761</v>
      </c>
      <c r="N125" s="23"/>
      <c r="O125" s="23"/>
      <c r="P125" s="85" t="s">
        <v>187</v>
      </c>
      <c r="Q125" s="31">
        <v>1.1399999999999999</v>
      </c>
      <c r="R125" s="31" t="s">
        <v>403</v>
      </c>
      <c r="T125" s="14"/>
      <c r="U125" s="14"/>
      <c r="V125" s="14"/>
      <c r="W125" s="14"/>
      <c r="X125" s="14"/>
      <c r="Y125" s="14"/>
    </row>
    <row r="126" spans="1:25" ht="24.95" customHeight="1">
      <c r="A126" s="113" t="s">
        <v>972</v>
      </c>
      <c r="B126" s="20" t="s">
        <v>6</v>
      </c>
      <c r="C126" s="120" t="s">
        <v>403</v>
      </c>
      <c r="D126" s="29" t="s">
        <v>986</v>
      </c>
      <c r="E126" s="29" t="s">
        <v>987</v>
      </c>
      <c r="F126" s="29">
        <v>63015</v>
      </c>
      <c r="G126" s="84">
        <v>0</v>
      </c>
      <c r="H126" s="29" t="s">
        <v>276</v>
      </c>
      <c r="I126" s="29" t="s">
        <v>47</v>
      </c>
      <c r="J126" s="29" t="s">
        <v>47</v>
      </c>
      <c r="K126" s="22" t="s">
        <v>988</v>
      </c>
      <c r="L126" s="23"/>
      <c r="M126" s="23"/>
      <c r="N126" s="23"/>
      <c r="O126" s="23"/>
      <c r="P126" s="22" t="s">
        <v>988</v>
      </c>
      <c r="Q126" s="31"/>
      <c r="R126" s="31"/>
      <c r="T126" s="14"/>
      <c r="U126" s="14"/>
      <c r="V126" s="14"/>
      <c r="W126" s="14"/>
      <c r="X126" s="14"/>
      <c r="Y126" s="14"/>
    </row>
    <row r="127" spans="1:25" ht="24.95" customHeight="1">
      <c r="A127" s="113" t="s">
        <v>972</v>
      </c>
      <c r="B127" s="28" t="s">
        <v>6</v>
      </c>
      <c r="C127" s="120" t="s">
        <v>863</v>
      </c>
      <c r="D127" s="29" t="s">
        <v>989</v>
      </c>
      <c r="E127" s="29" t="s">
        <v>987</v>
      </c>
      <c r="F127" s="29">
        <v>62121</v>
      </c>
      <c r="G127" s="84">
        <v>0</v>
      </c>
      <c r="H127" s="29" t="s">
        <v>276</v>
      </c>
      <c r="I127" s="29" t="s">
        <v>47</v>
      </c>
      <c r="J127" s="29" t="s">
        <v>47</v>
      </c>
      <c r="K127" s="22" t="s">
        <v>975</v>
      </c>
      <c r="L127" s="23"/>
      <c r="M127" s="23"/>
      <c r="N127" s="23"/>
      <c r="O127" s="23"/>
      <c r="P127" s="22" t="s">
        <v>1060</v>
      </c>
      <c r="Q127" s="31"/>
      <c r="R127" s="31"/>
      <c r="T127" s="14"/>
      <c r="U127" s="14"/>
      <c r="V127" s="14"/>
      <c r="W127" s="14"/>
      <c r="X127" s="14"/>
      <c r="Y127" s="14"/>
    </row>
    <row r="128" spans="1:25" s="63" customFormat="1" ht="24.95" customHeight="1">
      <c r="B128" s="56" t="s">
        <v>10</v>
      </c>
      <c r="C128" s="251" t="s">
        <v>156</v>
      </c>
      <c r="D128" s="64" t="s">
        <v>157</v>
      </c>
      <c r="E128" s="64"/>
      <c r="F128" s="64"/>
      <c r="G128" s="64"/>
      <c r="H128" s="64" t="s">
        <v>407</v>
      </c>
      <c r="I128" s="64" t="s">
        <v>408</v>
      </c>
      <c r="J128" s="64" t="s">
        <v>409</v>
      </c>
      <c r="K128" s="64"/>
      <c r="L128" s="65">
        <v>1.1100000000000001</v>
      </c>
      <c r="M128" s="65"/>
      <c r="N128" s="65"/>
      <c r="O128" s="65"/>
      <c r="P128" s="65"/>
      <c r="Q128" s="66">
        <v>1.1100000000000001</v>
      </c>
      <c r="R128" s="67"/>
      <c r="S128" s="64" t="s">
        <v>406</v>
      </c>
      <c r="T128" s="62"/>
      <c r="U128" s="62"/>
      <c r="V128" s="62"/>
      <c r="W128" s="62"/>
      <c r="X128" s="62"/>
      <c r="Y128" s="62"/>
    </row>
    <row r="129" spans="1:25" s="63" customFormat="1" ht="24.95" customHeight="1">
      <c r="B129" s="56" t="s">
        <v>6</v>
      </c>
      <c r="C129" s="252"/>
      <c r="D129" s="68" t="s">
        <v>158</v>
      </c>
      <c r="E129" s="68"/>
      <c r="F129" s="68"/>
      <c r="G129" s="68"/>
      <c r="H129" s="64" t="s">
        <v>410</v>
      </c>
      <c r="I129" s="64" t="s">
        <v>47</v>
      </c>
      <c r="J129" s="69" t="s">
        <v>47</v>
      </c>
      <c r="K129" s="64" t="s">
        <v>159</v>
      </c>
      <c r="L129" s="65">
        <v>2</v>
      </c>
      <c r="M129" s="65"/>
      <c r="N129" s="65"/>
      <c r="O129" s="65"/>
      <c r="P129" s="65"/>
      <c r="Q129" s="66"/>
      <c r="R129" s="67"/>
      <c r="S129" s="64" t="s">
        <v>406</v>
      </c>
      <c r="T129" s="62"/>
      <c r="U129" s="62"/>
      <c r="V129" s="62"/>
      <c r="W129" s="62"/>
      <c r="X129" s="62"/>
      <c r="Y129" s="62"/>
    </row>
    <row r="130" spans="1:25" s="18" customFormat="1" ht="24.95" customHeight="1">
      <c r="B130" s="20" t="s">
        <v>6</v>
      </c>
      <c r="C130" s="76" t="s">
        <v>160</v>
      </c>
      <c r="D130" s="77" t="s">
        <v>161</v>
      </c>
      <c r="E130" s="77" t="s">
        <v>413</v>
      </c>
      <c r="F130" s="77" t="s">
        <v>47</v>
      </c>
      <c r="G130" s="78"/>
      <c r="H130" s="77" t="s">
        <v>410</v>
      </c>
      <c r="I130" s="77" t="s">
        <v>414</v>
      </c>
      <c r="J130" s="79" t="s">
        <v>47</v>
      </c>
      <c r="K130" s="77"/>
      <c r="L130" s="80">
        <v>0.04</v>
      </c>
      <c r="M130" s="80"/>
      <c r="N130" s="80"/>
      <c r="O130" s="80"/>
      <c r="P130" s="80"/>
      <c r="Q130" s="80">
        <v>0.04</v>
      </c>
      <c r="R130" s="80" t="s">
        <v>411</v>
      </c>
      <c r="S130" s="96" t="s">
        <v>412</v>
      </c>
      <c r="T130" s="14"/>
      <c r="U130" s="14"/>
      <c r="V130" s="14"/>
      <c r="W130" s="14"/>
      <c r="X130" s="14"/>
      <c r="Y130" s="14"/>
    </row>
    <row r="131" spans="1:25" ht="24.95" customHeight="1">
      <c r="B131" s="28" t="s">
        <v>6</v>
      </c>
      <c r="C131" s="33" t="s">
        <v>162</v>
      </c>
      <c r="D131" s="22" t="s">
        <v>163</v>
      </c>
      <c r="E131" s="22" t="s">
        <v>298</v>
      </c>
      <c r="F131" s="22">
        <v>54378</v>
      </c>
      <c r="G131" s="84">
        <v>4</v>
      </c>
      <c r="H131" s="22" t="s">
        <v>415</v>
      </c>
      <c r="I131" s="22"/>
      <c r="J131" s="25" t="s">
        <v>47</v>
      </c>
      <c r="K131" s="22"/>
      <c r="L131" s="85" t="s">
        <v>47</v>
      </c>
      <c r="M131" s="85"/>
      <c r="N131" s="85"/>
      <c r="O131" s="85"/>
      <c r="P131" s="85"/>
      <c r="Q131" s="23">
        <v>1.01</v>
      </c>
      <c r="R131" s="23" t="s">
        <v>162</v>
      </c>
      <c r="T131" s="14"/>
      <c r="U131" s="14"/>
      <c r="V131" s="14"/>
      <c r="W131" s="14"/>
      <c r="X131" s="14"/>
      <c r="Y131" s="14"/>
    </row>
    <row r="132" spans="1:25" ht="24.95" customHeight="1">
      <c r="B132" s="20" t="s">
        <v>6</v>
      </c>
      <c r="C132" s="33" t="s">
        <v>164</v>
      </c>
      <c r="D132" s="22" t="s">
        <v>165</v>
      </c>
      <c r="E132" s="22"/>
      <c r="F132" s="22"/>
      <c r="G132" s="84"/>
      <c r="H132" s="22" t="s">
        <v>410</v>
      </c>
      <c r="I132" s="22"/>
      <c r="J132" s="25"/>
      <c r="K132" s="22"/>
      <c r="L132" s="85"/>
      <c r="M132" s="85"/>
      <c r="N132" s="85"/>
      <c r="O132" s="85"/>
      <c r="P132" s="85"/>
      <c r="Q132" s="23"/>
      <c r="R132" s="23"/>
      <c r="T132" s="14"/>
      <c r="U132" s="14"/>
      <c r="V132" s="14"/>
      <c r="W132" s="14"/>
      <c r="X132" s="14"/>
      <c r="Y132" s="14"/>
    </row>
    <row r="133" spans="1:25" ht="24.95" customHeight="1">
      <c r="B133" s="20" t="s">
        <v>6</v>
      </c>
      <c r="C133" s="76" t="s">
        <v>166</v>
      </c>
      <c r="D133" s="77" t="s">
        <v>167</v>
      </c>
      <c r="E133" s="77" t="s">
        <v>418</v>
      </c>
      <c r="F133" s="77" t="s">
        <v>47</v>
      </c>
      <c r="G133" s="78">
        <v>44470</v>
      </c>
      <c r="H133" s="77" t="s">
        <v>410</v>
      </c>
      <c r="I133" s="77"/>
      <c r="J133" s="79"/>
      <c r="K133" s="77"/>
      <c r="L133" s="80">
        <v>0.05</v>
      </c>
      <c r="M133" s="80"/>
      <c r="N133" s="80"/>
      <c r="O133" s="80"/>
      <c r="P133" s="80"/>
      <c r="Q133" s="80">
        <v>0.05</v>
      </c>
      <c r="R133" s="80" t="s">
        <v>416</v>
      </c>
      <c r="S133" s="96" t="s">
        <v>417</v>
      </c>
      <c r="T133" s="14"/>
      <c r="U133" s="14"/>
      <c r="V133" s="14"/>
      <c r="W133" s="14"/>
      <c r="X133" s="14"/>
      <c r="Y133" s="14"/>
    </row>
    <row r="134" spans="1:25" ht="24.95" customHeight="1">
      <c r="B134" s="28" t="s">
        <v>6</v>
      </c>
      <c r="C134" s="33" t="s">
        <v>168</v>
      </c>
      <c r="D134" s="22" t="s">
        <v>169</v>
      </c>
      <c r="E134" s="22" t="s">
        <v>312</v>
      </c>
      <c r="F134" s="22">
        <v>53624</v>
      </c>
      <c r="G134" s="84">
        <v>3</v>
      </c>
      <c r="H134" s="22" t="s">
        <v>410</v>
      </c>
      <c r="I134" s="22"/>
      <c r="J134" s="25"/>
      <c r="K134" s="22"/>
      <c r="L134" s="23" t="s">
        <v>762</v>
      </c>
      <c r="M134" s="23"/>
      <c r="N134" s="23"/>
      <c r="O134" s="23"/>
      <c r="P134" s="115" t="s">
        <v>187</v>
      </c>
      <c r="Q134" s="23">
        <v>1</v>
      </c>
      <c r="R134" s="23" t="s">
        <v>168</v>
      </c>
      <c r="T134" s="14"/>
      <c r="U134" s="14"/>
      <c r="V134" s="14"/>
      <c r="W134" s="14"/>
      <c r="X134" s="14"/>
      <c r="Y134" s="14"/>
    </row>
    <row r="135" spans="1:25" ht="24.95" customHeight="1">
      <c r="B135" s="20" t="s">
        <v>6</v>
      </c>
      <c r="C135" s="33" t="s">
        <v>170</v>
      </c>
      <c r="D135" s="22" t="s">
        <v>171</v>
      </c>
      <c r="E135" s="22"/>
      <c r="F135" s="22"/>
      <c r="G135" s="84"/>
      <c r="H135" s="22" t="s">
        <v>410</v>
      </c>
      <c r="I135" s="22"/>
      <c r="J135" s="25"/>
      <c r="K135" s="22"/>
      <c r="L135" s="23" t="s">
        <v>1097</v>
      </c>
      <c r="M135" s="23"/>
      <c r="N135" s="23"/>
      <c r="O135" s="23"/>
      <c r="P135" s="122" t="s">
        <v>187</v>
      </c>
      <c r="Q135" s="23"/>
      <c r="R135" s="23"/>
      <c r="T135" s="14"/>
      <c r="U135" s="14"/>
      <c r="V135" s="14"/>
      <c r="W135" s="14"/>
      <c r="X135" s="14"/>
      <c r="Y135" s="14"/>
    </row>
    <row r="136" spans="1:25" ht="24.95" customHeight="1">
      <c r="B136" s="112" t="s">
        <v>49</v>
      </c>
      <c r="C136" s="109" t="s">
        <v>172</v>
      </c>
      <c r="D136" s="22" t="s">
        <v>173</v>
      </c>
      <c r="E136" s="22"/>
      <c r="F136" s="22"/>
      <c r="G136" s="22"/>
      <c r="H136" s="22" t="s">
        <v>419</v>
      </c>
      <c r="I136" s="22"/>
      <c r="J136" s="25"/>
      <c r="K136" s="22"/>
      <c r="L136" s="23"/>
      <c r="M136" s="23"/>
      <c r="N136" s="23"/>
      <c r="O136" s="23"/>
      <c r="P136" s="23"/>
      <c r="Q136" s="23"/>
      <c r="R136" s="23"/>
      <c r="S136" s="53" t="s">
        <v>420</v>
      </c>
      <c r="T136" s="14"/>
      <c r="U136" s="14"/>
      <c r="V136" s="14"/>
      <c r="W136" s="14"/>
      <c r="X136" s="14"/>
      <c r="Y136" s="14"/>
    </row>
    <row r="137" spans="1:25" ht="24.95" customHeight="1">
      <c r="A137" s="113"/>
      <c r="B137" s="20" t="s">
        <v>6</v>
      </c>
      <c r="C137" s="245" t="s">
        <v>174</v>
      </c>
      <c r="D137" s="22" t="s">
        <v>179</v>
      </c>
      <c r="E137" s="22"/>
      <c r="F137" s="22"/>
      <c r="G137" s="22"/>
      <c r="H137" s="22" t="s">
        <v>276</v>
      </c>
      <c r="I137" s="22"/>
      <c r="J137" s="25"/>
      <c r="K137" s="22" t="s">
        <v>180</v>
      </c>
      <c r="L137" s="23">
        <v>0</v>
      </c>
      <c r="M137" s="23"/>
      <c r="N137" s="23"/>
      <c r="O137" s="23"/>
      <c r="P137" s="23"/>
      <c r="Q137" s="23"/>
      <c r="R137" s="23"/>
      <c r="T137" s="14"/>
      <c r="U137" s="14"/>
      <c r="V137" s="14"/>
      <c r="W137" s="14"/>
      <c r="X137" s="14"/>
      <c r="Y137" s="14"/>
    </row>
    <row r="138" spans="1:25" ht="24.95" customHeight="1">
      <c r="B138" s="20" t="s">
        <v>6</v>
      </c>
      <c r="C138" s="249"/>
      <c r="D138" s="22" t="s">
        <v>175</v>
      </c>
      <c r="E138" s="22"/>
      <c r="F138" s="22"/>
      <c r="G138" s="22"/>
      <c r="H138" s="22" t="s">
        <v>421</v>
      </c>
      <c r="I138" s="22"/>
      <c r="J138" s="25"/>
      <c r="K138" s="22" t="s">
        <v>176</v>
      </c>
      <c r="L138" s="23">
        <v>0</v>
      </c>
      <c r="M138" s="23"/>
      <c r="N138" s="23"/>
      <c r="O138" s="23"/>
      <c r="P138" s="23"/>
      <c r="Q138" s="23"/>
      <c r="R138" s="23"/>
      <c r="T138" s="14"/>
      <c r="U138" s="14"/>
      <c r="V138" s="14"/>
      <c r="W138" s="14"/>
      <c r="X138" s="14"/>
      <c r="Y138" s="14"/>
    </row>
    <row r="139" spans="1:25" ht="24.95" customHeight="1">
      <c r="B139" s="20" t="s">
        <v>990</v>
      </c>
      <c r="C139" s="249"/>
      <c r="D139" s="22" t="s">
        <v>177</v>
      </c>
      <c r="E139" s="22" t="s">
        <v>991</v>
      </c>
      <c r="F139" s="22">
        <v>50187</v>
      </c>
      <c r="G139" s="22"/>
      <c r="H139" s="22" t="s">
        <v>422</v>
      </c>
      <c r="I139" s="22"/>
      <c r="J139" s="25"/>
      <c r="K139" s="22" t="s">
        <v>178</v>
      </c>
      <c r="L139" s="23" t="s">
        <v>992</v>
      </c>
      <c r="M139" s="23"/>
      <c r="N139" s="23"/>
      <c r="O139" s="23"/>
      <c r="P139" s="23" t="s">
        <v>993</v>
      </c>
      <c r="Q139" s="23"/>
      <c r="R139" s="23"/>
      <c r="T139" s="14"/>
      <c r="U139" s="14"/>
      <c r="V139" s="14"/>
      <c r="W139" s="14"/>
      <c r="X139" s="14"/>
      <c r="Y139" s="14"/>
    </row>
    <row r="140" spans="1:25" ht="24.95" customHeight="1">
      <c r="B140" s="20" t="s">
        <v>6</v>
      </c>
      <c r="C140" s="249"/>
      <c r="D140" s="22" t="s">
        <v>994</v>
      </c>
      <c r="E140" s="22" t="s">
        <v>995</v>
      </c>
      <c r="F140" s="22">
        <v>55360</v>
      </c>
      <c r="G140" s="22"/>
      <c r="H140" s="22" t="s">
        <v>422</v>
      </c>
      <c r="I140" s="22"/>
      <c r="J140" s="25"/>
      <c r="K140" s="22" t="s">
        <v>996</v>
      </c>
      <c r="L140" s="23" t="s">
        <v>997</v>
      </c>
      <c r="M140" s="23"/>
      <c r="N140" s="23"/>
      <c r="O140" s="23"/>
      <c r="P140" s="23" t="s">
        <v>998</v>
      </c>
      <c r="Q140" s="23"/>
      <c r="R140" s="23"/>
      <c r="T140" s="14"/>
      <c r="U140" s="14"/>
      <c r="V140" s="14"/>
      <c r="W140" s="14"/>
      <c r="X140" s="14"/>
      <c r="Y140" s="14"/>
    </row>
    <row r="141" spans="1:25" ht="24.95" customHeight="1">
      <c r="A141" s="113" t="s">
        <v>972</v>
      </c>
      <c r="B141" s="20" t="s">
        <v>990</v>
      </c>
      <c r="C141" s="249"/>
      <c r="D141" s="22" t="s">
        <v>999</v>
      </c>
      <c r="E141" s="22" t="s">
        <v>1000</v>
      </c>
      <c r="F141" s="22"/>
      <c r="G141" s="22"/>
      <c r="H141" s="22" t="s">
        <v>422</v>
      </c>
      <c r="I141" s="22" t="s">
        <v>1001</v>
      </c>
      <c r="J141" s="25" t="s">
        <v>47</v>
      </c>
      <c r="K141" s="22" t="s">
        <v>1002</v>
      </c>
      <c r="L141" s="23"/>
      <c r="M141" s="23"/>
      <c r="N141" s="23"/>
      <c r="O141" s="23"/>
      <c r="P141" s="23"/>
      <c r="Q141" s="23"/>
      <c r="R141" s="23"/>
      <c r="T141" s="14"/>
      <c r="U141" s="14"/>
      <c r="V141" s="14"/>
      <c r="W141" s="14"/>
      <c r="X141" s="14"/>
      <c r="Y141" s="14"/>
    </row>
    <row r="142" spans="1:25" ht="24.95" customHeight="1">
      <c r="A142" s="1" t="s">
        <v>972</v>
      </c>
      <c r="B142" s="20" t="s">
        <v>990</v>
      </c>
      <c r="C142" s="249"/>
      <c r="D142" s="22" t="s">
        <v>1003</v>
      </c>
      <c r="E142" s="22" t="s">
        <v>974</v>
      </c>
      <c r="F142" s="22"/>
      <c r="G142" s="22"/>
      <c r="H142" s="22" t="s">
        <v>422</v>
      </c>
      <c r="I142" s="22" t="s">
        <v>1004</v>
      </c>
      <c r="J142" s="25" t="s">
        <v>47</v>
      </c>
      <c r="K142" s="22" t="s">
        <v>1005</v>
      </c>
      <c r="L142" s="23"/>
      <c r="M142" s="23"/>
      <c r="N142" s="23"/>
      <c r="O142" s="23"/>
      <c r="P142" s="23"/>
      <c r="Q142" s="23"/>
      <c r="R142" s="23"/>
      <c r="T142" s="14"/>
      <c r="U142" s="14"/>
      <c r="V142" s="14"/>
      <c r="W142" s="14"/>
      <c r="X142" s="14"/>
      <c r="Y142" s="14"/>
    </row>
    <row r="143" spans="1:25" ht="24.95" customHeight="1">
      <c r="A143" s="1" t="s">
        <v>972</v>
      </c>
      <c r="B143" s="20" t="s">
        <v>990</v>
      </c>
      <c r="C143" s="249"/>
      <c r="D143" s="22" t="s">
        <v>1006</v>
      </c>
      <c r="E143" s="22" t="s">
        <v>1007</v>
      </c>
      <c r="F143" s="22"/>
      <c r="G143" s="22"/>
      <c r="H143" s="22" t="s">
        <v>422</v>
      </c>
      <c r="I143" s="22" t="s">
        <v>1008</v>
      </c>
      <c r="J143" s="25" t="s">
        <v>47</v>
      </c>
      <c r="K143" s="22" t="s">
        <v>1009</v>
      </c>
      <c r="L143" s="23"/>
      <c r="M143" s="23"/>
      <c r="N143" s="23"/>
      <c r="O143" s="23"/>
      <c r="P143" s="23"/>
      <c r="Q143" s="23"/>
      <c r="R143" s="23"/>
      <c r="T143" s="14"/>
      <c r="U143" s="14"/>
      <c r="V143" s="14"/>
      <c r="W143" s="14"/>
      <c r="X143" s="14"/>
      <c r="Y143" s="14"/>
    </row>
    <row r="144" spans="1:25" ht="24.95" customHeight="1">
      <c r="A144" s="1" t="s">
        <v>972</v>
      </c>
      <c r="B144" s="20" t="s">
        <v>990</v>
      </c>
      <c r="C144" s="246"/>
      <c r="D144" s="22" t="s">
        <v>1010</v>
      </c>
      <c r="E144" s="22" t="s">
        <v>1011</v>
      </c>
      <c r="F144" s="22"/>
      <c r="G144" s="22"/>
      <c r="H144" s="22" t="s">
        <v>422</v>
      </c>
      <c r="I144" s="22" t="s">
        <v>1012</v>
      </c>
      <c r="J144" s="25" t="s">
        <v>47</v>
      </c>
      <c r="K144" s="22" t="s">
        <v>1013</v>
      </c>
      <c r="L144" s="23"/>
      <c r="M144" s="23"/>
      <c r="N144" s="23"/>
      <c r="O144" s="23"/>
      <c r="P144" s="23"/>
      <c r="Q144" s="23"/>
      <c r="R144" s="23"/>
      <c r="T144" s="14"/>
      <c r="U144" s="14"/>
      <c r="V144" s="14"/>
      <c r="W144" s="14"/>
      <c r="X144" s="14"/>
      <c r="Y144" s="14"/>
    </row>
    <row r="145" spans="1:25" ht="24.95" customHeight="1">
      <c r="B145" s="20" t="s">
        <v>6</v>
      </c>
      <c r="C145" s="109" t="s">
        <v>1061</v>
      </c>
      <c r="D145" s="22" t="s">
        <v>181</v>
      </c>
      <c r="E145" s="22" t="s">
        <v>1096</v>
      </c>
      <c r="F145" s="22"/>
      <c r="G145" s="22"/>
      <c r="H145" s="22" t="s">
        <v>422</v>
      </c>
      <c r="I145" s="22"/>
      <c r="J145" s="25"/>
      <c r="K145" s="22"/>
      <c r="L145" s="23"/>
      <c r="M145" s="23"/>
      <c r="N145" s="23"/>
      <c r="O145" s="23"/>
      <c r="P145" s="23"/>
      <c r="Q145" s="23"/>
      <c r="R145" s="23"/>
      <c r="T145" s="14"/>
      <c r="U145" s="14"/>
      <c r="V145" s="14"/>
      <c r="W145" s="14"/>
      <c r="X145" s="14"/>
      <c r="Y145" s="14"/>
    </row>
    <row r="146" spans="1:25" ht="24.95" customHeight="1">
      <c r="B146" s="112" t="s">
        <v>49</v>
      </c>
      <c r="C146" s="109" t="s">
        <v>182</v>
      </c>
      <c r="D146" s="22" t="s">
        <v>1062</v>
      </c>
      <c r="E146" s="22"/>
      <c r="F146" s="22"/>
      <c r="G146" s="22"/>
      <c r="H146" s="22" t="s">
        <v>421</v>
      </c>
      <c r="I146" s="22"/>
      <c r="J146" s="25"/>
      <c r="K146" s="22"/>
      <c r="L146" s="23"/>
      <c r="M146" s="23"/>
      <c r="N146" s="23"/>
      <c r="O146" s="23"/>
      <c r="P146" s="23"/>
      <c r="Q146" s="23"/>
      <c r="R146" s="23"/>
      <c r="T146" s="14"/>
      <c r="U146" s="14"/>
      <c r="V146" s="14"/>
      <c r="W146" s="14"/>
      <c r="X146" s="14"/>
      <c r="Y146" s="14"/>
    </row>
    <row r="147" spans="1:25" s="18" customFormat="1" ht="24.95" customHeight="1">
      <c r="B147" s="20" t="s">
        <v>6</v>
      </c>
      <c r="C147" s="34" t="s">
        <v>183</v>
      </c>
      <c r="D147" s="29" t="s">
        <v>184</v>
      </c>
      <c r="E147" s="29" t="s">
        <v>423</v>
      </c>
      <c r="F147" s="29">
        <v>55134</v>
      </c>
      <c r="G147" s="84">
        <v>8</v>
      </c>
      <c r="H147" s="29" t="s">
        <v>424</v>
      </c>
      <c r="I147" s="29" t="s">
        <v>47</v>
      </c>
      <c r="J147" s="29" t="s">
        <v>47</v>
      </c>
      <c r="K147" s="29"/>
      <c r="L147" s="31" t="s">
        <v>763</v>
      </c>
      <c r="M147" s="31"/>
      <c r="N147" s="31"/>
      <c r="O147" s="31"/>
      <c r="P147" s="95" t="s">
        <v>187</v>
      </c>
      <c r="Q147" s="32">
        <v>1.03</v>
      </c>
      <c r="R147" s="43" t="s">
        <v>183</v>
      </c>
      <c r="S147" s="19"/>
      <c r="T147" s="19"/>
      <c r="U147" s="19"/>
      <c r="V147" s="19"/>
      <c r="W147" s="19"/>
      <c r="X147" s="19"/>
      <c r="Y147" s="19"/>
    </row>
    <row r="148" spans="1:25" ht="24.95" customHeight="1">
      <c r="B148" s="70" t="s">
        <v>10</v>
      </c>
      <c r="C148" s="225" t="s">
        <v>185</v>
      </c>
      <c r="D148" s="22" t="s">
        <v>186</v>
      </c>
      <c r="E148" s="22" t="s">
        <v>423</v>
      </c>
      <c r="F148" s="22">
        <v>55511</v>
      </c>
      <c r="G148" s="84">
        <v>7</v>
      </c>
      <c r="H148" s="25" t="s">
        <v>271</v>
      </c>
      <c r="I148" s="22" t="s">
        <v>425</v>
      </c>
      <c r="J148" s="25" t="s">
        <v>47</v>
      </c>
      <c r="K148" s="22" t="s">
        <v>187</v>
      </c>
      <c r="L148" s="23" t="s">
        <v>764</v>
      </c>
      <c r="M148" s="23"/>
      <c r="N148" s="23"/>
      <c r="O148" s="23"/>
      <c r="P148" s="85" t="s">
        <v>187</v>
      </c>
      <c r="Q148" s="24">
        <v>1.02</v>
      </c>
      <c r="R148" s="250" t="s">
        <v>185</v>
      </c>
      <c r="T148" s="14"/>
      <c r="U148" s="14"/>
      <c r="V148" s="14"/>
      <c r="W148" s="14"/>
      <c r="X148" s="14"/>
      <c r="Y148" s="14"/>
    </row>
    <row r="149" spans="1:25" ht="24.95" customHeight="1">
      <c r="B149" s="70" t="s">
        <v>10</v>
      </c>
      <c r="C149" s="226"/>
      <c r="D149" s="22" t="s">
        <v>188</v>
      </c>
      <c r="E149" s="22" t="s">
        <v>264</v>
      </c>
      <c r="F149" s="22">
        <v>55511</v>
      </c>
      <c r="G149" s="84">
        <v>7</v>
      </c>
      <c r="H149" s="22" t="s">
        <v>276</v>
      </c>
      <c r="I149" s="22" t="s">
        <v>47</v>
      </c>
      <c r="J149" s="27" t="s">
        <v>47</v>
      </c>
      <c r="K149" s="22" t="s">
        <v>189</v>
      </c>
      <c r="L149" s="23" t="s">
        <v>765</v>
      </c>
      <c r="M149" s="23"/>
      <c r="N149" s="23"/>
      <c r="O149" s="23"/>
      <c r="P149" s="85" t="s">
        <v>189</v>
      </c>
      <c r="Q149" s="24">
        <v>2.1</v>
      </c>
      <c r="R149" s="243"/>
      <c r="T149" s="14"/>
      <c r="U149" s="14"/>
      <c r="V149" s="14"/>
      <c r="W149" s="14"/>
      <c r="X149" s="14"/>
      <c r="Y149" s="14"/>
    </row>
    <row r="150" spans="1:25" ht="24.95" customHeight="1">
      <c r="B150" s="70" t="s">
        <v>10</v>
      </c>
      <c r="C150" s="226"/>
      <c r="D150" s="22" t="s">
        <v>190</v>
      </c>
      <c r="E150" s="22" t="s">
        <v>426</v>
      </c>
      <c r="F150" s="22">
        <v>55511</v>
      </c>
      <c r="G150" s="84">
        <v>2</v>
      </c>
      <c r="H150" s="22" t="s">
        <v>276</v>
      </c>
      <c r="I150" s="22" t="s">
        <v>47</v>
      </c>
      <c r="J150" s="27" t="s">
        <v>47</v>
      </c>
      <c r="K150" s="36" t="s">
        <v>191</v>
      </c>
      <c r="L150" s="37" t="s">
        <v>766</v>
      </c>
      <c r="M150" s="23" t="s">
        <v>767</v>
      </c>
      <c r="N150" s="23"/>
      <c r="O150" s="23"/>
      <c r="P150" s="23"/>
      <c r="Q150" s="24"/>
      <c r="R150" s="243"/>
      <c r="T150" s="14"/>
      <c r="U150" s="14"/>
      <c r="V150" s="14"/>
      <c r="W150" s="14"/>
      <c r="X150" s="14"/>
      <c r="Y150" s="14"/>
    </row>
    <row r="151" spans="1:25" ht="24.95" customHeight="1">
      <c r="B151" s="70" t="s">
        <v>6</v>
      </c>
      <c r="C151" s="226"/>
      <c r="D151" s="22" t="s">
        <v>192</v>
      </c>
      <c r="E151" s="29" t="s">
        <v>427</v>
      </c>
      <c r="F151" s="29">
        <v>55581</v>
      </c>
      <c r="G151" s="84">
        <v>7</v>
      </c>
      <c r="H151" s="29" t="s">
        <v>276</v>
      </c>
      <c r="I151" s="29" t="s">
        <v>47</v>
      </c>
      <c r="J151" s="30" t="s">
        <v>47</v>
      </c>
      <c r="K151" s="29" t="s">
        <v>193</v>
      </c>
      <c r="L151" s="31" t="s">
        <v>768</v>
      </c>
      <c r="M151" s="31"/>
      <c r="N151" s="31"/>
      <c r="O151" s="31"/>
      <c r="P151" s="95" t="s">
        <v>193</v>
      </c>
      <c r="Q151" s="32">
        <v>3.04</v>
      </c>
      <c r="R151" s="244"/>
      <c r="T151" s="15"/>
      <c r="U151" s="14"/>
      <c r="V151" s="14"/>
      <c r="W151" s="14"/>
      <c r="X151" s="14"/>
      <c r="Y151" s="14"/>
    </row>
    <row r="152" spans="1:25" ht="24.95" customHeight="1">
      <c r="B152" s="70" t="s">
        <v>10</v>
      </c>
      <c r="C152" s="226"/>
      <c r="D152" s="22" t="s">
        <v>194</v>
      </c>
      <c r="E152" s="29" t="s">
        <v>428</v>
      </c>
      <c r="F152" s="29">
        <v>50466</v>
      </c>
      <c r="G152" s="84">
        <v>1</v>
      </c>
      <c r="H152" s="29" t="s">
        <v>276</v>
      </c>
      <c r="I152" s="29"/>
      <c r="J152" s="30"/>
      <c r="K152" s="29" t="s">
        <v>195</v>
      </c>
      <c r="L152" s="37" t="s">
        <v>769</v>
      </c>
      <c r="M152" s="23" t="s">
        <v>767</v>
      </c>
      <c r="N152" s="31"/>
      <c r="O152" s="31"/>
      <c r="P152" s="31"/>
      <c r="Q152" s="32"/>
      <c r="R152" s="55"/>
      <c r="T152" s="97" t="s">
        <v>429</v>
      </c>
      <c r="U152" s="14"/>
      <c r="V152" s="14"/>
      <c r="W152" s="14"/>
      <c r="X152" s="14"/>
      <c r="Y152" s="14"/>
    </row>
    <row r="153" spans="1:25" ht="24.95" customHeight="1">
      <c r="B153" s="70" t="s">
        <v>90</v>
      </c>
      <c r="C153" s="227"/>
      <c r="D153" s="22" t="s">
        <v>196</v>
      </c>
      <c r="E153" s="22" t="s">
        <v>430</v>
      </c>
      <c r="F153" s="22">
        <v>47519</v>
      </c>
      <c r="G153" s="84">
        <v>1</v>
      </c>
      <c r="H153" s="22" t="s">
        <v>276</v>
      </c>
      <c r="I153" s="22" t="s">
        <v>47</v>
      </c>
      <c r="J153" s="22" t="s">
        <v>47</v>
      </c>
      <c r="K153" s="22" t="s">
        <v>139</v>
      </c>
      <c r="L153" s="23" t="s">
        <v>769</v>
      </c>
      <c r="M153" s="23"/>
      <c r="N153" s="23"/>
      <c r="O153" s="23"/>
      <c r="P153" s="23"/>
      <c r="Q153" s="24"/>
      <c r="R153" s="42"/>
      <c r="S153" s="15"/>
      <c r="T153" s="98" t="s">
        <v>431</v>
      </c>
      <c r="U153" s="14"/>
      <c r="V153" s="15"/>
      <c r="W153" s="14"/>
      <c r="X153" s="14"/>
      <c r="Y153" s="14"/>
    </row>
    <row r="154" spans="1:25" ht="24.95" customHeight="1">
      <c r="B154" s="20" t="s">
        <v>6</v>
      </c>
      <c r="C154" s="33" t="s">
        <v>197</v>
      </c>
      <c r="D154" s="22" t="s">
        <v>198</v>
      </c>
      <c r="E154" s="22" t="s">
        <v>268</v>
      </c>
      <c r="F154" s="22">
        <v>60238</v>
      </c>
      <c r="G154" s="84">
        <v>11</v>
      </c>
      <c r="H154" s="22" t="s">
        <v>432</v>
      </c>
      <c r="I154" s="22" t="s">
        <v>47</v>
      </c>
      <c r="J154" s="22" t="s">
        <v>47</v>
      </c>
      <c r="K154" s="22"/>
      <c r="L154" s="114" t="s">
        <v>1014</v>
      </c>
      <c r="M154" s="23" t="s">
        <v>770</v>
      </c>
      <c r="N154" s="23"/>
      <c r="O154" s="23"/>
      <c r="P154" s="85" t="s">
        <v>187</v>
      </c>
      <c r="Q154" s="24"/>
      <c r="R154" s="42" t="s">
        <v>199</v>
      </c>
      <c r="T154" s="14"/>
      <c r="U154" s="14"/>
      <c r="V154" s="14"/>
      <c r="W154" s="14"/>
      <c r="X154" s="14"/>
      <c r="Y154" s="14"/>
    </row>
    <row r="155" spans="1:25" ht="24.95" customHeight="1">
      <c r="A155" s="4" t="s">
        <v>1063</v>
      </c>
      <c r="B155" s="20" t="s">
        <v>6</v>
      </c>
      <c r="C155" s="33" t="s">
        <v>199</v>
      </c>
      <c r="D155" s="22" t="s">
        <v>200</v>
      </c>
      <c r="E155" s="22" t="s">
        <v>433</v>
      </c>
      <c r="F155" s="22">
        <v>62516</v>
      </c>
      <c r="G155" s="84">
        <v>11</v>
      </c>
      <c r="H155" s="22" t="s">
        <v>432</v>
      </c>
      <c r="I155" s="22" t="s">
        <v>1064</v>
      </c>
      <c r="J155" s="22" t="s">
        <v>47</v>
      </c>
      <c r="K155" s="22" t="s">
        <v>201</v>
      </c>
      <c r="L155" s="23" t="s">
        <v>1015</v>
      </c>
      <c r="M155" s="23"/>
      <c r="N155" s="23"/>
      <c r="O155" s="23"/>
      <c r="P155" s="115" t="s">
        <v>1016</v>
      </c>
      <c r="Q155" s="24"/>
      <c r="R155" s="42"/>
      <c r="T155" s="14"/>
      <c r="U155" s="14"/>
      <c r="V155" s="14"/>
      <c r="W155" s="14"/>
      <c r="X155" s="14"/>
      <c r="Y155" s="14"/>
    </row>
    <row r="156" spans="1:25" ht="24.95" customHeight="1">
      <c r="B156" s="20" t="s">
        <v>6</v>
      </c>
      <c r="C156" s="245" t="s">
        <v>202</v>
      </c>
      <c r="D156" s="26" t="s">
        <v>203</v>
      </c>
      <c r="E156" s="26" t="s">
        <v>298</v>
      </c>
      <c r="F156" s="26">
        <v>55511</v>
      </c>
      <c r="G156" s="84">
        <v>3</v>
      </c>
      <c r="H156" s="22" t="s">
        <v>276</v>
      </c>
      <c r="I156" s="22"/>
      <c r="J156" s="22"/>
      <c r="K156" s="22"/>
      <c r="L156" s="23" t="s">
        <v>771</v>
      </c>
      <c r="M156" s="23"/>
      <c r="N156" s="23"/>
      <c r="O156" s="23"/>
      <c r="P156" s="85" t="s">
        <v>187</v>
      </c>
      <c r="Q156" s="24">
        <v>1.01</v>
      </c>
      <c r="R156" s="250" t="s">
        <v>202</v>
      </c>
      <c r="S156" s="14" t="s">
        <v>434</v>
      </c>
      <c r="T156" s="14" t="s">
        <v>435</v>
      </c>
      <c r="U156" s="14"/>
      <c r="V156" s="14"/>
      <c r="W156" s="14"/>
      <c r="X156" s="14"/>
      <c r="Y156" s="14"/>
    </row>
    <row r="157" spans="1:25" ht="24.95" customHeight="1">
      <c r="B157" s="28" t="s">
        <v>6</v>
      </c>
      <c r="C157" s="246"/>
      <c r="D157" s="39" t="s">
        <v>204</v>
      </c>
      <c r="E157" s="39" t="s">
        <v>437</v>
      </c>
      <c r="F157" s="39">
        <v>55535</v>
      </c>
      <c r="G157" s="84">
        <v>6</v>
      </c>
      <c r="H157" s="29" t="s">
        <v>276</v>
      </c>
      <c r="I157" s="29"/>
      <c r="J157" s="29"/>
      <c r="K157" s="29" t="s">
        <v>141</v>
      </c>
      <c r="L157" s="31" t="s">
        <v>772</v>
      </c>
      <c r="M157" s="31" t="s">
        <v>773</v>
      </c>
      <c r="N157" s="31"/>
      <c r="O157" s="31"/>
      <c r="P157" s="31" t="s">
        <v>436</v>
      </c>
      <c r="Q157" s="32">
        <v>2.0099999999999998</v>
      </c>
      <c r="R157" s="244"/>
      <c r="S157" s="19"/>
      <c r="T157" s="19"/>
      <c r="U157" s="19"/>
      <c r="V157" s="19"/>
      <c r="W157" s="19"/>
      <c r="X157" s="19"/>
      <c r="Y157" s="19"/>
    </row>
    <row r="158" spans="1:25" ht="24.95" customHeight="1">
      <c r="B158" s="20" t="s">
        <v>6</v>
      </c>
      <c r="C158" s="245" t="s">
        <v>205</v>
      </c>
      <c r="D158" s="22" t="s">
        <v>206</v>
      </c>
      <c r="E158" s="22" t="s">
        <v>440</v>
      </c>
      <c r="F158" s="22">
        <v>55511</v>
      </c>
      <c r="G158" s="84">
        <v>3</v>
      </c>
      <c r="H158" s="22" t="s">
        <v>276</v>
      </c>
      <c r="I158" s="22" t="s">
        <v>47</v>
      </c>
      <c r="J158" s="22" t="s">
        <v>47</v>
      </c>
      <c r="K158" s="22" t="s">
        <v>207</v>
      </c>
      <c r="L158" s="23" t="s">
        <v>774</v>
      </c>
      <c r="M158" s="24"/>
      <c r="N158" s="23"/>
      <c r="O158" s="23"/>
      <c r="P158" s="23" t="s">
        <v>438</v>
      </c>
      <c r="Q158" s="24">
        <v>3.1</v>
      </c>
      <c r="R158" s="247" t="s">
        <v>439</v>
      </c>
      <c r="T158" s="14"/>
      <c r="U158" s="14"/>
      <c r="V158" s="14"/>
      <c r="W158" s="14"/>
      <c r="X158" s="14"/>
      <c r="Y158" s="14"/>
    </row>
    <row r="159" spans="1:25" ht="24.95" customHeight="1">
      <c r="B159" s="20" t="s">
        <v>6</v>
      </c>
      <c r="C159" s="246"/>
      <c r="D159" s="22" t="s">
        <v>208</v>
      </c>
      <c r="E159" s="22" t="s">
        <v>441</v>
      </c>
      <c r="F159" s="22">
        <v>55511</v>
      </c>
      <c r="G159" s="84">
        <v>1</v>
      </c>
      <c r="H159" s="22" t="s">
        <v>276</v>
      </c>
      <c r="I159" s="22" t="s">
        <v>47</v>
      </c>
      <c r="J159" s="22" t="s">
        <v>47</v>
      </c>
      <c r="K159" s="22" t="s">
        <v>141</v>
      </c>
      <c r="L159" s="23"/>
      <c r="M159" s="24" t="s">
        <v>775</v>
      </c>
      <c r="N159" s="23"/>
      <c r="O159" s="23"/>
      <c r="P159" s="85" t="s">
        <v>395</v>
      </c>
      <c r="Q159" s="24">
        <v>5</v>
      </c>
      <c r="R159" s="239"/>
      <c r="T159" s="14"/>
      <c r="U159" s="14"/>
      <c r="V159" s="14"/>
      <c r="W159" s="14"/>
      <c r="X159" s="14"/>
      <c r="Y159" s="14"/>
    </row>
    <row r="160" spans="1:25" ht="24.95" customHeight="1">
      <c r="B160" s="20" t="s">
        <v>10</v>
      </c>
      <c r="C160" s="33" t="s">
        <v>209</v>
      </c>
      <c r="D160" s="22" t="s">
        <v>210</v>
      </c>
      <c r="E160" s="22" t="s">
        <v>442</v>
      </c>
      <c r="F160" s="22">
        <v>55511</v>
      </c>
      <c r="G160" s="84">
        <v>15</v>
      </c>
      <c r="H160" s="22" t="s">
        <v>271</v>
      </c>
      <c r="I160" s="22" t="s">
        <v>443</v>
      </c>
      <c r="J160" s="22" t="s">
        <v>444</v>
      </c>
      <c r="K160" s="22"/>
      <c r="L160" s="23" t="s">
        <v>776</v>
      </c>
      <c r="M160" s="23" t="s">
        <v>777</v>
      </c>
      <c r="N160" s="23" t="s">
        <v>778</v>
      </c>
      <c r="O160" s="23"/>
      <c r="P160" s="85" t="s">
        <v>187</v>
      </c>
      <c r="Q160" s="24">
        <v>1.36</v>
      </c>
      <c r="R160" s="239"/>
      <c r="T160" s="14"/>
      <c r="U160" s="14"/>
      <c r="V160" s="14"/>
      <c r="W160" s="14"/>
      <c r="X160" s="14"/>
      <c r="Y160" s="14"/>
    </row>
    <row r="161" spans="1:25" ht="24.95" customHeight="1">
      <c r="B161" s="20" t="s">
        <v>10</v>
      </c>
      <c r="C161" s="245" t="s">
        <v>211</v>
      </c>
      <c r="D161" s="26" t="s">
        <v>212</v>
      </c>
      <c r="E161" s="26" t="s">
        <v>275</v>
      </c>
      <c r="F161" s="26">
        <v>55511</v>
      </c>
      <c r="G161" s="84">
        <v>1</v>
      </c>
      <c r="H161" s="22" t="s">
        <v>271</v>
      </c>
      <c r="I161" s="22" t="s">
        <v>446</v>
      </c>
      <c r="J161" s="22" t="s">
        <v>447</v>
      </c>
      <c r="K161" s="22" t="s">
        <v>213</v>
      </c>
      <c r="L161" s="23" t="s">
        <v>779</v>
      </c>
      <c r="M161" s="23"/>
      <c r="N161" s="23"/>
      <c r="O161" s="23"/>
      <c r="P161" s="23" t="s">
        <v>445</v>
      </c>
      <c r="Q161" s="24"/>
      <c r="R161" s="239"/>
      <c r="T161" s="14"/>
      <c r="U161" s="14"/>
      <c r="V161" s="14"/>
      <c r="W161" s="14"/>
      <c r="X161" s="14"/>
      <c r="Y161" s="14"/>
    </row>
    <row r="162" spans="1:25" ht="24.95" customHeight="1">
      <c r="B162" s="20" t="s">
        <v>10</v>
      </c>
      <c r="C162" s="246"/>
      <c r="D162" s="26" t="s">
        <v>214</v>
      </c>
      <c r="E162" s="26" t="s">
        <v>448</v>
      </c>
      <c r="F162" s="26">
        <v>55511</v>
      </c>
      <c r="G162" s="84">
        <v>1</v>
      </c>
      <c r="H162" s="22" t="s">
        <v>276</v>
      </c>
      <c r="I162" s="22" t="s">
        <v>449</v>
      </c>
      <c r="J162" s="22" t="s">
        <v>450</v>
      </c>
      <c r="K162" s="22" t="s">
        <v>213</v>
      </c>
      <c r="L162" s="23" t="s">
        <v>780</v>
      </c>
      <c r="M162" s="23"/>
      <c r="N162" s="23"/>
      <c r="O162" s="23"/>
      <c r="P162" s="23"/>
      <c r="Q162" s="24">
        <v>4</v>
      </c>
      <c r="R162" s="240"/>
      <c r="T162" s="14"/>
      <c r="U162" s="14"/>
      <c r="V162" s="14"/>
      <c r="W162" s="14"/>
      <c r="X162" s="14"/>
      <c r="Y162" s="14"/>
    </row>
    <row r="163" spans="1:25" s="18" customFormat="1" ht="24.95" customHeight="1">
      <c r="B163" s="20" t="s">
        <v>6</v>
      </c>
      <c r="C163" s="34" t="s">
        <v>215</v>
      </c>
      <c r="D163" s="29" t="s">
        <v>216</v>
      </c>
      <c r="E163" s="29" t="s">
        <v>451</v>
      </c>
      <c r="F163" s="29">
        <v>54790</v>
      </c>
      <c r="G163" s="84">
        <v>6</v>
      </c>
      <c r="H163" s="29" t="s">
        <v>424</v>
      </c>
      <c r="I163" s="29" t="s">
        <v>47</v>
      </c>
      <c r="J163" s="29" t="s">
        <v>47</v>
      </c>
      <c r="K163" s="29"/>
      <c r="L163" s="31" t="s">
        <v>781</v>
      </c>
      <c r="M163" s="31"/>
      <c r="N163" s="31"/>
      <c r="O163" s="31"/>
      <c r="P163" s="95" t="s">
        <v>187</v>
      </c>
      <c r="Q163" s="32">
        <v>2.02</v>
      </c>
      <c r="R163" s="43" t="s">
        <v>215</v>
      </c>
      <c r="S163" s="14"/>
      <c r="T163" s="14"/>
      <c r="U163" s="14"/>
      <c r="V163" s="14"/>
      <c r="W163" s="14"/>
      <c r="X163" s="14"/>
      <c r="Y163" s="14"/>
    </row>
    <row r="164" spans="1:25" ht="24.95" customHeight="1">
      <c r="B164" s="20" t="s">
        <v>10</v>
      </c>
      <c r="C164" s="245" t="s">
        <v>217</v>
      </c>
      <c r="D164" s="22" t="s">
        <v>218</v>
      </c>
      <c r="E164" s="22" t="s">
        <v>453</v>
      </c>
      <c r="F164" s="22">
        <v>55511</v>
      </c>
      <c r="G164" s="84">
        <v>12</v>
      </c>
      <c r="H164" s="22" t="s">
        <v>276</v>
      </c>
      <c r="I164" s="22" t="s">
        <v>47</v>
      </c>
      <c r="J164" s="22" t="s">
        <v>47</v>
      </c>
      <c r="K164" s="22" t="s">
        <v>219</v>
      </c>
      <c r="L164" s="23" t="s">
        <v>782</v>
      </c>
      <c r="M164" s="24"/>
      <c r="N164" s="24"/>
      <c r="O164" s="22" t="s">
        <v>187</v>
      </c>
      <c r="P164" s="83" t="s">
        <v>452</v>
      </c>
      <c r="Q164" s="24">
        <v>1.3</v>
      </c>
      <c r="R164" s="250" t="s">
        <v>454</v>
      </c>
      <c r="T164" s="14"/>
      <c r="U164" s="14"/>
      <c r="V164" s="14"/>
      <c r="W164" s="14"/>
      <c r="X164" s="14"/>
      <c r="Y164" s="14"/>
    </row>
    <row r="165" spans="1:25" ht="24.95" customHeight="1">
      <c r="B165" s="20" t="s">
        <v>6</v>
      </c>
      <c r="C165" s="249"/>
      <c r="D165" s="22" t="s">
        <v>220</v>
      </c>
      <c r="E165" s="22" t="s">
        <v>456</v>
      </c>
      <c r="F165" s="22">
        <v>55511</v>
      </c>
      <c r="G165" s="84">
        <v>9</v>
      </c>
      <c r="H165" s="22" t="s">
        <v>276</v>
      </c>
      <c r="I165" s="22" t="s">
        <v>47</v>
      </c>
      <c r="J165" s="22" t="s">
        <v>47</v>
      </c>
      <c r="K165" s="22" t="s">
        <v>219</v>
      </c>
      <c r="L165" s="94" t="s">
        <v>783</v>
      </c>
      <c r="M165" s="94" t="s">
        <v>784</v>
      </c>
      <c r="N165" s="94" t="s">
        <v>785</v>
      </c>
      <c r="O165" s="22" t="s">
        <v>786</v>
      </c>
      <c r="P165" s="22" t="s">
        <v>455</v>
      </c>
      <c r="Q165" s="24">
        <v>2.2000000000000002</v>
      </c>
      <c r="R165" s="243"/>
      <c r="T165" s="14"/>
      <c r="U165" s="14"/>
      <c r="V165" s="14"/>
      <c r="W165" s="14"/>
      <c r="X165" s="14"/>
      <c r="Y165" s="14"/>
    </row>
    <row r="166" spans="1:25" ht="24.95" customHeight="1">
      <c r="B166" s="20" t="s">
        <v>6</v>
      </c>
      <c r="C166" s="249"/>
      <c r="D166" s="22" t="s">
        <v>221</v>
      </c>
      <c r="E166" s="22" t="s">
        <v>458</v>
      </c>
      <c r="F166" s="22">
        <v>55535</v>
      </c>
      <c r="G166" s="84">
        <v>5</v>
      </c>
      <c r="H166" s="22" t="s">
        <v>276</v>
      </c>
      <c r="I166" s="22" t="s">
        <v>47</v>
      </c>
      <c r="J166" s="22" t="s">
        <v>47</v>
      </c>
      <c r="K166" s="22" t="s">
        <v>222</v>
      </c>
      <c r="L166" s="94" t="s">
        <v>787</v>
      </c>
      <c r="M166" s="94" t="s">
        <v>788</v>
      </c>
      <c r="N166" s="94" t="s">
        <v>789</v>
      </c>
      <c r="O166" s="22" t="s">
        <v>790</v>
      </c>
      <c r="P166" s="22" t="s">
        <v>457</v>
      </c>
      <c r="Q166" s="24">
        <v>3.02</v>
      </c>
      <c r="R166" s="244"/>
      <c r="T166" s="14"/>
      <c r="U166" s="14"/>
      <c r="V166" s="14"/>
      <c r="W166" s="14"/>
      <c r="X166" s="14"/>
      <c r="Y166" s="14"/>
    </row>
    <row r="167" spans="1:25" ht="24.95" customHeight="1">
      <c r="B167" s="20" t="s">
        <v>6</v>
      </c>
      <c r="C167" s="246"/>
      <c r="D167" s="26" t="s">
        <v>223</v>
      </c>
      <c r="E167" s="26" t="s">
        <v>360</v>
      </c>
      <c r="F167" s="26">
        <v>45611</v>
      </c>
      <c r="G167" s="84">
        <v>1</v>
      </c>
      <c r="H167" s="22" t="s">
        <v>410</v>
      </c>
      <c r="I167" s="22" t="s">
        <v>47</v>
      </c>
      <c r="J167" s="22" t="s">
        <v>47</v>
      </c>
      <c r="K167" s="22" t="s">
        <v>224</v>
      </c>
      <c r="L167" s="94" t="s">
        <v>791</v>
      </c>
      <c r="M167" s="99" t="s">
        <v>792</v>
      </c>
      <c r="N167" s="99" t="s">
        <v>793</v>
      </c>
      <c r="O167" s="94"/>
      <c r="P167" s="100" t="s">
        <v>459</v>
      </c>
      <c r="Q167" s="24"/>
      <c r="R167" s="42" t="s">
        <v>460</v>
      </c>
      <c r="T167" s="14"/>
      <c r="U167" s="14"/>
      <c r="V167" s="14"/>
      <c r="W167" s="14"/>
      <c r="X167" s="14"/>
      <c r="Y167" s="14"/>
    </row>
    <row r="168" spans="1:25" ht="24.95" customHeight="1">
      <c r="B168" s="47" t="s">
        <v>6</v>
      </c>
      <c r="C168" s="245" t="s">
        <v>225</v>
      </c>
      <c r="D168" s="48" t="s">
        <v>226</v>
      </c>
      <c r="E168" s="48" t="s">
        <v>306</v>
      </c>
      <c r="F168" s="26">
        <v>55535</v>
      </c>
      <c r="G168" s="84">
        <v>5</v>
      </c>
      <c r="H168" s="29" t="s">
        <v>276</v>
      </c>
      <c r="I168" s="21" t="s">
        <v>47</v>
      </c>
      <c r="J168" s="21" t="s">
        <v>47</v>
      </c>
      <c r="K168" s="21" t="s">
        <v>227</v>
      </c>
      <c r="L168" s="101" t="s">
        <v>794</v>
      </c>
      <c r="M168" s="101" t="s">
        <v>795</v>
      </c>
      <c r="N168" s="50"/>
      <c r="O168" s="101"/>
      <c r="P168" s="102" t="s">
        <v>462</v>
      </c>
      <c r="Q168" s="50"/>
      <c r="R168" s="45" t="s">
        <v>454</v>
      </c>
      <c r="T168" s="14"/>
      <c r="U168" s="14"/>
      <c r="V168" s="14"/>
      <c r="W168" s="14"/>
      <c r="X168" s="14"/>
      <c r="Y168" s="14"/>
    </row>
    <row r="169" spans="1:25" ht="24.95" customHeight="1">
      <c r="B169" s="47"/>
      <c r="C169" s="249"/>
      <c r="D169" s="48" t="s">
        <v>228</v>
      </c>
      <c r="E169" s="48" t="s">
        <v>433</v>
      </c>
      <c r="F169" s="26">
        <v>52999</v>
      </c>
      <c r="G169" s="84">
        <v>0</v>
      </c>
      <c r="H169" s="21" t="s">
        <v>415</v>
      </c>
      <c r="I169" s="21"/>
      <c r="J169" s="21"/>
      <c r="K169" s="21" t="s">
        <v>229</v>
      </c>
      <c r="L169" s="101" t="s">
        <v>796</v>
      </c>
      <c r="M169" s="101" t="s">
        <v>795</v>
      </c>
      <c r="N169" s="50"/>
      <c r="O169" s="101"/>
      <c r="P169" s="102" t="s">
        <v>463</v>
      </c>
      <c r="Q169" s="50"/>
      <c r="R169" s="45"/>
      <c r="T169" s="14"/>
      <c r="U169" s="14"/>
      <c r="V169" s="14"/>
      <c r="W169" s="14"/>
      <c r="X169" s="14"/>
      <c r="Y169" s="14"/>
    </row>
    <row r="170" spans="1:25" ht="24.95" customHeight="1">
      <c r="B170" s="47"/>
      <c r="C170" s="246"/>
      <c r="D170" s="48" t="s">
        <v>230</v>
      </c>
      <c r="E170" s="48" t="s">
        <v>466</v>
      </c>
      <c r="F170" s="26">
        <v>55511</v>
      </c>
      <c r="G170" s="84">
        <v>1</v>
      </c>
      <c r="H170" s="46" t="s">
        <v>276</v>
      </c>
      <c r="I170" s="21"/>
      <c r="J170" s="21"/>
      <c r="K170" s="21" t="s">
        <v>231</v>
      </c>
      <c r="L170" s="49" t="s">
        <v>797</v>
      </c>
      <c r="M170" s="50"/>
      <c r="N170" s="50"/>
      <c r="O170" s="49"/>
      <c r="P170" s="102" t="s">
        <v>465</v>
      </c>
      <c r="Q170" s="50"/>
      <c r="R170" s="45"/>
      <c r="T170" s="14"/>
      <c r="U170" s="14"/>
      <c r="V170" s="14"/>
      <c r="W170" s="14"/>
      <c r="X170" s="14"/>
      <c r="Y170" s="14"/>
    </row>
    <row r="171" spans="1:25" ht="24.95" customHeight="1">
      <c r="B171" s="35" t="s">
        <v>6</v>
      </c>
      <c r="C171" s="245" t="s">
        <v>232</v>
      </c>
      <c r="D171" s="26" t="s">
        <v>233</v>
      </c>
      <c r="E171" s="26" t="s">
        <v>1065</v>
      </c>
      <c r="F171" s="26"/>
      <c r="G171" s="26"/>
      <c r="H171" s="29" t="s">
        <v>467</v>
      </c>
      <c r="I171" s="22"/>
      <c r="J171" s="22"/>
      <c r="K171" s="22"/>
      <c r="L171" s="23" t="s">
        <v>1066</v>
      </c>
      <c r="M171" s="23"/>
      <c r="N171" s="23"/>
      <c r="O171" s="23"/>
      <c r="P171" s="23" t="s">
        <v>993</v>
      </c>
      <c r="Q171" s="24"/>
      <c r="R171" s="42"/>
      <c r="T171" s="14"/>
      <c r="U171" s="14"/>
      <c r="V171" s="14"/>
      <c r="W171" s="14"/>
      <c r="X171" s="14"/>
      <c r="Y171" s="14"/>
    </row>
    <row r="172" spans="1:25" ht="24.95" customHeight="1">
      <c r="A172" s="4" t="s">
        <v>1063</v>
      </c>
      <c r="B172" s="108" t="s">
        <v>6</v>
      </c>
      <c r="C172" s="246"/>
      <c r="D172" s="26" t="s">
        <v>1067</v>
      </c>
      <c r="E172" s="26" t="s">
        <v>433</v>
      </c>
      <c r="F172" s="26">
        <v>62740</v>
      </c>
      <c r="G172" s="26"/>
      <c r="H172" s="29" t="s">
        <v>467</v>
      </c>
      <c r="I172" s="22"/>
      <c r="J172" s="22"/>
      <c r="K172" s="22" t="s">
        <v>1068</v>
      </c>
      <c r="L172" s="23" t="s">
        <v>1069</v>
      </c>
      <c r="M172" s="23"/>
      <c r="N172" s="23"/>
      <c r="O172" s="23"/>
      <c r="P172" s="121" t="s">
        <v>1095</v>
      </c>
      <c r="Q172" s="24"/>
      <c r="R172" s="42"/>
      <c r="T172" s="14"/>
      <c r="U172" s="14"/>
      <c r="V172" s="14"/>
      <c r="W172" s="14"/>
      <c r="X172" s="14"/>
      <c r="Y172" s="14"/>
    </row>
    <row r="173" spans="1:25" ht="24" customHeight="1">
      <c r="B173" s="52" t="s">
        <v>10</v>
      </c>
      <c r="C173" s="253" t="s">
        <v>234</v>
      </c>
      <c r="D173" s="34" t="s">
        <v>235</v>
      </c>
      <c r="E173" s="34" t="s">
        <v>303</v>
      </c>
      <c r="F173" s="26">
        <v>61020</v>
      </c>
      <c r="G173" s="84">
        <v>9</v>
      </c>
      <c r="H173" s="34" t="s">
        <v>469</v>
      </c>
      <c r="I173" s="34" t="s">
        <v>47</v>
      </c>
      <c r="J173" s="34" t="s">
        <v>47</v>
      </c>
      <c r="K173" s="34" t="s">
        <v>219</v>
      </c>
      <c r="L173" s="28" t="s">
        <v>1017</v>
      </c>
      <c r="M173" s="28"/>
      <c r="N173" s="28"/>
      <c r="O173" s="28"/>
      <c r="P173" s="28" t="s">
        <v>468</v>
      </c>
      <c r="Q173" s="28" t="s">
        <v>47</v>
      </c>
      <c r="R173" s="28" t="s">
        <v>234</v>
      </c>
    </row>
    <row r="174" spans="1:25" ht="24" customHeight="1">
      <c r="B174" s="52" t="s">
        <v>10</v>
      </c>
      <c r="C174" s="254"/>
      <c r="D174" s="34" t="s">
        <v>236</v>
      </c>
      <c r="E174" s="34" t="s">
        <v>303</v>
      </c>
      <c r="F174" s="26">
        <v>61020</v>
      </c>
      <c r="G174" s="84">
        <v>9</v>
      </c>
      <c r="H174" s="34" t="s">
        <v>469</v>
      </c>
      <c r="I174" s="34" t="s">
        <v>47</v>
      </c>
      <c r="J174" s="34" t="s">
        <v>47</v>
      </c>
      <c r="K174" s="34" t="s">
        <v>237</v>
      </c>
      <c r="L174" s="28" t="s">
        <v>1018</v>
      </c>
      <c r="M174" s="28"/>
      <c r="N174" s="28"/>
      <c r="O174" s="28"/>
      <c r="P174" s="28" t="s">
        <v>470</v>
      </c>
      <c r="Q174" s="28" t="s">
        <v>47</v>
      </c>
      <c r="R174" s="28" t="s">
        <v>234</v>
      </c>
    </row>
    <row r="175" spans="1:25" ht="24" customHeight="1">
      <c r="A175" s="123" t="s">
        <v>1236</v>
      </c>
      <c r="B175" s="124" t="s">
        <v>10</v>
      </c>
      <c r="C175" s="254"/>
      <c r="D175" s="34" t="s">
        <v>238</v>
      </c>
      <c r="E175" s="34" t="s">
        <v>433</v>
      </c>
      <c r="F175" s="26">
        <v>61591</v>
      </c>
      <c r="G175" s="84">
        <v>1</v>
      </c>
      <c r="H175" s="34" t="s">
        <v>469</v>
      </c>
      <c r="I175" s="34" t="s">
        <v>47</v>
      </c>
      <c r="J175" s="34" t="s">
        <v>47</v>
      </c>
      <c r="K175" s="34" t="s">
        <v>239</v>
      </c>
      <c r="L175" s="28" t="s">
        <v>799</v>
      </c>
      <c r="M175" s="28"/>
      <c r="N175" s="28"/>
      <c r="O175" s="28"/>
      <c r="P175" s="28" t="s">
        <v>1019</v>
      </c>
      <c r="Q175" s="28" t="s">
        <v>47</v>
      </c>
      <c r="R175" s="28" t="s">
        <v>234</v>
      </c>
    </row>
    <row r="176" spans="1:25" ht="24" customHeight="1">
      <c r="A176" s="123" t="s">
        <v>1236</v>
      </c>
      <c r="B176" s="52" t="s">
        <v>6</v>
      </c>
      <c r="C176" s="254"/>
      <c r="D176" s="34" t="s">
        <v>240</v>
      </c>
      <c r="E176" s="34" t="s">
        <v>1237</v>
      </c>
      <c r="F176" s="26">
        <v>61591</v>
      </c>
      <c r="G176" s="84">
        <v>1</v>
      </c>
      <c r="H176" s="34" t="s">
        <v>469</v>
      </c>
      <c r="I176" s="34" t="s">
        <v>47</v>
      </c>
      <c r="J176" s="34" t="s">
        <v>47</v>
      </c>
      <c r="K176" s="34" t="s">
        <v>241</v>
      </c>
      <c r="L176" s="28" t="s">
        <v>1020</v>
      </c>
      <c r="M176" s="28"/>
      <c r="N176" s="28"/>
      <c r="O176" s="28"/>
      <c r="P176" s="116" t="s">
        <v>1021</v>
      </c>
      <c r="Q176" s="28" t="s">
        <v>47</v>
      </c>
      <c r="R176" s="28" t="s">
        <v>234</v>
      </c>
    </row>
    <row r="177" spans="1:20" ht="24" customHeight="1">
      <c r="B177" s="52" t="s">
        <v>6</v>
      </c>
      <c r="C177" s="254"/>
      <c r="D177" s="34" t="s">
        <v>242</v>
      </c>
      <c r="E177" s="34" t="s">
        <v>360</v>
      </c>
      <c r="F177" s="26">
        <v>60495</v>
      </c>
      <c r="G177" s="84">
        <v>2</v>
      </c>
      <c r="H177" s="34" t="s">
        <v>419</v>
      </c>
      <c r="I177" s="34" t="s">
        <v>47</v>
      </c>
      <c r="J177" s="34" t="s">
        <v>47</v>
      </c>
      <c r="K177" s="34" t="s">
        <v>224</v>
      </c>
      <c r="L177" s="28" t="s">
        <v>798</v>
      </c>
      <c r="M177" s="28"/>
      <c r="N177" s="28"/>
      <c r="O177" s="28"/>
      <c r="P177" s="103" t="s">
        <v>224</v>
      </c>
      <c r="Q177" s="28" t="s">
        <v>47</v>
      </c>
      <c r="R177" s="28" t="s">
        <v>472</v>
      </c>
    </row>
    <row r="178" spans="1:20" ht="24" customHeight="1">
      <c r="B178" s="52" t="s">
        <v>6</v>
      </c>
      <c r="C178" s="254"/>
      <c r="D178" s="34" t="s">
        <v>243</v>
      </c>
      <c r="E178" s="34" t="s">
        <v>298</v>
      </c>
      <c r="F178" s="26">
        <v>60495</v>
      </c>
      <c r="G178" s="84">
        <v>1</v>
      </c>
      <c r="H178" s="34" t="s">
        <v>419</v>
      </c>
      <c r="I178" s="34" t="s">
        <v>47</v>
      </c>
      <c r="J178" s="34" t="s">
        <v>47</v>
      </c>
      <c r="K178" s="34" t="s">
        <v>244</v>
      </c>
      <c r="L178" s="28" t="s">
        <v>798</v>
      </c>
      <c r="M178" s="28"/>
      <c r="N178" s="28"/>
      <c r="O178" s="28"/>
      <c r="P178" s="28" t="s">
        <v>473</v>
      </c>
      <c r="Q178" s="28" t="s">
        <v>47</v>
      </c>
      <c r="R178" s="28" t="s">
        <v>474</v>
      </c>
    </row>
    <row r="179" spans="1:20" ht="24" customHeight="1">
      <c r="A179" s="123" t="s">
        <v>1236</v>
      </c>
      <c r="B179" s="125" t="s">
        <v>6</v>
      </c>
      <c r="C179" s="254"/>
      <c r="D179" s="126" t="s">
        <v>1238</v>
      </c>
      <c r="E179" s="127" t="s">
        <v>673</v>
      </c>
      <c r="F179" s="71">
        <v>63173</v>
      </c>
      <c r="G179" s="84">
        <v>0</v>
      </c>
      <c r="H179" s="128" t="s">
        <v>469</v>
      </c>
      <c r="I179" s="34"/>
      <c r="J179" s="34"/>
      <c r="K179" s="129" t="s">
        <v>1239</v>
      </c>
      <c r="L179" s="28"/>
      <c r="M179" s="28"/>
      <c r="N179" s="28"/>
      <c r="O179" s="28"/>
      <c r="P179" s="28"/>
      <c r="Q179" s="28"/>
      <c r="R179" s="28"/>
    </row>
    <row r="180" spans="1:20" ht="24" customHeight="1">
      <c r="A180" s="123" t="s">
        <v>1236</v>
      </c>
      <c r="B180" s="125" t="s">
        <v>6</v>
      </c>
      <c r="C180" s="255"/>
      <c r="D180" s="130" t="s">
        <v>1240</v>
      </c>
      <c r="E180" s="127" t="s">
        <v>673</v>
      </c>
      <c r="F180" s="71">
        <v>63173</v>
      </c>
      <c r="G180" s="84">
        <v>0</v>
      </c>
      <c r="H180" s="128" t="s">
        <v>469</v>
      </c>
      <c r="I180" s="34"/>
      <c r="J180" s="34"/>
      <c r="K180" s="129" t="s">
        <v>1241</v>
      </c>
      <c r="L180" s="28"/>
      <c r="M180" s="28"/>
      <c r="N180" s="28"/>
      <c r="O180" s="28"/>
      <c r="P180" s="28"/>
      <c r="Q180" s="28"/>
      <c r="R180" s="28"/>
    </row>
    <row r="181" spans="1:20" ht="24" customHeight="1">
      <c r="B181" s="52" t="s">
        <v>10</v>
      </c>
      <c r="C181" s="256" t="s">
        <v>245</v>
      </c>
      <c r="D181" s="34" t="s">
        <v>246</v>
      </c>
      <c r="E181" s="34" t="s">
        <v>360</v>
      </c>
      <c r="F181" s="26">
        <v>60282</v>
      </c>
      <c r="G181" s="84">
        <v>1</v>
      </c>
      <c r="H181" s="33" t="s">
        <v>469</v>
      </c>
      <c r="I181" s="104" t="s">
        <v>47</v>
      </c>
      <c r="J181" s="104" t="s">
        <v>47</v>
      </c>
      <c r="K181" s="33" t="s">
        <v>219</v>
      </c>
      <c r="L181" s="3" t="s">
        <v>1022</v>
      </c>
      <c r="M181" s="3"/>
      <c r="N181" s="3"/>
      <c r="O181" s="3"/>
      <c r="P181" s="105" t="s">
        <v>187</v>
      </c>
      <c r="Q181" s="20" t="s">
        <v>47</v>
      </c>
      <c r="R181" s="12" t="s">
        <v>245</v>
      </c>
    </row>
    <row r="182" spans="1:20" ht="24" customHeight="1">
      <c r="B182" s="52" t="s">
        <v>10</v>
      </c>
      <c r="C182" s="257"/>
      <c r="D182" s="34" t="s">
        <v>247</v>
      </c>
      <c r="E182" s="34" t="s">
        <v>360</v>
      </c>
      <c r="F182" s="26">
        <v>60282</v>
      </c>
      <c r="G182" s="84">
        <v>1</v>
      </c>
      <c r="H182" s="33" t="s">
        <v>469</v>
      </c>
      <c r="I182" s="104" t="s">
        <v>47</v>
      </c>
      <c r="J182" s="104" t="s">
        <v>47</v>
      </c>
      <c r="K182" s="34" t="s">
        <v>237</v>
      </c>
      <c r="L182" s="3" t="s">
        <v>1022</v>
      </c>
      <c r="M182" s="3"/>
      <c r="N182" s="3"/>
      <c r="O182" s="3"/>
      <c r="P182" s="105"/>
      <c r="Q182" s="20"/>
      <c r="R182" s="12" t="s">
        <v>245</v>
      </c>
    </row>
    <row r="183" spans="1:20" ht="24" customHeight="1">
      <c r="A183" s="123" t="s">
        <v>1236</v>
      </c>
      <c r="B183" s="125" t="s">
        <v>10</v>
      </c>
      <c r="C183" s="257"/>
      <c r="D183" s="34" t="s">
        <v>248</v>
      </c>
      <c r="E183" s="34" t="s">
        <v>433</v>
      </c>
      <c r="F183" s="26">
        <v>61591</v>
      </c>
      <c r="G183" s="84">
        <v>1</v>
      </c>
      <c r="H183" s="33" t="s">
        <v>469</v>
      </c>
      <c r="I183" s="104" t="s">
        <v>47</v>
      </c>
      <c r="J183" s="104" t="s">
        <v>47</v>
      </c>
      <c r="K183" s="34" t="s">
        <v>42</v>
      </c>
      <c r="L183" s="3" t="s">
        <v>1023</v>
      </c>
      <c r="M183" s="3"/>
      <c r="N183" s="3"/>
      <c r="O183" s="3"/>
      <c r="P183" s="131" t="s">
        <v>1019</v>
      </c>
      <c r="Q183" s="20"/>
      <c r="R183" s="12" t="s">
        <v>245</v>
      </c>
    </row>
    <row r="184" spans="1:20" ht="24" customHeight="1">
      <c r="A184" s="123" t="s">
        <v>1236</v>
      </c>
      <c r="B184" s="52" t="s">
        <v>6</v>
      </c>
      <c r="C184" s="257"/>
      <c r="D184" s="34" t="s">
        <v>476</v>
      </c>
      <c r="E184" s="34" t="s">
        <v>1237</v>
      </c>
      <c r="F184" s="26">
        <v>61591</v>
      </c>
      <c r="G184" s="84">
        <v>1</v>
      </c>
      <c r="H184" s="33" t="s">
        <v>469</v>
      </c>
      <c r="I184" s="104" t="s">
        <v>47</v>
      </c>
      <c r="J184" s="104" t="s">
        <v>47</v>
      </c>
      <c r="K184" s="34" t="s">
        <v>250</v>
      </c>
      <c r="L184" s="3" t="s">
        <v>1023</v>
      </c>
      <c r="M184" s="3"/>
      <c r="N184" s="3"/>
      <c r="O184" s="3"/>
      <c r="P184" s="131" t="s">
        <v>1019</v>
      </c>
      <c r="Q184" s="20"/>
      <c r="R184" s="12" t="s">
        <v>245</v>
      </c>
    </row>
    <row r="185" spans="1:20" s="106" customFormat="1" ht="24" customHeight="1">
      <c r="A185" s="123" t="s">
        <v>1236</v>
      </c>
      <c r="B185" s="125" t="s">
        <v>6</v>
      </c>
      <c r="C185" s="257"/>
      <c r="D185" s="129" t="s">
        <v>1242</v>
      </c>
      <c r="E185" s="127" t="s">
        <v>673</v>
      </c>
      <c r="F185" s="132">
        <v>63312</v>
      </c>
      <c r="G185" s="133">
        <v>1</v>
      </c>
      <c r="H185" s="128" t="s">
        <v>469</v>
      </c>
      <c r="I185" s="134"/>
      <c r="J185" s="134"/>
      <c r="K185" s="129" t="s">
        <v>1239</v>
      </c>
      <c r="L185" s="135"/>
      <c r="M185" s="135"/>
      <c r="N185" s="135"/>
      <c r="O185" s="135"/>
      <c r="P185" s="136"/>
      <c r="Q185" s="137"/>
      <c r="R185" s="138"/>
      <c r="S185" s="139"/>
    </row>
    <row r="186" spans="1:20" s="106" customFormat="1" ht="24" customHeight="1">
      <c r="A186" s="123" t="s">
        <v>1236</v>
      </c>
      <c r="B186" s="125" t="s">
        <v>6</v>
      </c>
      <c r="C186" s="257"/>
      <c r="D186" s="129" t="s">
        <v>1243</v>
      </c>
      <c r="E186" s="127" t="s">
        <v>673</v>
      </c>
      <c r="F186" s="132">
        <v>63312</v>
      </c>
      <c r="G186" s="133">
        <v>1</v>
      </c>
      <c r="H186" s="128" t="s">
        <v>469</v>
      </c>
      <c r="I186" s="134"/>
      <c r="J186" s="134"/>
      <c r="K186" s="129" t="s">
        <v>1241</v>
      </c>
      <c r="L186" s="135"/>
      <c r="M186" s="135"/>
      <c r="N186" s="135"/>
      <c r="O186" s="135"/>
      <c r="P186" s="136"/>
      <c r="Q186" s="137"/>
      <c r="R186" s="138"/>
      <c r="S186" s="139"/>
    </row>
    <row r="187" spans="1:20" ht="26.25" customHeight="1">
      <c r="B187" s="28" t="s">
        <v>6</v>
      </c>
      <c r="C187" s="257"/>
      <c r="D187" s="33" t="s">
        <v>242</v>
      </c>
      <c r="E187" s="259" t="s">
        <v>800</v>
      </c>
      <c r="F187" s="260"/>
      <c r="G187" s="261"/>
      <c r="H187" s="33" t="s">
        <v>419</v>
      </c>
      <c r="I187" s="104" t="s">
        <v>47</v>
      </c>
      <c r="J187" s="104" t="s">
        <v>47</v>
      </c>
      <c r="K187" s="33" t="s">
        <v>224</v>
      </c>
      <c r="L187" s="3"/>
      <c r="M187" s="3"/>
      <c r="N187" s="3"/>
      <c r="O187" s="3"/>
      <c r="P187" s="105" t="s">
        <v>224</v>
      </c>
      <c r="Q187" s="20" t="s">
        <v>47</v>
      </c>
      <c r="R187" s="28" t="s">
        <v>472</v>
      </c>
      <c r="T187" s="17" t="s">
        <v>801</v>
      </c>
    </row>
    <row r="188" spans="1:20" ht="24" customHeight="1">
      <c r="B188" s="28" t="s">
        <v>6</v>
      </c>
      <c r="C188" s="258"/>
      <c r="D188" s="33" t="s">
        <v>243</v>
      </c>
      <c r="E188" s="259" t="s">
        <v>800</v>
      </c>
      <c r="F188" s="260"/>
      <c r="G188" s="261"/>
      <c r="H188" s="33" t="s">
        <v>419</v>
      </c>
      <c r="I188" s="104" t="s">
        <v>47</v>
      </c>
      <c r="J188" s="104" t="s">
        <v>47</v>
      </c>
      <c r="K188" s="33" t="s">
        <v>244</v>
      </c>
      <c r="L188" s="3"/>
      <c r="M188" s="3"/>
      <c r="N188" s="3"/>
      <c r="O188" s="3"/>
      <c r="P188" s="105" t="s">
        <v>473</v>
      </c>
      <c r="Q188" s="20" t="s">
        <v>47</v>
      </c>
      <c r="R188" s="28" t="s">
        <v>474</v>
      </c>
    </row>
  </sheetData>
  <autoFilter ref="B53:Q188" xr:uid="{00000000-0009-0000-0000-000000000000}"/>
  <mergeCells count="93">
    <mergeCell ref="C168:C170"/>
    <mergeCell ref="C171:C172"/>
    <mergeCell ref="C173:C180"/>
    <mergeCell ref="C181:C188"/>
    <mergeCell ref="E187:G187"/>
    <mergeCell ref="E188:G188"/>
    <mergeCell ref="C164:C167"/>
    <mergeCell ref="R164:R166"/>
    <mergeCell ref="C115:C118"/>
    <mergeCell ref="R121:R123"/>
    <mergeCell ref="C122:C124"/>
    <mergeCell ref="C128:C129"/>
    <mergeCell ref="C137:C144"/>
    <mergeCell ref="C148:C153"/>
    <mergeCell ref="R148:R151"/>
    <mergeCell ref="C156:C157"/>
    <mergeCell ref="R156:R157"/>
    <mergeCell ref="C158:C159"/>
    <mergeCell ref="R158:R162"/>
    <mergeCell ref="C161:C162"/>
    <mergeCell ref="C113:C114"/>
    <mergeCell ref="C86:C94"/>
    <mergeCell ref="R86:R94"/>
    <mergeCell ref="S86:T86"/>
    <mergeCell ref="C96:C97"/>
    <mergeCell ref="R96:R97"/>
    <mergeCell ref="C98:C100"/>
    <mergeCell ref="C101:C102"/>
    <mergeCell ref="C103:C104"/>
    <mergeCell ref="R103:R104"/>
    <mergeCell ref="R105:R110"/>
    <mergeCell ref="C106:C112"/>
    <mergeCell ref="C71:C72"/>
    <mergeCell ref="D71:D72"/>
    <mergeCell ref="R71:R72"/>
    <mergeCell ref="C74:C80"/>
    <mergeCell ref="R81:R85"/>
    <mergeCell ref="C82:C85"/>
    <mergeCell ref="C67:C69"/>
    <mergeCell ref="R67:R68"/>
    <mergeCell ref="D42:G42"/>
    <mergeCell ref="D43:G43"/>
    <mergeCell ref="D44:G44"/>
    <mergeCell ref="D45:G45"/>
    <mergeCell ref="D46:G46"/>
    <mergeCell ref="D47:G47"/>
    <mergeCell ref="D48:G48"/>
    <mergeCell ref="C50:K50"/>
    <mergeCell ref="C55:C62"/>
    <mergeCell ref="C63:C66"/>
    <mergeCell ref="R63:R66"/>
    <mergeCell ref="L26:Q26"/>
    <mergeCell ref="D27:G27"/>
    <mergeCell ref="L27:Q27"/>
    <mergeCell ref="D28:G28"/>
    <mergeCell ref="D41:G41"/>
    <mergeCell ref="D30:G30"/>
    <mergeCell ref="D31:G31"/>
    <mergeCell ref="D32:G32"/>
    <mergeCell ref="D33:G33"/>
    <mergeCell ref="D34:G34"/>
    <mergeCell ref="D35:G35"/>
    <mergeCell ref="D36:G36"/>
    <mergeCell ref="D37:G37"/>
    <mergeCell ref="D38:G38"/>
    <mergeCell ref="D39:G39"/>
    <mergeCell ref="D40:G40"/>
    <mergeCell ref="D29:G29"/>
    <mergeCell ref="D20:G20"/>
    <mergeCell ref="D21:G21"/>
    <mergeCell ref="D22:G22"/>
    <mergeCell ref="D23:G23"/>
    <mergeCell ref="D24:G24"/>
    <mergeCell ref="D25:G25"/>
    <mergeCell ref="D26:G26"/>
    <mergeCell ref="D19:G19"/>
    <mergeCell ref="D8:G8"/>
    <mergeCell ref="D9:G9"/>
    <mergeCell ref="D10:G10"/>
    <mergeCell ref="D11:G11"/>
    <mergeCell ref="D12:G12"/>
    <mergeCell ref="D13:G13"/>
    <mergeCell ref="D14:G14"/>
    <mergeCell ref="D15:G15"/>
    <mergeCell ref="D16:G16"/>
    <mergeCell ref="D17:G17"/>
    <mergeCell ref="D18:G18"/>
    <mergeCell ref="D7:G7"/>
    <mergeCell ref="D2:G2"/>
    <mergeCell ref="D3:G3"/>
    <mergeCell ref="D4:G4"/>
    <mergeCell ref="D5:G5"/>
    <mergeCell ref="D6:G6"/>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rowBreaks count="1" manualBreakCount="1">
    <brk id="51"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0DAE8-413B-4B1A-AFFA-9E9BC435B1CB}">
  <sheetPr codeName="Sheet5"/>
  <dimension ref="A1:Y184"/>
  <sheetViews>
    <sheetView topLeftCell="A117" zoomScale="70" zoomScaleNormal="70" workbookViewId="0">
      <selection activeCell="N192" sqref="N192"/>
    </sheetView>
  </sheetViews>
  <sheetFormatPr defaultColWidth="15.5" defaultRowHeight="24" customHeight="1"/>
  <cols>
    <col min="1" max="1" width="5.875" style="4" customWidth="1"/>
    <col min="2" max="2" width="15.5" style="11"/>
    <col min="3" max="3" width="17" style="4" bestFit="1" customWidth="1"/>
    <col min="4" max="4" width="20" style="4" customWidth="1"/>
    <col min="5" max="7" width="10" style="4" customWidth="1"/>
    <col min="8" max="8" width="31.375" style="4" bestFit="1" customWidth="1"/>
    <col min="9" max="9" width="22" style="4" customWidth="1"/>
    <col min="10" max="10" width="29.625" style="4" bestFit="1" customWidth="1"/>
    <col min="11" max="11" width="22" style="4" customWidth="1"/>
    <col min="12" max="16" width="21.125" style="4" customWidth="1"/>
    <col min="17" max="17" width="11.125" style="4" customWidth="1"/>
    <col min="18" max="18" width="16.75" style="11" bestFit="1" customWidth="1"/>
    <col min="19" max="19" width="24.5" style="14" customWidth="1"/>
    <col min="20" max="20" width="43.375" style="4" customWidth="1"/>
    <col min="21" max="21" width="26.75" style="4" customWidth="1"/>
    <col min="22" max="16384" width="15.5" style="4"/>
  </cols>
  <sheetData>
    <row r="1" spans="2:19" ht="24" customHeight="1">
      <c r="C1" s="5" t="s">
        <v>544</v>
      </c>
      <c r="K1" s="9"/>
      <c r="S1" s="82"/>
    </row>
    <row r="2" spans="2:19" ht="24" customHeight="1">
      <c r="B2" s="13" t="s">
        <v>1</v>
      </c>
      <c r="C2" s="3" t="s">
        <v>545</v>
      </c>
      <c r="D2" s="220" t="s">
        <v>546</v>
      </c>
      <c r="E2" s="221"/>
      <c r="F2" s="221"/>
      <c r="G2" s="222"/>
      <c r="H2" s="2" t="s">
        <v>547</v>
      </c>
      <c r="I2" s="2" t="s">
        <v>548</v>
      </c>
      <c r="J2" s="2" t="s">
        <v>549</v>
      </c>
      <c r="K2" s="2" t="s">
        <v>550</v>
      </c>
      <c r="L2" s="16"/>
      <c r="M2" s="16"/>
      <c r="N2" s="16"/>
      <c r="O2" s="16"/>
      <c r="P2" s="16"/>
      <c r="Q2" s="14"/>
      <c r="R2" s="41"/>
      <c r="S2" s="82"/>
    </row>
    <row r="3" spans="2:19" ht="30" customHeight="1">
      <c r="B3" s="12" t="s">
        <v>10</v>
      </c>
      <c r="C3" s="3" t="s">
        <v>551</v>
      </c>
      <c r="D3" s="220" t="s">
        <v>552</v>
      </c>
      <c r="E3" s="221"/>
      <c r="F3" s="221"/>
      <c r="G3" s="222"/>
      <c r="H3" s="3" t="s">
        <v>553</v>
      </c>
      <c r="I3" s="3">
        <v>2</v>
      </c>
      <c r="J3" s="3">
        <v>20</v>
      </c>
      <c r="K3" s="3">
        <v>16</v>
      </c>
      <c r="Q3" s="14"/>
      <c r="R3" s="41"/>
      <c r="S3" s="4"/>
    </row>
    <row r="4" spans="2:19" ht="30" customHeight="1">
      <c r="B4" s="6" t="s">
        <v>6</v>
      </c>
      <c r="C4" s="3" t="s">
        <v>554</v>
      </c>
      <c r="D4" s="220" t="s">
        <v>555</v>
      </c>
      <c r="E4" s="221"/>
      <c r="F4" s="221"/>
      <c r="G4" s="222"/>
      <c r="H4" s="3" t="s">
        <v>553</v>
      </c>
      <c r="I4" s="3">
        <v>2</v>
      </c>
      <c r="J4" s="3">
        <v>20</v>
      </c>
      <c r="K4" s="3">
        <v>16</v>
      </c>
      <c r="Q4" s="14"/>
      <c r="R4" s="41"/>
      <c r="S4" s="4"/>
    </row>
    <row r="5" spans="2:19" ht="30" customHeight="1">
      <c r="B5" s="12" t="s">
        <v>10</v>
      </c>
      <c r="C5" s="3" t="s">
        <v>556</v>
      </c>
      <c r="D5" s="220" t="s">
        <v>557</v>
      </c>
      <c r="E5" s="221"/>
      <c r="F5" s="221"/>
      <c r="G5" s="222"/>
      <c r="H5" s="3" t="s">
        <v>558</v>
      </c>
      <c r="I5" s="3">
        <v>1</v>
      </c>
      <c r="J5" s="3">
        <v>6</v>
      </c>
      <c r="K5" s="3">
        <v>1</v>
      </c>
      <c r="Q5" s="14"/>
      <c r="R5" s="41"/>
      <c r="S5" s="4"/>
    </row>
    <row r="6" spans="2:19" ht="30" customHeight="1">
      <c r="B6" s="6" t="s">
        <v>6</v>
      </c>
      <c r="C6" s="3" t="s">
        <v>559</v>
      </c>
      <c r="D6" s="220" t="s">
        <v>560</v>
      </c>
      <c r="E6" s="221"/>
      <c r="F6" s="221"/>
      <c r="G6" s="222"/>
      <c r="H6" s="3" t="s">
        <v>561</v>
      </c>
      <c r="I6" s="3">
        <v>1</v>
      </c>
      <c r="J6" s="3">
        <v>17</v>
      </c>
      <c r="K6" s="3">
        <v>0</v>
      </c>
      <c r="Q6" s="14"/>
      <c r="R6" s="41"/>
      <c r="S6" s="4"/>
    </row>
    <row r="7" spans="2:19" ht="30" customHeight="1">
      <c r="B7" s="12" t="s">
        <v>10</v>
      </c>
      <c r="C7" s="3" t="s">
        <v>562</v>
      </c>
      <c r="D7" s="220" t="s">
        <v>563</v>
      </c>
      <c r="E7" s="221"/>
      <c r="F7" s="221"/>
      <c r="G7" s="222"/>
      <c r="H7" s="3" t="s">
        <v>564</v>
      </c>
      <c r="I7" s="3">
        <v>1</v>
      </c>
      <c r="J7" s="3">
        <v>0</v>
      </c>
      <c r="K7" s="3">
        <v>16</v>
      </c>
      <c r="Q7" s="14"/>
      <c r="R7" s="41"/>
      <c r="S7" s="4"/>
    </row>
    <row r="8" spans="2:19" ht="30" customHeight="1">
      <c r="B8" s="6" t="s">
        <v>6</v>
      </c>
      <c r="C8" s="3" t="s">
        <v>565</v>
      </c>
      <c r="D8" s="220" t="s">
        <v>566</v>
      </c>
      <c r="E8" s="221"/>
      <c r="F8" s="221"/>
      <c r="G8" s="222"/>
      <c r="H8" s="3" t="s">
        <v>564</v>
      </c>
      <c r="I8" s="3">
        <v>1</v>
      </c>
      <c r="J8" s="3">
        <v>0</v>
      </c>
      <c r="K8" s="3">
        <v>16</v>
      </c>
      <c r="Q8" s="14"/>
      <c r="R8" s="41"/>
      <c r="S8" s="4"/>
    </row>
    <row r="9" spans="2:19" ht="30" customHeight="1">
      <c r="B9" s="6" t="s">
        <v>6</v>
      </c>
      <c r="C9" s="3" t="s">
        <v>567</v>
      </c>
      <c r="D9" s="220" t="s">
        <v>566</v>
      </c>
      <c r="E9" s="221"/>
      <c r="F9" s="221"/>
      <c r="G9" s="222"/>
      <c r="H9" s="3" t="s">
        <v>568</v>
      </c>
      <c r="I9" s="3">
        <v>1</v>
      </c>
      <c r="J9" s="3">
        <v>0</v>
      </c>
      <c r="K9" s="3">
        <v>16</v>
      </c>
      <c r="Q9" s="14"/>
      <c r="R9" s="41"/>
      <c r="S9" s="4"/>
    </row>
    <row r="10" spans="2:19" ht="30" customHeight="1">
      <c r="B10" s="6" t="s">
        <v>6</v>
      </c>
      <c r="C10" s="3" t="s">
        <v>569</v>
      </c>
      <c r="D10" s="220" t="s">
        <v>570</v>
      </c>
      <c r="E10" s="221"/>
      <c r="F10" s="221"/>
      <c r="G10" s="222"/>
      <c r="H10" s="3" t="s">
        <v>571</v>
      </c>
      <c r="I10" s="3">
        <v>1</v>
      </c>
      <c r="J10" s="3">
        <v>6</v>
      </c>
      <c r="K10" s="3">
        <v>1</v>
      </c>
      <c r="Q10" s="14"/>
      <c r="R10" s="41"/>
      <c r="S10" s="4"/>
    </row>
    <row r="11" spans="2:19" ht="30" customHeight="1">
      <c r="B11" s="12" t="s">
        <v>10</v>
      </c>
      <c r="C11" s="3" t="s">
        <v>572</v>
      </c>
      <c r="D11" s="220" t="s">
        <v>573</v>
      </c>
      <c r="E11" s="221"/>
      <c r="F11" s="221"/>
      <c r="G11" s="222"/>
      <c r="H11" s="3" t="s">
        <v>574</v>
      </c>
      <c r="I11" s="3">
        <v>3</v>
      </c>
      <c r="J11" s="3">
        <v>33</v>
      </c>
      <c r="K11" s="3">
        <v>3</v>
      </c>
      <c r="Q11" s="14"/>
      <c r="R11" s="41"/>
      <c r="S11" s="4"/>
    </row>
    <row r="12" spans="2:19" ht="30" customHeight="1">
      <c r="B12" s="6" t="s">
        <v>6</v>
      </c>
      <c r="C12" s="3" t="s">
        <v>575</v>
      </c>
      <c r="D12" s="220" t="s">
        <v>576</v>
      </c>
      <c r="E12" s="221"/>
      <c r="F12" s="221"/>
      <c r="G12" s="222"/>
      <c r="H12" s="3" t="s">
        <v>577</v>
      </c>
      <c r="I12" s="3">
        <v>3</v>
      </c>
      <c r="J12" s="3">
        <v>33</v>
      </c>
      <c r="K12" s="3">
        <v>3</v>
      </c>
      <c r="Q12" s="14"/>
      <c r="R12" s="41"/>
      <c r="S12" s="4"/>
    </row>
    <row r="13" spans="2:19" ht="30" customHeight="1">
      <c r="B13" s="6" t="s">
        <v>6</v>
      </c>
      <c r="C13" s="3" t="s">
        <v>578</v>
      </c>
      <c r="D13" s="220" t="s">
        <v>579</v>
      </c>
      <c r="E13" s="221"/>
      <c r="F13" s="221"/>
      <c r="G13" s="222"/>
      <c r="H13" s="3" t="s">
        <v>580</v>
      </c>
      <c r="I13" s="3">
        <v>1</v>
      </c>
      <c r="J13" s="3">
        <v>5</v>
      </c>
      <c r="K13" s="3">
        <v>0</v>
      </c>
      <c r="Q13" s="14"/>
      <c r="R13" s="41"/>
      <c r="S13" s="4"/>
    </row>
    <row r="14" spans="2:19" ht="30" customHeight="1">
      <c r="B14" s="12" t="s">
        <v>10</v>
      </c>
      <c r="C14" s="3" t="s">
        <v>581</v>
      </c>
      <c r="D14" s="220" t="s">
        <v>582</v>
      </c>
      <c r="E14" s="221"/>
      <c r="F14" s="221"/>
      <c r="G14" s="222"/>
      <c r="H14" s="3" t="s">
        <v>583</v>
      </c>
      <c r="I14" s="3">
        <v>1</v>
      </c>
      <c r="J14" s="3">
        <v>0</v>
      </c>
      <c r="K14" s="3">
        <v>6</v>
      </c>
      <c r="Q14" s="14"/>
      <c r="R14" s="41"/>
      <c r="S14" s="4"/>
    </row>
    <row r="15" spans="2:19" ht="30" customHeight="1">
      <c r="B15" s="6" t="s">
        <v>6</v>
      </c>
      <c r="C15" s="3" t="s">
        <v>584</v>
      </c>
      <c r="D15" s="220" t="s">
        <v>585</v>
      </c>
      <c r="E15" s="221"/>
      <c r="F15" s="221"/>
      <c r="G15" s="222"/>
      <c r="H15" s="3" t="s">
        <v>583</v>
      </c>
      <c r="I15" s="3">
        <v>1</v>
      </c>
      <c r="J15" s="3">
        <v>0</v>
      </c>
      <c r="K15" s="3">
        <v>6</v>
      </c>
      <c r="Q15" s="14"/>
      <c r="R15" s="41"/>
      <c r="S15" s="4"/>
    </row>
    <row r="16" spans="2:19" ht="30" customHeight="1">
      <c r="B16" s="6" t="s">
        <v>6</v>
      </c>
      <c r="C16" s="3" t="s">
        <v>586</v>
      </c>
      <c r="D16" s="220" t="s">
        <v>585</v>
      </c>
      <c r="E16" s="221"/>
      <c r="F16" s="221"/>
      <c r="G16" s="222"/>
      <c r="H16" s="3" t="s">
        <v>587</v>
      </c>
      <c r="I16" s="3">
        <v>1</v>
      </c>
      <c r="J16" s="3">
        <v>0</v>
      </c>
      <c r="K16" s="3">
        <v>6</v>
      </c>
      <c r="Q16" s="14"/>
      <c r="R16" s="41"/>
      <c r="S16" s="4"/>
    </row>
    <row r="17" spans="2:19" ht="30" customHeight="1">
      <c r="B17" s="12" t="s">
        <v>10</v>
      </c>
      <c r="C17" s="3" t="s">
        <v>588</v>
      </c>
      <c r="D17" s="220" t="s">
        <v>589</v>
      </c>
      <c r="E17" s="221"/>
      <c r="F17" s="221"/>
      <c r="G17" s="222"/>
      <c r="H17" s="3" t="s">
        <v>590</v>
      </c>
      <c r="I17" s="3">
        <v>1</v>
      </c>
      <c r="J17" s="3">
        <v>13</v>
      </c>
      <c r="K17" s="3">
        <v>4</v>
      </c>
      <c r="Q17" s="14"/>
      <c r="R17" s="41"/>
      <c r="S17" s="4"/>
    </row>
    <row r="18" spans="2:19" ht="30" customHeight="1">
      <c r="B18" s="6" t="s">
        <v>6</v>
      </c>
      <c r="C18" s="3" t="s">
        <v>591</v>
      </c>
      <c r="D18" s="220" t="s">
        <v>592</v>
      </c>
      <c r="E18" s="221"/>
      <c r="F18" s="221"/>
      <c r="G18" s="222"/>
      <c r="H18" s="3" t="s">
        <v>590</v>
      </c>
      <c r="I18" s="3">
        <v>1</v>
      </c>
      <c r="J18" s="3">
        <v>13</v>
      </c>
      <c r="K18" s="3">
        <v>4</v>
      </c>
      <c r="Q18" s="14"/>
      <c r="R18" s="41"/>
      <c r="S18" s="4"/>
    </row>
    <row r="19" spans="2:19" ht="30" customHeight="1">
      <c r="B19" s="12" t="s">
        <v>10</v>
      </c>
      <c r="C19" s="3" t="s">
        <v>12</v>
      </c>
      <c r="D19" s="220" t="s">
        <v>593</v>
      </c>
      <c r="E19" s="221"/>
      <c r="F19" s="221"/>
      <c r="G19" s="222"/>
      <c r="H19" s="3" t="s">
        <v>594</v>
      </c>
      <c r="I19" s="3">
        <v>1</v>
      </c>
      <c r="J19" s="3">
        <v>6</v>
      </c>
      <c r="K19" s="3">
        <v>1</v>
      </c>
      <c r="Q19" s="14"/>
      <c r="R19" s="41"/>
      <c r="S19" s="4"/>
    </row>
    <row r="20" spans="2:19" ht="30" customHeight="1">
      <c r="B20" s="12" t="s">
        <v>10</v>
      </c>
      <c r="C20" s="3" t="s">
        <v>14</v>
      </c>
      <c r="D20" s="220" t="s">
        <v>593</v>
      </c>
      <c r="E20" s="221"/>
      <c r="F20" s="221"/>
      <c r="G20" s="222"/>
      <c r="H20" s="3" t="s">
        <v>595</v>
      </c>
      <c r="I20" s="3">
        <v>1</v>
      </c>
      <c r="J20" s="3">
        <v>6</v>
      </c>
      <c r="K20" s="3">
        <v>1</v>
      </c>
      <c r="Q20" s="14"/>
      <c r="R20" s="41"/>
      <c r="S20" s="4"/>
    </row>
    <row r="21" spans="2:19" ht="30" customHeight="1">
      <c r="B21" s="6" t="s">
        <v>6</v>
      </c>
      <c r="C21" s="3" t="s">
        <v>17</v>
      </c>
      <c r="D21" s="220" t="s">
        <v>596</v>
      </c>
      <c r="E21" s="221"/>
      <c r="F21" s="221"/>
      <c r="G21" s="222"/>
      <c r="H21" s="3" t="s">
        <v>594</v>
      </c>
      <c r="I21" s="3">
        <v>1</v>
      </c>
      <c r="J21" s="3">
        <v>6</v>
      </c>
      <c r="K21" s="3">
        <v>1</v>
      </c>
      <c r="Q21" s="14"/>
      <c r="R21" s="41"/>
      <c r="S21" s="4"/>
    </row>
    <row r="22" spans="2:19" ht="30" customHeight="1">
      <c r="B22" s="6" t="s">
        <v>6</v>
      </c>
      <c r="C22" s="3" t="s">
        <v>18</v>
      </c>
      <c r="D22" s="220" t="s">
        <v>596</v>
      </c>
      <c r="E22" s="221"/>
      <c r="F22" s="221"/>
      <c r="G22" s="222"/>
      <c r="H22" s="3" t="s">
        <v>595</v>
      </c>
      <c r="I22" s="3">
        <v>1</v>
      </c>
      <c r="J22" s="3">
        <v>6</v>
      </c>
      <c r="K22" s="3">
        <v>1</v>
      </c>
      <c r="Q22" s="14"/>
      <c r="R22" s="41"/>
      <c r="S22" s="4"/>
    </row>
    <row r="23" spans="2:19" ht="30" customHeight="1">
      <c r="B23" s="6" t="s">
        <v>10</v>
      </c>
      <c r="C23" s="3" t="s">
        <v>597</v>
      </c>
      <c r="D23" s="220" t="s">
        <v>598</v>
      </c>
      <c r="E23" s="221"/>
      <c r="F23" s="221"/>
      <c r="G23" s="222"/>
      <c r="H23" s="3" t="s">
        <v>599</v>
      </c>
      <c r="I23" s="3">
        <v>2</v>
      </c>
      <c r="J23" s="3">
        <v>5</v>
      </c>
      <c r="K23" s="3">
        <v>1</v>
      </c>
      <c r="Q23" s="14"/>
      <c r="R23" s="41"/>
      <c r="S23" s="4"/>
    </row>
    <row r="24" spans="2:19" ht="30" customHeight="1">
      <c r="B24" s="6" t="s">
        <v>6</v>
      </c>
      <c r="C24" s="3" t="s">
        <v>600</v>
      </c>
      <c r="D24" s="220" t="s">
        <v>601</v>
      </c>
      <c r="E24" s="221"/>
      <c r="F24" s="221"/>
      <c r="G24" s="222"/>
      <c r="H24" s="3" t="s">
        <v>602</v>
      </c>
      <c r="I24" s="3">
        <v>1</v>
      </c>
      <c r="J24" s="3">
        <v>7</v>
      </c>
      <c r="K24" s="3">
        <v>1</v>
      </c>
      <c r="Q24" s="14"/>
      <c r="R24" s="41"/>
      <c r="S24" s="4"/>
    </row>
    <row r="25" spans="2:19" ht="30" customHeight="1">
      <c r="B25" s="6" t="s">
        <v>6</v>
      </c>
      <c r="C25" s="3" t="s">
        <v>603</v>
      </c>
      <c r="D25" s="220" t="s">
        <v>601</v>
      </c>
      <c r="E25" s="221"/>
      <c r="F25" s="221"/>
      <c r="G25" s="222"/>
      <c r="H25" s="3" t="s">
        <v>604</v>
      </c>
      <c r="I25" s="3">
        <v>2</v>
      </c>
      <c r="J25" s="3">
        <v>2</v>
      </c>
      <c r="K25" s="3">
        <v>0</v>
      </c>
      <c r="Q25" s="14"/>
      <c r="R25" s="41"/>
      <c r="S25" s="4"/>
    </row>
    <row r="26" spans="2:19" ht="30" customHeight="1">
      <c r="B26" s="6" t="s">
        <v>6</v>
      </c>
      <c r="C26" s="3" t="s">
        <v>605</v>
      </c>
      <c r="D26" s="220" t="s">
        <v>601</v>
      </c>
      <c r="E26" s="221"/>
      <c r="F26" s="221"/>
      <c r="G26" s="222"/>
      <c r="H26" s="3" t="s">
        <v>604</v>
      </c>
      <c r="I26" s="3">
        <v>2</v>
      </c>
      <c r="J26" s="3">
        <v>2</v>
      </c>
      <c r="K26" s="3">
        <v>0</v>
      </c>
      <c r="L26" s="223"/>
      <c r="M26" s="224"/>
      <c r="N26" s="224"/>
      <c r="O26" s="224"/>
      <c r="P26" s="224"/>
      <c r="Q26" s="224"/>
      <c r="R26" s="4"/>
      <c r="S26" s="4"/>
    </row>
    <row r="27" spans="2:19" ht="30" customHeight="1">
      <c r="B27" s="6" t="s">
        <v>6</v>
      </c>
      <c r="C27" s="3" t="s">
        <v>606</v>
      </c>
      <c r="D27" s="220" t="s">
        <v>601</v>
      </c>
      <c r="E27" s="221"/>
      <c r="F27" s="221"/>
      <c r="G27" s="222"/>
      <c r="H27" s="3" t="s">
        <v>607</v>
      </c>
      <c r="I27" s="3">
        <v>2</v>
      </c>
      <c r="J27" s="3">
        <v>2</v>
      </c>
      <c r="K27" s="3">
        <v>0</v>
      </c>
      <c r="L27" s="223"/>
      <c r="M27" s="224"/>
      <c r="N27" s="224"/>
      <c r="O27" s="224"/>
      <c r="P27" s="224"/>
      <c r="Q27" s="224"/>
      <c r="R27" s="4"/>
      <c r="S27" s="4"/>
    </row>
    <row r="28" spans="2:19" ht="30" customHeight="1">
      <c r="B28" s="6" t="s">
        <v>6</v>
      </c>
      <c r="C28" s="3" t="s">
        <v>608</v>
      </c>
      <c r="D28" s="220" t="s">
        <v>609</v>
      </c>
      <c r="E28" s="221"/>
      <c r="F28" s="221"/>
      <c r="G28" s="222"/>
      <c r="H28" s="3" t="s">
        <v>610</v>
      </c>
      <c r="I28" s="3">
        <v>2</v>
      </c>
      <c r="J28" s="3">
        <v>4</v>
      </c>
      <c r="K28" s="3">
        <v>1</v>
      </c>
      <c r="L28" s="44"/>
      <c r="M28" s="44"/>
      <c r="N28" s="44"/>
      <c r="O28" s="44"/>
      <c r="P28" s="44"/>
      <c r="Q28" s="44"/>
      <c r="R28" s="4"/>
      <c r="S28" s="4"/>
    </row>
    <row r="29" spans="2:19" ht="30" customHeight="1">
      <c r="B29" s="6" t="s">
        <v>49</v>
      </c>
      <c r="C29" s="3" t="s">
        <v>611</v>
      </c>
      <c r="D29" s="220" t="s">
        <v>609</v>
      </c>
      <c r="E29" s="221"/>
      <c r="F29" s="221"/>
      <c r="G29" s="222"/>
      <c r="H29" s="3" t="s">
        <v>612</v>
      </c>
      <c r="I29" s="3">
        <v>2</v>
      </c>
      <c r="J29" s="3">
        <v>4</v>
      </c>
      <c r="K29" s="3">
        <v>1</v>
      </c>
      <c r="L29" s="44"/>
      <c r="M29" s="44"/>
      <c r="N29" s="44"/>
      <c r="O29" s="44"/>
      <c r="P29" s="44"/>
      <c r="Q29" s="44"/>
      <c r="R29" s="4"/>
      <c r="S29" s="4"/>
    </row>
    <row r="30" spans="2:19" ht="30" customHeight="1">
      <c r="B30" s="6" t="s">
        <v>49</v>
      </c>
      <c r="C30" s="3" t="s">
        <v>613</v>
      </c>
      <c r="D30" s="220" t="s">
        <v>601</v>
      </c>
      <c r="E30" s="221"/>
      <c r="F30" s="221"/>
      <c r="G30" s="222"/>
      <c r="H30" s="3" t="s">
        <v>614</v>
      </c>
      <c r="I30" s="3">
        <v>2</v>
      </c>
      <c r="J30" s="3">
        <v>2</v>
      </c>
      <c r="K30" s="3">
        <v>0</v>
      </c>
      <c r="L30" s="44"/>
      <c r="M30" s="44"/>
      <c r="N30" s="44"/>
      <c r="O30" s="44"/>
      <c r="P30" s="44"/>
      <c r="Q30" s="44"/>
      <c r="R30" s="4"/>
      <c r="S30" s="4"/>
    </row>
    <row r="31" spans="2:19" ht="30" customHeight="1">
      <c r="B31" s="6" t="s">
        <v>49</v>
      </c>
      <c r="C31" s="3" t="s">
        <v>615</v>
      </c>
      <c r="D31" s="220" t="s">
        <v>601</v>
      </c>
      <c r="E31" s="221"/>
      <c r="F31" s="221"/>
      <c r="G31" s="222"/>
      <c r="H31" s="3" t="s">
        <v>616</v>
      </c>
      <c r="I31" s="3">
        <v>2</v>
      </c>
      <c r="J31" s="3">
        <v>2</v>
      </c>
      <c r="K31" s="3">
        <v>0</v>
      </c>
      <c r="L31" s="44"/>
      <c r="M31" s="44"/>
      <c r="N31" s="44"/>
      <c r="O31" s="44"/>
      <c r="P31" s="44"/>
      <c r="Q31" s="44"/>
      <c r="R31" s="4"/>
      <c r="S31" s="4"/>
    </row>
    <row r="32" spans="2:19" ht="30" customHeight="1">
      <c r="B32" s="12" t="s">
        <v>10</v>
      </c>
      <c r="C32" s="3" t="s">
        <v>617</v>
      </c>
      <c r="D32" s="220" t="s">
        <v>618</v>
      </c>
      <c r="E32" s="221"/>
      <c r="F32" s="221"/>
      <c r="G32" s="222"/>
      <c r="H32" s="3" t="s">
        <v>619</v>
      </c>
      <c r="I32" s="3">
        <v>1</v>
      </c>
      <c r="J32" s="3">
        <v>3</v>
      </c>
      <c r="K32" s="3">
        <v>2</v>
      </c>
      <c r="Q32" s="14"/>
      <c r="R32" s="41"/>
      <c r="S32" s="4"/>
    </row>
    <row r="33" spans="2:19" ht="30" customHeight="1">
      <c r="B33" s="6" t="s">
        <v>6</v>
      </c>
      <c r="C33" s="3" t="s">
        <v>620</v>
      </c>
      <c r="D33" s="220" t="s">
        <v>621</v>
      </c>
      <c r="E33" s="221"/>
      <c r="F33" s="221"/>
      <c r="G33" s="222"/>
      <c r="H33" s="3" t="s">
        <v>619</v>
      </c>
      <c r="I33" s="3">
        <v>1</v>
      </c>
      <c r="J33" s="3">
        <v>3</v>
      </c>
      <c r="K33" s="3">
        <v>2</v>
      </c>
      <c r="Q33" s="14"/>
      <c r="R33" s="41"/>
      <c r="S33" s="4"/>
    </row>
    <row r="34" spans="2:19" ht="30" customHeight="1">
      <c r="B34" s="12" t="s">
        <v>10</v>
      </c>
      <c r="C34" s="3" t="s">
        <v>622</v>
      </c>
      <c r="D34" s="220" t="s">
        <v>623</v>
      </c>
      <c r="E34" s="221"/>
      <c r="F34" s="221"/>
      <c r="G34" s="222"/>
      <c r="H34" s="3" t="s">
        <v>590</v>
      </c>
      <c r="I34" s="3">
        <v>1</v>
      </c>
      <c r="J34" s="3">
        <v>7</v>
      </c>
      <c r="K34" s="3">
        <v>8</v>
      </c>
      <c r="Q34" s="14"/>
      <c r="R34" s="41"/>
      <c r="S34" s="4"/>
    </row>
    <row r="35" spans="2:19" ht="30" customHeight="1">
      <c r="B35" s="6" t="s">
        <v>6</v>
      </c>
      <c r="C35" s="3" t="s">
        <v>624</v>
      </c>
      <c r="D35" s="220" t="s">
        <v>625</v>
      </c>
      <c r="E35" s="221"/>
      <c r="F35" s="221"/>
      <c r="G35" s="222"/>
      <c r="H35" s="3" t="s">
        <v>590</v>
      </c>
      <c r="I35" s="3">
        <v>1</v>
      </c>
      <c r="J35" s="3">
        <v>7</v>
      </c>
      <c r="K35" s="3">
        <v>8</v>
      </c>
      <c r="Q35" s="14"/>
      <c r="R35" s="41"/>
      <c r="S35" s="4"/>
    </row>
    <row r="36" spans="2:19" ht="30" customHeight="1">
      <c r="B36" s="12" t="s">
        <v>10</v>
      </c>
      <c r="C36" s="3" t="s">
        <v>626</v>
      </c>
      <c r="D36" s="220" t="s">
        <v>627</v>
      </c>
      <c r="E36" s="221"/>
      <c r="F36" s="221"/>
      <c r="G36" s="222"/>
      <c r="H36" s="3" t="s">
        <v>590</v>
      </c>
      <c r="I36" s="3">
        <v>1</v>
      </c>
      <c r="J36" s="3">
        <v>7</v>
      </c>
      <c r="K36" s="3">
        <v>8</v>
      </c>
      <c r="Q36" s="14"/>
      <c r="R36" s="41"/>
      <c r="S36" s="4"/>
    </row>
    <row r="37" spans="2:19" ht="30" customHeight="1">
      <c r="B37" s="6" t="s">
        <v>6</v>
      </c>
      <c r="C37" s="7" t="s">
        <v>628</v>
      </c>
      <c r="D37" s="220" t="s">
        <v>629</v>
      </c>
      <c r="E37" s="221"/>
      <c r="F37" s="221"/>
      <c r="G37" s="222"/>
      <c r="H37" s="3" t="s">
        <v>590</v>
      </c>
      <c r="I37" s="3">
        <v>1</v>
      </c>
      <c r="J37" s="3">
        <v>7</v>
      </c>
      <c r="K37" s="3">
        <v>8</v>
      </c>
      <c r="Q37" s="14"/>
      <c r="R37" s="41"/>
      <c r="S37" s="4"/>
    </row>
    <row r="38" spans="2:19" ht="30" customHeight="1">
      <c r="B38" s="6" t="s">
        <v>6</v>
      </c>
      <c r="C38" s="7" t="s">
        <v>630</v>
      </c>
      <c r="D38" s="220" t="s">
        <v>631</v>
      </c>
      <c r="E38" s="221"/>
      <c r="F38" s="221"/>
      <c r="G38" s="222"/>
      <c r="H38" s="3" t="s">
        <v>590</v>
      </c>
      <c r="I38" s="3">
        <v>1</v>
      </c>
      <c r="J38" s="3">
        <v>13</v>
      </c>
      <c r="K38" s="3">
        <v>4</v>
      </c>
      <c r="L38" s="14"/>
      <c r="M38" s="14"/>
      <c r="N38" s="14"/>
      <c r="O38" s="14"/>
      <c r="P38" s="14"/>
      <c r="Q38" s="41"/>
      <c r="R38" s="4"/>
      <c r="S38" s="4"/>
    </row>
    <row r="39" spans="2:19" ht="30" customHeight="1">
      <c r="B39" s="12"/>
      <c r="C39" s="3" t="s">
        <v>632</v>
      </c>
      <c r="D39" s="220" t="s">
        <v>633</v>
      </c>
      <c r="E39" s="221"/>
      <c r="F39" s="221"/>
      <c r="G39" s="222"/>
      <c r="H39" s="3" t="s">
        <v>634</v>
      </c>
      <c r="I39" s="3">
        <v>1</v>
      </c>
      <c r="J39" s="3">
        <v>3</v>
      </c>
      <c r="K39" s="3">
        <v>2</v>
      </c>
      <c r="Q39" s="14"/>
      <c r="R39" s="41"/>
      <c r="S39" s="4"/>
    </row>
    <row r="40" spans="2:19" ht="30" customHeight="1">
      <c r="B40" s="12" t="s">
        <v>10</v>
      </c>
      <c r="C40" s="3" t="s">
        <v>635</v>
      </c>
      <c r="D40" s="220" t="s">
        <v>636</v>
      </c>
      <c r="E40" s="221"/>
      <c r="F40" s="221"/>
      <c r="G40" s="222"/>
      <c r="H40" s="3" t="s">
        <v>637</v>
      </c>
      <c r="I40" s="3">
        <v>1</v>
      </c>
      <c r="J40" s="3">
        <v>7</v>
      </c>
      <c r="K40" s="3">
        <v>8</v>
      </c>
      <c r="Q40" s="14"/>
      <c r="R40" s="41"/>
      <c r="S40" s="4"/>
    </row>
    <row r="41" spans="2:19" ht="30" customHeight="1">
      <c r="B41" s="6" t="s">
        <v>6</v>
      </c>
      <c r="C41" s="3" t="s">
        <v>638</v>
      </c>
      <c r="D41" s="220" t="s">
        <v>639</v>
      </c>
      <c r="E41" s="221"/>
      <c r="F41" s="221"/>
      <c r="G41" s="222"/>
      <c r="H41" s="3" t="s">
        <v>637</v>
      </c>
      <c r="I41" s="3">
        <v>1</v>
      </c>
      <c r="J41" s="3">
        <v>7</v>
      </c>
      <c r="K41" s="3">
        <v>8</v>
      </c>
      <c r="Q41" s="14"/>
      <c r="R41" s="41"/>
      <c r="S41" s="4"/>
    </row>
    <row r="42" spans="2:19" ht="30" customHeight="1">
      <c r="B42" s="6" t="s">
        <v>6</v>
      </c>
      <c r="C42" s="3" t="s">
        <v>640</v>
      </c>
      <c r="D42" s="220" t="s">
        <v>639</v>
      </c>
      <c r="E42" s="221"/>
      <c r="F42" s="221"/>
      <c r="G42" s="222"/>
      <c r="H42" s="3" t="s">
        <v>641</v>
      </c>
      <c r="I42" s="3">
        <v>1</v>
      </c>
      <c r="J42" s="3">
        <v>7</v>
      </c>
      <c r="K42" s="3">
        <v>8</v>
      </c>
      <c r="Q42" s="14"/>
      <c r="R42" s="41"/>
      <c r="S42" s="4"/>
    </row>
    <row r="43" spans="2:19" ht="30" customHeight="1">
      <c r="B43" s="6" t="s">
        <v>6</v>
      </c>
      <c r="C43" s="3" t="s">
        <v>642</v>
      </c>
      <c r="D43" s="220" t="s">
        <v>566</v>
      </c>
      <c r="E43" s="221"/>
      <c r="F43" s="221"/>
      <c r="G43" s="222"/>
      <c r="H43" s="2" t="s">
        <v>643</v>
      </c>
      <c r="I43" s="3">
        <v>1</v>
      </c>
      <c r="J43" s="3">
        <v>0</v>
      </c>
      <c r="K43" s="3">
        <v>16</v>
      </c>
      <c r="Q43" s="14"/>
      <c r="R43" s="41"/>
      <c r="S43" s="4"/>
    </row>
    <row r="44" spans="2:19" ht="30" customHeight="1">
      <c r="B44" s="12"/>
      <c r="C44" s="3" t="s">
        <v>644</v>
      </c>
      <c r="D44" s="220" t="s">
        <v>645</v>
      </c>
      <c r="E44" s="221"/>
      <c r="F44" s="221"/>
      <c r="G44" s="222"/>
      <c r="H44" s="3" t="s">
        <v>646</v>
      </c>
      <c r="I44" s="3"/>
      <c r="J44" s="3"/>
      <c r="K44" s="3"/>
      <c r="Q44" s="14"/>
      <c r="R44" s="41"/>
      <c r="S44" s="4"/>
    </row>
    <row r="45" spans="2:19" ht="30" customHeight="1">
      <c r="B45" s="6" t="s">
        <v>6</v>
      </c>
      <c r="C45" s="3" t="s">
        <v>647</v>
      </c>
      <c r="D45" s="220" t="s">
        <v>648</v>
      </c>
      <c r="E45" s="221"/>
      <c r="F45" s="221"/>
      <c r="G45" s="222"/>
      <c r="H45" s="3"/>
      <c r="I45" s="3">
        <v>3</v>
      </c>
      <c r="J45" s="3">
        <v>31</v>
      </c>
      <c r="K45" s="3">
        <v>33</v>
      </c>
      <c r="Q45" s="14"/>
      <c r="R45" s="41"/>
      <c r="S45" s="4"/>
    </row>
    <row r="46" spans="2:19" ht="30" customHeight="1">
      <c r="B46" s="6" t="s">
        <v>6</v>
      </c>
      <c r="C46" s="3" t="s">
        <v>649</v>
      </c>
      <c r="D46" s="220" t="s">
        <v>650</v>
      </c>
      <c r="E46" s="221"/>
      <c r="F46" s="221"/>
      <c r="G46" s="222"/>
      <c r="H46" s="3"/>
      <c r="I46" s="3">
        <v>3</v>
      </c>
      <c r="J46" s="3">
        <v>40</v>
      </c>
      <c r="K46" s="3">
        <v>24</v>
      </c>
      <c r="L46" s="40"/>
      <c r="M46" s="40"/>
      <c r="N46" s="40"/>
      <c r="O46" s="40"/>
      <c r="P46" s="40"/>
      <c r="Q46" s="14"/>
      <c r="R46" s="41"/>
      <c r="S46" s="4"/>
    </row>
    <row r="47" spans="2:19" ht="30" customHeight="1">
      <c r="B47" s="6" t="s">
        <v>47</v>
      </c>
      <c r="C47" s="3" t="s">
        <v>651</v>
      </c>
      <c r="D47" s="220" t="s">
        <v>652</v>
      </c>
      <c r="E47" s="221"/>
      <c r="F47" s="221"/>
      <c r="G47" s="222"/>
      <c r="H47" s="3"/>
      <c r="I47" s="3">
        <v>3</v>
      </c>
      <c r="J47" s="3">
        <v>48</v>
      </c>
      <c r="K47" s="3">
        <v>40</v>
      </c>
      <c r="Q47" s="14"/>
      <c r="R47" s="41"/>
      <c r="S47" s="4"/>
    </row>
    <row r="48" spans="2:19" ht="30" customHeight="1">
      <c r="B48" s="6" t="s">
        <v>6</v>
      </c>
      <c r="C48" s="3" t="s">
        <v>653</v>
      </c>
      <c r="D48" s="220" t="s">
        <v>654</v>
      </c>
      <c r="E48" s="221"/>
      <c r="F48" s="221"/>
      <c r="G48" s="222"/>
      <c r="H48" s="2" t="s">
        <v>655</v>
      </c>
      <c r="I48" s="3"/>
      <c r="J48" s="3"/>
      <c r="K48" s="3"/>
      <c r="Q48" s="14"/>
      <c r="R48" s="41"/>
      <c r="S48" s="4"/>
    </row>
    <row r="49" spans="2:25" ht="24" customHeight="1" thickBot="1">
      <c r="C49" s="1" t="s">
        <v>656</v>
      </c>
    </row>
    <row r="50" spans="2:25" ht="56.25" customHeight="1" thickBot="1">
      <c r="C50" s="230" t="s">
        <v>657</v>
      </c>
      <c r="D50" s="231"/>
      <c r="E50" s="231"/>
      <c r="F50" s="231"/>
      <c r="G50" s="231"/>
      <c r="H50" s="231"/>
      <c r="I50" s="231"/>
      <c r="J50" s="231"/>
      <c r="K50" s="232"/>
    </row>
    <row r="51" spans="2:25" ht="24" customHeight="1">
      <c r="C51" s="5"/>
    </row>
    <row r="52" spans="2:25" ht="24" customHeight="1">
      <c r="D52" s="5" t="s">
        <v>0</v>
      </c>
      <c r="E52" s="5"/>
      <c r="F52" s="5"/>
      <c r="G52" s="5"/>
      <c r="K52" s="1"/>
    </row>
    <row r="53" spans="2:25" ht="30" customHeight="1">
      <c r="B53" s="13" t="s">
        <v>1</v>
      </c>
      <c r="C53" s="2" t="s">
        <v>2</v>
      </c>
      <c r="D53" s="2" t="s">
        <v>3</v>
      </c>
      <c r="E53" s="8" t="s">
        <v>253</v>
      </c>
      <c r="F53" s="8" t="s">
        <v>4</v>
      </c>
      <c r="G53" s="8" t="s">
        <v>252</v>
      </c>
      <c r="H53" s="2" t="s">
        <v>254</v>
      </c>
      <c r="I53" s="2" t="s">
        <v>255</v>
      </c>
      <c r="J53" s="2" t="s">
        <v>256</v>
      </c>
      <c r="K53" s="2" t="s">
        <v>5</v>
      </c>
      <c r="L53" s="10" t="s">
        <v>658</v>
      </c>
      <c r="M53" s="10" t="s">
        <v>659</v>
      </c>
      <c r="N53" s="10" t="s">
        <v>660</v>
      </c>
      <c r="O53" s="10" t="s">
        <v>661</v>
      </c>
      <c r="P53" s="10" t="s">
        <v>257</v>
      </c>
      <c r="Q53" s="2" t="s">
        <v>258</v>
      </c>
      <c r="R53" s="6" t="s">
        <v>259</v>
      </c>
      <c r="T53" s="1"/>
    </row>
    <row r="54" spans="2:25" ht="30" customHeight="1">
      <c r="B54" s="20" t="s">
        <v>6</v>
      </c>
      <c r="C54" s="51" t="s">
        <v>7</v>
      </c>
      <c r="D54" s="22" t="s">
        <v>8</v>
      </c>
      <c r="E54" s="22"/>
      <c r="F54" s="22"/>
      <c r="G54" s="22"/>
      <c r="H54" s="22" t="s">
        <v>260</v>
      </c>
      <c r="I54" s="22" t="s">
        <v>47</v>
      </c>
      <c r="J54" s="22" t="s">
        <v>47</v>
      </c>
      <c r="K54" s="2"/>
      <c r="L54" s="2"/>
      <c r="M54" s="2"/>
      <c r="N54" s="2"/>
      <c r="O54" s="2"/>
      <c r="P54" s="2"/>
      <c r="Q54" s="2" t="s">
        <v>47</v>
      </c>
      <c r="R54" s="6"/>
      <c r="T54" s="1"/>
    </row>
    <row r="55" spans="2:25" ht="24.95" customHeight="1">
      <c r="B55" s="20" t="s">
        <v>10</v>
      </c>
      <c r="C55" s="225" t="s">
        <v>11</v>
      </c>
      <c r="D55" s="22" t="s">
        <v>12</v>
      </c>
      <c r="E55" s="23">
        <v>1.7</v>
      </c>
      <c r="F55" s="22"/>
      <c r="G55" s="22"/>
      <c r="H55" s="22" t="s">
        <v>47</v>
      </c>
      <c r="I55" s="22" t="s">
        <v>47</v>
      </c>
      <c r="J55" s="22" t="s">
        <v>47</v>
      </c>
      <c r="K55" s="22" t="s">
        <v>13</v>
      </c>
      <c r="L55" s="23"/>
      <c r="M55" s="23"/>
      <c r="N55" s="23"/>
      <c r="O55" s="23"/>
      <c r="P55" s="23"/>
      <c r="Q55" s="24">
        <v>1.7</v>
      </c>
      <c r="R55" s="42"/>
      <c r="T55" s="14"/>
      <c r="U55" s="14"/>
      <c r="V55" s="14"/>
      <c r="W55" s="14"/>
      <c r="X55" s="14"/>
      <c r="Y55" s="14"/>
    </row>
    <row r="56" spans="2:25" ht="24.95" customHeight="1">
      <c r="B56" s="20" t="s">
        <v>10</v>
      </c>
      <c r="C56" s="226"/>
      <c r="D56" s="22" t="s">
        <v>14</v>
      </c>
      <c r="E56" s="23">
        <v>1.7</v>
      </c>
      <c r="F56" s="22"/>
      <c r="G56" s="22"/>
      <c r="H56" s="22" t="s">
        <v>47</v>
      </c>
      <c r="I56" s="22" t="s">
        <v>47</v>
      </c>
      <c r="J56" s="22" t="s">
        <v>47</v>
      </c>
      <c r="K56" s="22" t="s">
        <v>16</v>
      </c>
      <c r="L56" s="23"/>
      <c r="M56" s="23"/>
      <c r="N56" s="23"/>
      <c r="O56" s="23"/>
      <c r="P56" s="23"/>
      <c r="Q56" s="24">
        <v>1.4</v>
      </c>
      <c r="R56" s="42"/>
      <c r="T56" s="14"/>
      <c r="U56" s="14"/>
      <c r="V56" s="14"/>
      <c r="W56" s="14"/>
      <c r="X56" s="14"/>
      <c r="Y56" s="14"/>
    </row>
    <row r="57" spans="2:25" ht="24.95" customHeight="1">
      <c r="B57" s="20" t="s">
        <v>10</v>
      </c>
      <c r="C57" s="226"/>
      <c r="D57" s="22" t="s">
        <v>17</v>
      </c>
      <c r="E57" s="23">
        <v>1.33</v>
      </c>
      <c r="F57" s="22"/>
      <c r="G57" s="22"/>
      <c r="H57" s="22" t="s">
        <v>47</v>
      </c>
      <c r="I57" s="22" t="s">
        <v>47</v>
      </c>
      <c r="J57" s="22" t="s">
        <v>47</v>
      </c>
      <c r="K57" s="22" t="s">
        <v>13</v>
      </c>
      <c r="L57" s="23"/>
      <c r="M57" s="23"/>
      <c r="N57" s="23"/>
      <c r="O57" s="23"/>
      <c r="P57" s="23"/>
      <c r="Q57" s="24">
        <v>1.33</v>
      </c>
      <c r="R57" s="42"/>
      <c r="T57" s="14"/>
      <c r="U57" s="14"/>
      <c r="V57" s="14"/>
      <c r="W57" s="14"/>
      <c r="X57" s="14"/>
      <c r="Y57" s="14"/>
    </row>
    <row r="58" spans="2:25" ht="24.95" customHeight="1">
      <c r="B58" s="20" t="s">
        <v>10</v>
      </c>
      <c r="C58" s="226"/>
      <c r="D58" s="22" t="s">
        <v>18</v>
      </c>
      <c r="E58" s="23">
        <v>1.33</v>
      </c>
      <c r="F58" s="22"/>
      <c r="G58" s="22"/>
      <c r="H58" s="22" t="s">
        <v>47</v>
      </c>
      <c r="I58" s="22" t="s">
        <v>47</v>
      </c>
      <c r="J58" s="22" t="s">
        <v>47</v>
      </c>
      <c r="K58" s="22" t="s">
        <v>16</v>
      </c>
      <c r="L58" s="23"/>
      <c r="M58" s="23"/>
      <c r="N58" s="23"/>
      <c r="O58" s="23"/>
      <c r="P58" s="23"/>
      <c r="Q58" s="24">
        <v>1.33</v>
      </c>
      <c r="R58" s="42"/>
      <c r="T58" s="14"/>
      <c r="U58" s="14"/>
      <c r="V58" s="14"/>
      <c r="W58" s="14"/>
      <c r="X58" s="14"/>
      <c r="Y58" s="14"/>
    </row>
    <row r="59" spans="2:25" ht="24.95" customHeight="1">
      <c r="B59" s="20" t="s">
        <v>6</v>
      </c>
      <c r="C59" s="226"/>
      <c r="D59" s="22" t="s">
        <v>19</v>
      </c>
      <c r="E59" s="23">
        <v>1.65</v>
      </c>
      <c r="F59" s="22"/>
      <c r="G59" s="22"/>
      <c r="H59" s="22" t="s">
        <v>47</v>
      </c>
      <c r="I59" s="22" t="s">
        <v>47</v>
      </c>
      <c r="J59" s="22" t="s">
        <v>47</v>
      </c>
      <c r="K59" s="22" t="s">
        <v>20</v>
      </c>
      <c r="L59" s="23"/>
      <c r="M59" s="23"/>
      <c r="N59" s="23"/>
      <c r="O59" s="23"/>
      <c r="P59" s="23"/>
      <c r="Q59" s="24">
        <v>1.5</v>
      </c>
      <c r="R59" s="42"/>
      <c r="T59" s="14"/>
      <c r="U59" s="14"/>
      <c r="V59" s="14"/>
      <c r="W59" s="14"/>
      <c r="X59" s="14"/>
      <c r="Y59" s="14"/>
    </row>
    <row r="60" spans="2:25" ht="24.95" customHeight="1">
      <c r="B60" s="20" t="s">
        <v>6</v>
      </c>
      <c r="C60" s="226"/>
      <c r="D60" s="22" t="s">
        <v>21</v>
      </c>
      <c r="E60" s="23">
        <v>1.65</v>
      </c>
      <c r="F60" s="22"/>
      <c r="G60" s="22"/>
      <c r="H60" s="22" t="s">
        <v>47</v>
      </c>
      <c r="I60" s="22" t="s">
        <v>47</v>
      </c>
      <c r="J60" s="22" t="s">
        <v>47</v>
      </c>
      <c r="K60" s="22" t="s">
        <v>22</v>
      </c>
      <c r="L60" s="23"/>
      <c r="M60" s="23"/>
      <c r="N60" s="23"/>
      <c r="O60" s="23"/>
      <c r="P60" s="23"/>
      <c r="Q60" s="24">
        <v>1.5</v>
      </c>
      <c r="R60" s="42"/>
      <c r="T60" s="14"/>
      <c r="U60" s="14"/>
      <c r="V60" s="14"/>
      <c r="W60" s="14"/>
      <c r="X60" s="14"/>
      <c r="Y60" s="14"/>
    </row>
    <row r="61" spans="2:25" ht="24.95" customHeight="1">
      <c r="B61" s="20" t="s">
        <v>6</v>
      </c>
      <c r="C61" s="226"/>
      <c r="D61" s="22" t="s">
        <v>23</v>
      </c>
      <c r="E61" s="23">
        <v>1.65</v>
      </c>
      <c r="F61" s="22"/>
      <c r="G61" s="22"/>
      <c r="H61" s="22" t="s">
        <v>47</v>
      </c>
      <c r="I61" s="22" t="s">
        <v>47</v>
      </c>
      <c r="J61" s="22" t="s">
        <v>47</v>
      </c>
      <c r="K61" s="22" t="s">
        <v>24</v>
      </c>
      <c r="L61" s="23"/>
      <c r="M61" s="23"/>
      <c r="N61" s="23"/>
      <c r="O61" s="23"/>
      <c r="P61" s="23"/>
      <c r="Q61" s="24">
        <v>1.5</v>
      </c>
      <c r="R61" s="42"/>
      <c r="T61" s="14"/>
      <c r="U61" s="14"/>
      <c r="V61" s="14"/>
      <c r="W61" s="14"/>
      <c r="X61" s="14"/>
      <c r="Y61" s="14"/>
    </row>
    <row r="62" spans="2:25" ht="24.95" customHeight="1">
      <c r="B62" s="20" t="s">
        <v>6</v>
      </c>
      <c r="C62" s="227"/>
      <c r="D62" s="22" t="s">
        <v>25</v>
      </c>
      <c r="E62" s="23">
        <v>1</v>
      </c>
      <c r="F62" s="22"/>
      <c r="G62" s="22"/>
      <c r="H62" s="22" t="s">
        <v>47</v>
      </c>
      <c r="I62" s="22"/>
      <c r="J62" s="25"/>
      <c r="K62" s="22" t="s">
        <v>26</v>
      </c>
      <c r="L62" s="23"/>
      <c r="M62" s="23"/>
      <c r="N62" s="23"/>
      <c r="O62" s="23"/>
      <c r="P62" s="23"/>
      <c r="Q62" s="24"/>
      <c r="R62" s="42"/>
      <c r="T62" s="14"/>
      <c r="U62" s="14"/>
      <c r="V62" s="14"/>
      <c r="W62" s="14"/>
      <c r="X62" s="14"/>
      <c r="Y62" s="14"/>
    </row>
    <row r="63" spans="2:25" ht="24.95" customHeight="1">
      <c r="B63" s="20" t="s">
        <v>10</v>
      </c>
      <c r="C63" s="225" t="s">
        <v>27</v>
      </c>
      <c r="D63" s="73" t="s">
        <v>28</v>
      </c>
      <c r="E63" s="22" t="s">
        <v>263</v>
      </c>
      <c r="F63" s="83">
        <v>55511</v>
      </c>
      <c r="G63" s="83">
        <v>9</v>
      </c>
      <c r="H63" s="22" t="s">
        <v>271</v>
      </c>
      <c r="I63" s="22" t="s">
        <v>662</v>
      </c>
      <c r="J63" s="22" t="s">
        <v>663</v>
      </c>
      <c r="K63" s="22" t="s">
        <v>29</v>
      </c>
      <c r="L63" s="81" t="s">
        <v>664</v>
      </c>
      <c r="M63" s="81"/>
      <c r="N63" s="81"/>
      <c r="O63" s="81"/>
      <c r="P63" s="81" t="s">
        <v>187</v>
      </c>
      <c r="Q63" s="24">
        <v>1.06</v>
      </c>
      <c r="R63" s="233"/>
      <c r="T63" s="14"/>
      <c r="U63" s="14"/>
      <c r="V63" s="14"/>
      <c r="W63" s="14"/>
      <c r="X63" s="14"/>
      <c r="Y63" s="14"/>
    </row>
    <row r="64" spans="2:25" ht="24.95" customHeight="1">
      <c r="B64" s="20" t="s">
        <v>10</v>
      </c>
      <c r="C64" s="226"/>
      <c r="D64" s="74" t="s">
        <v>30</v>
      </c>
      <c r="E64" s="26" t="s">
        <v>264</v>
      </c>
      <c r="F64" s="84">
        <v>55511</v>
      </c>
      <c r="G64" s="84">
        <v>4</v>
      </c>
      <c r="H64" s="22" t="s">
        <v>276</v>
      </c>
      <c r="I64" s="22" t="s">
        <v>47</v>
      </c>
      <c r="J64" s="27" t="s">
        <v>665</v>
      </c>
      <c r="K64" s="22" t="s">
        <v>31</v>
      </c>
      <c r="L64" s="81" t="s">
        <v>666</v>
      </c>
      <c r="M64" s="81"/>
      <c r="N64" s="81"/>
      <c r="O64" s="81"/>
      <c r="P64" s="81" t="s">
        <v>321</v>
      </c>
      <c r="Q64" s="24">
        <v>2.0099999999999998</v>
      </c>
      <c r="R64" s="233"/>
      <c r="T64" s="14"/>
      <c r="U64" s="14"/>
      <c r="V64" s="14"/>
      <c r="W64" s="14"/>
      <c r="X64" s="14"/>
      <c r="Y64" s="14"/>
    </row>
    <row r="65" spans="2:25" ht="24.95" customHeight="1">
      <c r="B65" s="20" t="s">
        <v>10</v>
      </c>
      <c r="C65" s="226"/>
      <c r="D65" s="74" t="s">
        <v>32</v>
      </c>
      <c r="E65" s="26" t="s">
        <v>265</v>
      </c>
      <c r="F65" s="84">
        <v>55511</v>
      </c>
      <c r="G65" s="84">
        <v>5</v>
      </c>
      <c r="H65" s="22" t="s">
        <v>276</v>
      </c>
      <c r="I65" s="22" t="s">
        <v>47</v>
      </c>
      <c r="J65" s="27"/>
      <c r="K65" s="22" t="s">
        <v>33</v>
      </c>
      <c r="L65" s="81" t="s">
        <v>667</v>
      </c>
      <c r="M65" s="81"/>
      <c r="N65" s="81"/>
      <c r="O65" s="81"/>
      <c r="P65" s="81" t="s">
        <v>668</v>
      </c>
      <c r="Q65" s="24">
        <v>3.11</v>
      </c>
      <c r="R65" s="233"/>
      <c r="T65" s="14"/>
      <c r="U65" s="14"/>
      <c r="V65" s="15"/>
      <c r="W65" s="14"/>
      <c r="X65" s="14"/>
      <c r="Y65" s="14"/>
    </row>
    <row r="66" spans="2:25" ht="24.95" customHeight="1">
      <c r="B66" s="20" t="s">
        <v>6</v>
      </c>
      <c r="C66" s="227"/>
      <c r="D66" s="74" t="s">
        <v>34</v>
      </c>
      <c r="E66" s="26" t="s">
        <v>266</v>
      </c>
      <c r="F66" s="84">
        <v>55511</v>
      </c>
      <c r="G66" s="84">
        <v>4</v>
      </c>
      <c r="H66" s="22" t="s">
        <v>276</v>
      </c>
      <c r="I66" s="22" t="s">
        <v>47</v>
      </c>
      <c r="J66" s="22" t="s">
        <v>47</v>
      </c>
      <c r="K66" s="22" t="s">
        <v>35</v>
      </c>
      <c r="L66" s="81" t="s">
        <v>669</v>
      </c>
      <c r="M66" s="81"/>
      <c r="N66" s="81"/>
      <c r="O66" s="81"/>
      <c r="P66" s="81" t="s">
        <v>35</v>
      </c>
      <c r="Q66" s="24">
        <v>4.0199999999999996</v>
      </c>
      <c r="R66" s="234"/>
      <c r="T66" s="14"/>
      <c r="U66" s="14"/>
      <c r="V66" s="15"/>
      <c r="W66" s="14"/>
      <c r="X66" s="14"/>
      <c r="Y66" s="14"/>
    </row>
    <row r="67" spans="2:25" s="18" customFormat="1" ht="24.95" customHeight="1">
      <c r="B67" s="20" t="s">
        <v>10</v>
      </c>
      <c r="C67" s="225" t="s">
        <v>36</v>
      </c>
      <c r="D67" s="73" t="s">
        <v>37</v>
      </c>
      <c r="E67" s="22" t="s">
        <v>268</v>
      </c>
      <c r="F67" s="84">
        <v>55511</v>
      </c>
      <c r="G67" s="84">
        <v>7</v>
      </c>
      <c r="H67" s="22" t="s">
        <v>276</v>
      </c>
      <c r="I67" s="22"/>
      <c r="J67" s="25"/>
      <c r="K67" s="22" t="s">
        <v>38</v>
      </c>
      <c r="L67" s="81" t="s">
        <v>670</v>
      </c>
      <c r="M67" s="81"/>
      <c r="N67" s="81"/>
      <c r="O67" s="81"/>
      <c r="P67" s="81" t="s">
        <v>187</v>
      </c>
      <c r="Q67" s="23">
        <v>1.1200000000000001</v>
      </c>
      <c r="R67" s="228"/>
      <c r="S67" s="14"/>
      <c r="T67" s="14"/>
      <c r="U67" s="14"/>
      <c r="V67" s="14"/>
      <c r="W67" s="14"/>
      <c r="X67" s="14"/>
      <c r="Y67" s="14"/>
    </row>
    <row r="68" spans="2:25" s="18" customFormat="1" ht="24.95" customHeight="1">
      <c r="B68" s="20" t="s">
        <v>10</v>
      </c>
      <c r="C68" s="226"/>
      <c r="D68" s="73" t="s">
        <v>39</v>
      </c>
      <c r="E68" s="22" t="s">
        <v>264</v>
      </c>
      <c r="F68" s="84">
        <v>61087</v>
      </c>
      <c r="G68" s="84">
        <v>8</v>
      </c>
      <c r="H68" s="22" t="s">
        <v>276</v>
      </c>
      <c r="I68" s="22"/>
      <c r="J68" s="25"/>
      <c r="K68" s="22" t="s">
        <v>40</v>
      </c>
      <c r="L68" s="81" t="s">
        <v>671</v>
      </c>
      <c r="M68" s="81"/>
      <c r="N68" s="81"/>
      <c r="O68" s="81"/>
      <c r="P68" s="81" t="s">
        <v>672</v>
      </c>
      <c r="Q68" s="23" t="s">
        <v>47</v>
      </c>
      <c r="R68" s="229"/>
      <c r="S68" s="14"/>
      <c r="T68" s="14"/>
      <c r="U68" s="14"/>
      <c r="V68" s="14"/>
      <c r="W68" s="14"/>
      <c r="X68" s="14"/>
      <c r="Y68" s="14"/>
    </row>
    <row r="69" spans="2:25" s="18" customFormat="1" ht="24.95" customHeight="1">
      <c r="B69" s="20" t="s">
        <v>6</v>
      </c>
      <c r="C69" s="227"/>
      <c r="D69" s="73" t="s">
        <v>41</v>
      </c>
      <c r="E69" s="22" t="s">
        <v>673</v>
      </c>
      <c r="F69" s="84">
        <v>61591</v>
      </c>
      <c r="G69" s="84">
        <v>0</v>
      </c>
      <c r="H69" s="22" t="s">
        <v>276</v>
      </c>
      <c r="I69" s="22"/>
      <c r="J69" s="25"/>
      <c r="K69" s="22" t="s">
        <v>42</v>
      </c>
      <c r="L69" s="81" t="s">
        <v>674</v>
      </c>
      <c r="M69" s="81"/>
      <c r="N69" s="81"/>
      <c r="O69" s="81"/>
      <c r="P69" s="22" t="s">
        <v>42</v>
      </c>
      <c r="Q69" s="23" t="s">
        <v>47</v>
      </c>
      <c r="R69" s="81"/>
      <c r="S69" s="14"/>
      <c r="T69" s="14"/>
      <c r="U69" s="14"/>
      <c r="V69" s="14"/>
      <c r="W69" s="14"/>
      <c r="X69" s="14"/>
      <c r="Y69" s="14"/>
    </row>
    <row r="70" spans="2:25" ht="24.95" customHeight="1">
      <c r="B70" s="20" t="s">
        <v>10</v>
      </c>
      <c r="C70" s="73" t="s">
        <v>43</v>
      </c>
      <c r="D70" s="73" t="s">
        <v>44</v>
      </c>
      <c r="E70" s="22" t="s">
        <v>270</v>
      </c>
      <c r="F70" s="84">
        <v>43589</v>
      </c>
      <c r="G70" s="84">
        <v>5</v>
      </c>
      <c r="H70" s="22" t="s">
        <v>271</v>
      </c>
      <c r="I70" s="22" t="s">
        <v>272</v>
      </c>
      <c r="J70" s="25" t="s">
        <v>273</v>
      </c>
      <c r="K70" s="22" t="s">
        <v>29</v>
      </c>
      <c r="L70" s="85" t="s">
        <v>675</v>
      </c>
      <c r="M70" s="85"/>
      <c r="N70" s="85"/>
      <c r="O70" s="85"/>
      <c r="P70" s="85" t="s">
        <v>187</v>
      </c>
      <c r="Q70" s="24">
        <v>1.04</v>
      </c>
      <c r="R70" s="75"/>
      <c r="T70" s="14"/>
      <c r="U70" s="14"/>
      <c r="V70" s="14"/>
      <c r="W70" s="14"/>
      <c r="X70" s="14"/>
      <c r="Y70" s="14"/>
    </row>
    <row r="71" spans="2:25" ht="24.95" customHeight="1">
      <c r="B71" s="20" t="s">
        <v>6</v>
      </c>
      <c r="C71" s="225" t="s">
        <v>45</v>
      </c>
      <c r="D71" s="225" t="s">
        <v>46</v>
      </c>
      <c r="E71" s="22" t="s">
        <v>275</v>
      </c>
      <c r="F71" s="84">
        <v>46655</v>
      </c>
      <c r="G71" s="84">
        <v>1</v>
      </c>
      <c r="H71" s="22" t="s">
        <v>276</v>
      </c>
      <c r="I71" s="22" t="s">
        <v>277</v>
      </c>
      <c r="J71" s="25" t="s">
        <v>278</v>
      </c>
      <c r="K71" s="22" t="s">
        <v>29</v>
      </c>
      <c r="L71" s="85" t="s">
        <v>676</v>
      </c>
      <c r="M71" s="85"/>
      <c r="N71" s="85"/>
      <c r="O71" s="85"/>
      <c r="P71" s="85" t="s">
        <v>187</v>
      </c>
      <c r="Q71" s="24"/>
      <c r="R71" s="235" t="s">
        <v>677</v>
      </c>
      <c r="S71" s="15" t="s">
        <v>678</v>
      </c>
      <c r="T71" s="14" t="s">
        <v>679</v>
      </c>
      <c r="U71" s="14"/>
      <c r="V71" s="14"/>
      <c r="W71" s="14"/>
      <c r="X71" s="14"/>
      <c r="Y71" s="14"/>
    </row>
    <row r="72" spans="2:25" ht="24.95" customHeight="1">
      <c r="B72" s="20" t="s">
        <v>47</v>
      </c>
      <c r="C72" s="227"/>
      <c r="D72" s="227"/>
      <c r="E72" s="22" t="s">
        <v>279</v>
      </c>
      <c r="F72" s="84" t="s">
        <v>47</v>
      </c>
      <c r="G72" s="84" t="s">
        <v>47</v>
      </c>
      <c r="H72" s="22" t="s">
        <v>276</v>
      </c>
      <c r="I72" s="22" t="s">
        <v>280</v>
      </c>
      <c r="J72" s="27" t="s">
        <v>281</v>
      </c>
      <c r="K72" s="22" t="s">
        <v>48</v>
      </c>
      <c r="L72" s="85" t="s">
        <v>676</v>
      </c>
      <c r="M72" s="85"/>
      <c r="N72" s="85"/>
      <c r="O72" s="85"/>
      <c r="P72" s="85"/>
      <c r="Q72" s="24">
        <v>2.0299999999999998</v>
      </c>
      <c r="R72" s="234"/>
      <c r="S72" s="15" t="s">
        <v>680</v>
      </c>
      <c r="T72" s="14"/>
      <c r="U72" s="14"/>
      <c r="V72" s="14"/>
      <c r="W72" s="14"/>
      <c r="X72" s="14"/>
      <c r="Y72" s="14"/>
    </row>
    <row r="73" spans="2:25" ht="24.95" customHeight="1">
      <c r="B73" s="20" t="s">
        <v>49</v>
      </c>
      <c r="C73" s="22" t="s">
        <v>50</v>
      </c>
      <c r="D73" s="22" t="s">
        <v>51</v>
      </c>
      <c r="E73" s="22" t="s">
        <v>282</v>
      </c>
      <c r="F73" s="84">
        <v>49026</v>
      </c>
      <c r="G73" s="22"/>
      <c r="H73" s="22" t="s">
        <v>276</v>
      </c>
      <c r="I73" s="22" t="s">
        <v>47</v>
      </c>
      <c r="J73" s="27" t="s">
        <v>283</v>
      </c>
      <c r="K73" s="22" t="s">
        <v>29</v>
      </c>
      <c r="L73" s="85" t="s">
        <v>47</v>
      </c>
      <c r="M73" s="85"/>
      <c r="N73" s="85"/>
      <c r="O73" s="85"/>
      <c r="P73" s="85"/>
      <c r="Q73" s="24"/>
      <c r="R73" s="42"/>
      <c r="S73" s="15"/>
      <c r="T73" s="14"/>
      <c r="U73" s="14"/>
      <c r="V73" s="14"/>
      <c r="W73" s="14"/>
      <c r="X73" s="14"/>
      <c r="Y73" s="14"/>
    </row>
    <row r="74" spans="2:25" ht="24.95" customHeight="1">
      <c r="B74" s="20" t="s">
        <v>10</v>
      </c>
      <c r="C74" s="226" t="s">
        <v>52</v>
      </c>
      <c r="D74" s="73" t="s">
        <v>53</v>
      </c>
      <c r="E74" s="22" t="s">
        <v>284</v>
      </c>
      <c r="F74" s="84">
        <v>55511</v>
      </c>
      <c r="G74" s="84">
        <v>2</v>
      </c>
      <c r="H74" s="22" t="s">
        <v>271</v>
      </c>
      <c r="I74" s="22" t="s">
        <v>285</v>
      </c>
      <c r="J74" s="22" t="s">
        <v>286</v>
      </c>
      <c r="K74" s="22" t="s">
        <v>54</v>
      </c>
      <c r="L74" s="81" t="s">
        <v>681</v>
      </c>
      <c r="M74" s="81"/>
      <c r="N74" s="81"/>
      <c r="O74" s="81"/>
      <c r="P74" s="81" t="s">
        <v>452</v>
      </c>
      <c r="Q74" s="24">
        <v>1.01</v>
      </c>
      <c r="R74" s="42"/>
      <c r="T74" s="14"/>
      <c r="U74" s="14"/>
      <c r="V74" s="14"/>
      <c r="W74" s="14"/>
      <c r="X74" s="14"/>
      <c r="Y74" s="14"/>
    </row>
    <row r="75" spans="2:25" ht="24.95" customHeight="1">
      <c r="B75" s="20" t="s">
        <v>10</v>
      </c>
      <c r="C75" s="226"/>
      <c r="D75" s="73" t="s">
        <v>55</v>
      </c>
      <c r="E75" s="22" t="s">
        <v>290</v>
      </c>
      <c r="F75" s="84">
        <v>55511</v>
      </c>
      <c r="G75" s="84">
        <v>5</v>
      </c>
      <c r="H75" s="22" t="s">
        <v>287</v>
      </c>
      <c r="I75" s="22" t="s">
        <v>291</v>
      </c>
      <c r="J75" s="22" t="s">
        <v>292</v>
      </c>
      <c r="K75" s="22" t="s">
        <v>31</v>
      </c>
      <c r="L75" s="81" t="s">
        <v>682</v>
      </c>
      <c r="M75" s="81"/>
      <c r="N75" s="81"/>
      <c r="O75" s="81"/>
      <c r="P75" s="81" t="s">
        <v>358</v>
      </c>
      <c r="Q75" s="24">
        <v>1</v>
      </c>
      <c r="R75" s="75"/>
      <c r="T75" s="14"/>
      <c r="U75" s="14"/>
      <c r="V75" s="14"/>
      <c r="W75" s="14"/>
      <c r="X75" s="14"/>
      <c r="Y75" s="14"/>
    </row>
    <row r="76" spans="2:25" s="63" customFormat="1" ht="24.95" customHeight="1">
      <c r="B76" s="56" t="s">
        <v>10</v>
      </c>
      <c r="C76" s="226"/>
      <c r="D76" s="57" t="s">
        <v>56</v>
      </c>
      <c r="E76" s="57"/>
      <c r="F76" s="57"/>
      <c r="G76" s="57"/>
      <c r="H76" s="57" t="s">
        <v>276</v>
      </c>
      <c r="I76" s="57" t="s">
        <v>683</v>
      </c>
      <c r="J76" s="57" t="s">
        <v>47</v>
      </c>
      <c r="K76" s="57" t="s">
        <v>57</v>
      </c>
      <c r="L76" s="58"/>
      <c r="M76" s="58"/>
      <c r="N76" s="58"/>
      <c r="O76" s="58"/>
      <c r="P76" s="58"/>
      <c r="Q76" s="58"/>
      <c r="R76" s="60"/>
      <c r="S76" s="61" t="s">
        <v>684</v>
      </c>
      <c r="T76" s="62"/>
      <c r="U76" s="62"/>
      <c r="V76" s="62"/>
      <c r="W76" s="62"/>
      <c r="X76" s="62"/>
      <c r="Y76" s="62"/>
    </row>
    <row r="77" spans="2:25" ht="24.95" customHeight="1">
      <c r="B77" s="20" t="s">
        <v>10</v>
      </c>
      <c r="C77" s="226"/>
      <c r="D77" s="73" t="s">
        <v>58</v>
      </c>
      <c r="E77" s="22" t="s">
        <v>298</v>
      </c>
      <c r="F77" s="84">
        <v>44946</v>
      </c>
      <c r="G77" s="84">
        <v>2</v>
      </c>
      <c r="H77" s="22" t="s">
        <v>293</v>
      </c>
      <c r="I77" s="22" t="s">
        <v>294</v>
      </c>
      <c r="J77" s="22" t="s">
        <v>295</v>
      </c>
      <c r="K77" s="22" t="s">
        <v>59</v>
      </c>
      <c r="L77" s="85" t="s">
        <v>685</v>
      </c>
      <c r="M77" s="85"/>
      <c r="N77" s="85"/>
      <c r="O77" s="85"/>
      <c r="P77" s="85" t="s">
        <v>296</v>
      </c>
      <c r="Q77" s="24">
        <v>1</v>
      </c>
      <c r="R77" s="42"/>
      <c r="S77" s="14" t="s">
        <v>297</v>
      </c>
      <c r="T77" s="14"/>
      <c r="U77" s="14"/>
      <c r="V77" s="14"/>
      <c r="W77" s="14"/>
      <c r="X77" s="14"/>
      <c r="Y77" s="14"/>
    </row>
    <row r="78" spans="2:25" s="63" customFormat="1" ht="24.95" customHeight="1">
      <c r="B78" s="56" t="s">
        <v>10</v>
      </c>
      <c r="C78" s="226"/>
      <c r="D78" s="57" t="s">
        <v>60</v>
      </c>
      <c r="E78" s="57"/>
      <c r="F78" s="57"/>
      <c r="G78" s="57"/>
      <c r="H78" s="57" t="s">
        <v>293</v>
      </c>
      <c r="I78" s="57" t="s">
        <v>686</v>
      </c>
      <c r="J78" s="57" t="s">
        <v>47</v>
      </c>
      <c r="K78" s="57" t="s">
        <v>61</v>
      </c>
      <c r="L78" s="58"/>
      <c r="M78" s="58"/>
      <c r="N78" s="58"/>
      <c r="O78" s="58"/>
      <c r="P78" s="58"/>
      <c r="Q78" s="59"/>
      <c r="R78" s="60"/>
      <c r="S78" s="62"/>
      <c r="T78" s="62"/>
      <c r="U78" s="62"/>
      <c r="V78" s="62"/>
      <c r="W78" s="62"/>
      <c r="X78" s="62"/>
      <c r="Y78" s="62"/>
    </row>
    <row r="79" spans="2:25" s="63" customFormat="1" ht="24.95" customHeight="1">
      <c r="B79" s="56" t="s">
        <v>10</v>
      </c>
      <c r="C79" s="226"/>
      <c r="D79" s="57" t="s">
        <v>62</v>
      </c>
      <c r="E79" s="57" t="s">
        <v>63</v>
      </c>
      <c r="F79" s="57" t="s">
        <v>63</v>
      </c>
      <c r="G79" s="86" t="s">
        <v>63</v>
      </c>
      <c r="H79" s="57" t="s">
        <v>415</v>
      </c>
      <c r="I79" s="57" t="s">
        <v>62</v>
      </c>
      <c r="J79" s="64" t="s">
        <v>47</v>
      </c>
      <c r="K79" s="57" t="s">
        <v>64</v>
      </c>
      <c r="L79" s="65"/>
      <c r="M79" s="65"/>
      <c r="N79" s="65"/>
      <c r="O79" s="65"/>
      <c r="P79" s="65"/>
      <c r="Q79" s="59">
        <v>2</v>
      </c>
      <c r="R79" s="67"/>
      <c r="S79" s="62" t="s">
        <v>687</v>
      </c>
      <c r="T79" s="62"/>
      <c r="U79" s="62"/>
      <c r="V79" s="62"/>
      <c r="W79" s="62"/>
      <c r="X79" s="62"/>
      <c r="Y79" s="62"/>
    </row>
    <row r="80" spans="2:25" s="63" customFormat="1" ht="24.95" customHeight="1">
      <c r="B80" s="20" t="s">
        <v>65</v>
      </c>
      <c r="C80" s="227"/>
      <c r="D80" s="22" t="s">
        <v>66</v>
      </c>
      <c r="E80" s="22" t="s">
        <v>299</v>
      </c>
      <c r="F80" s="22">
        <v>50770</v>
      </c>
      <c r="G80" s="84">
        <v>0</v>
      </c>
      <c r="H80" s="22" t="s">
        <v>300</v>
      </c>
      <c r="I80" s="22"/>
      <c r="J80" s="22"/>
      <c r="K80" s="22" t="s">
        <v>67</v>
      </c>
      <c r="L80" s="85" t="s">
        <v>47</v>
      </c>
      <c r="M80" s="85"/>
      <c r="N80" s="85"/>
      <c r="O80" s="85"/>
      <c r="P80" s="85"/>
      <c r="Q80" s="24"/>
      <c r="R80" s="42"/>
      <c r="S80" s="62"/>
      <c r="T80" s="62"/>
      <c r="U80" s="62"/>
      <c r="V80" s="62"/>
      <c r="W80" s="62"/>
      <c r="X80" s="62"/>
      <c r="Y80" s="62"/>
    </row>
    <row r="81" spans="1:25" ht="24.95" customHeight="1">
      <c r="B81" s="20" t="s">
        <v>10</v>
      </c>
      <c r="C81" s="73" t="s">
        <v>68</v>
      </c>
      <c r="D81" s="73" t="s">
        <v>69</v>
      </c>
      <c r="E81" s="22" t="s">
        <v>303</v>
      </c>
      <c r="F81" s="22">
        <v>55511</v>
      </c>
      <c r="G81" s="84">
        <v>5</v>
      </c>
      <c r="H81" s="22" t="s">
        <v>276</v>
      </c>
      <c r="I81" s="22"/>
      <c r="J81" s="25"/>
      <c r="K81" s="22" t="s">
        <v>29</v>
      </c>
      <c r="L81" s="81" t="s">
        <v>688</v>
      </c>
      <c r="M81" s="81"/>
      <c r="N81" s="81"/>
      <c r="O81" s="81"/>
      <c r="P81" s="81" t="s">
        <v>187</v>
      </c>
      <c r="Q81" s="24">
        <v>1.05</v>
      </c>
      <c r="R81" s="236"/>
      <c r="T81" s="14"/>
      <c r="U81" s="14"/>
      <c r="V81" s="14"/>
      <c r="W81" s="14"/>
      <c r="X81" s="14"/>
      <c r="Y81" s="14"/>
    </row>
    <row r="82" spans="1:25" ht="24.95" customHeight="1">
      <c r="B82" s="20" t="s">
        <v>10</v>
      </c>
      <c r="C82" s="226" t="s">
        <v>70</v>
      </c>
      <c r="D82" s="21" t="s">
        <v>71</v>
      </c>
      <c r="E82" s="22" t="s">
        <v>305</v>
      </c>
      <c r="F82" s="22">
        <v>55511</v>
      </c>
      <c r="G82" s="84">
        <v>5</v>
      </c>
      <c r="H82" s="22" t="s">
        <v>287</v>
      </c>
      <c r="I82" s="22"/>
      <c r="J82" s="25"/>
      <c r="K82" s="22" t="s">
        <v>72</v>
      </c>
      <c r="L82" s="87" t="s">
        <v>689</v>
      </c>
      <c r="M82" s="87" t="s">
        <v>690</v>
      </c>
      <c r="N82" s="88"/>
      <c r="O82" s="88"/>
      <c r="P82" s="88" t="s">
        <v>304</v>
      </c>
      <c r="Q82" s="24">
        <v>3.3</v>
      </c>
      <c r="R82" s="236"/>
      <c r="T82" s="14"/>
      <c r="U82" s="14"/>
      <c r="V82" s="14"/>
      <c r="W82" s="14"/>
      <c r="X82" s="14"/>
      <c r="Y82" s="14"/>
    </row>
    <row r="83" spans="1:25" ht="24.95" customHeight="1">
      <c r="B83" s="20" t="s">
        <v>10</v>
      </c>
      <c r="C83" s="226"/>
      <c r="D83" s="21" t="s">
        <v>73</v>
      </c>
      <c r="E83" s="22" t="s">
        <v>306</v>
      </c>
      <c r="F83" s="22">
        <v>55511</v>
      </c>
      <c r="G83" s="84">
        <v>3</v>
      </c>
      <c r="H83" s="22"/>
      <c r="I83" s="22"/>
      <c r="J83" s="25"/>
      <c r="K83" s="22" t="s">
        <v>74</v>
      </c>
      <c r="L83" s="87" t="s">
        <v>691</v>
      </c>
      <c r="M83" s="87" t="s">
        <v>692</v>
      </c>
      <c r="N83" s="88"/>
      <c r="O83" s="88"/>
      <c r="P83" s="88" t="s">
        <v>35</v>
      </c>
      <c r="Q83" s="24">
        <v>4.0199999999999996</v>
      </c>
      <c r="R83" s="236"/>
      <c r="T83" s="14"/>
      <c r="U83" s="14"/>
      <c r="V83" s="14"/>
      <c r="W83" s="14"/>
      <c r="X83" s="14"/>
      <c r="Y83" s="14"/>
    </row>
    <row r="84" spans="1:25" ht="24.95" customHeight="1">
      <c r="B84" s="20" t="s">
        <v>10</v>
      </c>
      <c r="C84" s="226"/>
      <c r="D84" s="21" t="s">
        <v>75</v>
      </c>
      <c r="E84" s="22" t="s">
        <v>307</v>
      </c>
      <c r="F84" s="22">
        <v>60031</v>
      </c>
      <c r="G84" s="84">
        <v>7</v>
      </c>
      <c r="H84" s="22" t="s">
        <v>276</v>
      </c>
      <c r="I84" s="22"/>
      <c r="J84" s="25"/>
      <c r="K84" s="22" t="s">
        <v>76</v>
      </c>
      <c r="L84" s="87" t="s">
        <v>693</v>
      </c>
      <c r="M84" s="87" t="s">
        <v>694</v>
      </c>
      <c r="N84" s="88"/>
      <c r="O84" s="88"/>
      <c r="P84" s="88" t="s">
        <v>76</v>
      </c>
      <c r="Q84" s="24">
        <v>5.03</v>
      </c>
      <c r="R84" s="236"/>
      <c r="T84" s="14"/>
      <c r="U84" s="14"/>
      <c r="V84" s="14"/>
      <c r="W84" s="14"/>
      <c r="X84" s="14"/>
      <c r="Y84" s="14"/>
    </row>
    <row r="85" spans="1:25" ht="24.95" customHeight="1">
      <c r="B85" s="20" t="s">
        <v>6</v>
      </c>
      <c r="C85" s="227"/>
      <c r="D85" s="21" t="s">
        <v>77</v>
      </c>
      <c r="E85" s="22" t="s">
        <v>309</v>
      </c>
      <c r="F85" s="22">
        <v>51803</v>
      </c>
      <c r="G85" s="84">
        <v>4</v>
      </c>
      <c r="H85" s="22" t="s">
        <v>310</v>
      </c>
      <c r="I85" s="22"/>
      <c r="J85" s="25"/>
      <c r="K85" s="22" t="s">
        <v>78</v>
      </c>
      <c r="L85" s="87" t="s">
        <v>695</v>
      </c>
      <c r="M85" s="87" t="s">
        <v>696</v>
      </c>
      <c r="N85" s="88"/>
      <c r="O85" s="88"/>
      <c r="P85" s="88" t="s">
        <v>308</v>
      </c>
      <c r="Q85" s="24">
        <v>1.1299999999999999</v>
      </c>
      <c r="R85" s="236"/>
      <c r="T85" s="14"/>
      <c r="U85" s="14"/>
      <c r="V85" s="14"/>
      <c r="W85" s="14"/>
      <c r="X85" s="14"/>
      <c r="Y85" s="14"/>
    </row>
    <row r="86" spans="1:25" ht="24.95" customHeight="1">
      <c r="B86" s="20" t="s">
        <v>10</v>
      </c>
      <c r="C86" s="226" t="s">
        <v>79</v>
      </c>
      <c r="D86" s="48" t="s">
        <v>80</v>
      </c>
      <c r="E86" s="26" t="s">
        <v>312</v>
      </c>
      <c r="F86" s="26">
        <v>43748</v>
      </c>
      <c r="G86" s="84">
        <v>4</v>
      </c>
      <c r="H86" s="25" t="s">
        <v>271</v>
      </c>
      <c r="I86" s="22" t="s">
        <v>313</v>
      </c>
      <c r="J86" s="22" t="s">
        <v>314</v>
      </c>
      <c r="K86" s="22" t="s">
        <v>29</v>
      </c>
      <c r="L86" s="89" t="s">
        <v>697</v>
      </c>
      <c r="M86" s="90" t="s">
        <v>698</v>
      </c>
      <c r="N86" s="90" t="s">
        <v>699</v>
      </c>
      <c r="O86" s="23"/>
      <c r="P86" s="85" t="s">
        <v>187</v>
      </c>
      <c r="Q86" s="24">
        <v>1.04</v>
      </c>
      <c r="R86" s="239"/>
      <c r="S86" s="241" t="s">
        <v>311</v>
      </c>
      <c r="T86" s="242"/>
      <c r="U86" s="14"/>
      <c r="V86" s="14"/>
      <c r="W86" s="14"/>
      <c r="X86" s="14"/>
      <c r="Y86" s="14"/>
    </row>
    <row r="87" spans="1:25" ht="24.95" customHeight="1">
      <c r="B87" s="20" t="s">
        <v>10</v>
      </c>
      <c r="C87" s="226"/>
      <c r="D87" s="21" t="s">
        <v>81</v>
      </c>
      <c r="E87" s="22" t="s">
        <v>318</v>
      </c>
      <c r="F87" s="22">
        <v>52576</v>
      </c>
      <c r="G87" s="84">
        <v>8</v>
      </c>
      <c r="H87" s="22" t="s">
        <v>287</v>
      </c>
      <c r="I87" s="22" t="s">
        <v>319</v>
      </c>
      <c r="J87" s="27" t="s">
        <v>320</v>
      </c>
      <c r="K87" s="22" t="s">
        <v>82</v>
      </c>
      <c r="L87" s="91"/>
      <c r="M87" s="90"/>
      <c r="N87" s="23" t="s">
        <v>700</v>
      </c>
      <c r="O87" s="23"/>
      <c r="P87" s="23" t="s">
        <v>315</v>
      </c>
      <c r="Q87" s="24">
        <v>3.3</v>
      </c>
      <c r="R87" s="239"/>
      <c r="S87" s="14" t="s">
        <v>316</v>
      </c>
      <c r="T87" s="15" t="s">
        <v>317</v>
      </c>
      <c r="U87" s="14" t="s">
        <v>83</v>
      </c>
      <c r="V87" s="14"/>
      <c r="W87" s="14"/>
      <c r="X87" s="14"/>
      <c r="Y87" s="14"/>
    </row>
    <row r="88" spans="1:25" ht="24.95" customHeight="1">
      <c r="B88" s="20" t="s">
        <v>10</v>
      </c>
      <c r="C88" s="226"/>
      <c r="D88" s="21" t="s">
        <v>84</v>
      </c>
      <c r="E88" s="29" t="s">
        <v>324</v>
      </c>
      <c r="F88" s="29">
        <v>52576</v>
      </c>
      <c r="G88" s="84">
        <v>7</v>
      </c>
      <c r="H88" s="29" t="s">
        <v>276</v>
      </c>
      <c r="I88" s="29" t="s">
        <v>325</v>
      </c>
      <c r="J88" s="30" t="s">
        <v>326</v>
      </c>
      <c r="K88" s="29" t="s">
        <v>31</v>
      </c>
      <c r="L88" s="91" t="s">
        <v>701</v>
      </c>
      <c r="M88" s="90" t="s">
        <v>702</v>
      </c>
      <c r="N88" s="92" t="s">
        <v>703</v>
      </c>
      <c r="O88" s="93"/>
      <c r="P88" s="93" t="s">
        <v>321</v>
      </c>
      <c r="Q88" s="32">
        <v>2.2999999999999998</v>
      </c>
      <c r="R88" s="239"/>
      <c r="S88" s="14" t="s">
        <v>322</v>
      </c>
      <c r="T88" s="15" t="s">
        <v>323</v>
      </c>
      <c r="U88" s="14" t="s">
        <v>85</v>
      </c>
      <c r="V88" s="14"/>
      <c r="W88" s="14"/>
      <c r="X88" s="14"/>
      <c r="Y88" s="14"/>
    </row>
    <row r="89" spans="1:25" ht="24.95" customHeight="1">
      <c r="B89" s="20" t="s">
        <v>10</v>
      </c>
      <c r="C89" s="226"/>
      <c r="D89" s="21" t="s">
        <v>86</v>
      </c>
      <c r="E89" s="22" t="s">
        <v>327</v>
      </c>
      <c r="F89" s="22">
        <v>53292</v>
      </c>
      <c r="G89" s="84">
        <v>5</v>
      </c>
      <c r="H89" s="22" t="s">
        <v>276</v>
      </c>
      <c r="I89" s="22" t="s">
        <v>328</v>
      </c>
      <c r="J89" s="27" t="s">
        <v>329</v>
      </c>
      <c r="K89" s="22" t="s">
        <v>87</v>
      </c>
      <c r="L89" s="85" t="s">
        <v>47</v>
      </c>
      <c r="M89" s="90" t="s">
        <v>704</v>
      </c>
      <c r="N89" s="85" t="s">
        <v>47</v>
      </c>
      <c r="O89" s="92"/>
      <c r="P89" s="92" t="s">
        <v>87</v>
      </c>
      <c r="Q89" s="24">
        <v>4.12</v>
      </c>
      <c r="R89" s="239"/>
      <c r="T89" s="15"/>
      <c r="U89" s="14"/>
      <c r="V89" s="14"/>
      <c r="W89" s="14"/>
      <c r="X89" s="14"/>
      <c r="Y89" s="14"/>
    </row>
    <row r="90" spans="1:25" ht="24.95" customHeight="1">
      <c r="B90" s="20" t="s">
        <v>6</v>
      </c>
      <c r="C90" s="226"/>
      <c r="D90" s="21" t="s">
        <v>88</v>
      </c>
      <c r="E90" s="22" t="s">
        <v>331</v>
      </c>
      <c r="F90" s="22">
        <v>54464</v>
      </c>
      <c r="G90" s="84">
        <v>5</v>
      </c>
      <c r="H90" s="22" t="s">
        <v>276</v>
      </c>
      <c r="I90" s="22" t="s">
        <v>332</v>
      </c>
      <c r="J90" s="27" t="s">
        <v>333</v>
      </c>
      <c r="K90" s="22" t="s">
        <v>89</v>
      </c>
      <c r="L90" s="85" t="s">
        <v>47</v>
      </c>
      <c r="M90" s="90" t="s">
        <v>705</v>
      </c>
      <c r="N90" s="94" t="s">
        <v>705</v>
      </c>
      <c r="O90" s="23"/>
      <c r="P90" s="23" t="s">
        <v>330</v>
      </c>
      <c r="Q90" s="24"/>
      <c r="R90" s="239"/>
      <c r="T90" s="15"/>
      <c r="U90" s="14"/>
      <c r="V90" s="14"/>
      <c r="W90" s="14"/>
      <c r="X90" s="14"/>
      <c r="Y90" s="14"/>
    </row>
    <row r="91" spans="1:25" ht="24.95" customHeight="1">
      <c r="B91" s="20" t="s">
        <v>90</v>
      </c>
      <c r="C91" s="226"/>
      <c r="D91" s="21" t="s">
        <v>91</v>
      </c>
      <c r="E91" s="22" t="s">
        <v>334</v>
      </c>
      <c r="F91" s="22">
        <v>52576</v>
      </c>
      <c r="G91" s="84">
        <v>7</v>
      </c>
      <c r="H91" s="22" t="s">
        <v>276</v>
      </c>
      <c r="I91" s="22" t="s">
        <v>335</v>
      </c>
      <c r="J91" s="22" t="s">
        <v>336</v>
      </c>
      <c r="K91" s="22" t="s">
        <v>92</v>
      </c>
      <c r="L91" s="85" t="s">
        <v>47</v>
      </c>
      <c r="M91" s="90"/>
      <c r="N91" s="85"/>
      <c r="O91" s="85"/>
      <c r="P91" s="85"/>
      <c r="Q91" s="24"/>
      <c r="R91" s="239"/>
      <c r="S91" s="15" t="s">
        <v>337</v>
      </c>
      <c r="T91" s="15" t="s">
        <v>338</v>
      </c>
      <c r="U91" s="14"/>
      <c r="V91" s="15"/>
      <c r="W91" s="14"/>
      <c r="X91" s="14"/>
      <c r="Y91" s="14"/>
    </row>
    <row r="92" spans="1:25" ht="24.95" customHeight="1">
      <c r="B92" s="20" t="s">
        <v>90</v>
      </c>
      <c r="C92" s="226"/>
      <c r="D92" s="21" t="s">
        <v>93</v>
      </c>
      <c r="E92" s="22" t="s">
        <v>339</v>
      </c>
      <c r="F92" s="22">
        <v>52576</v>
      </c>
      <c r="G92" s="84">
        <v>6</v>
      </c>
      <c r="H92" s="22" t="s">
        <v>276</v>
      </c>
      <c r="I92" s="22" t="s">
        <v>340</v>
      </c>
      <c r="J92" s="22" t="s">
        <v>341</v>
      </c>
      <c r="K92" s="22" t="s">
        <v>94</v>
      </c>
      <c r="L92" s="85" t="s">
        <v>47</v>
      </c>
      <c r="M92" s="90"/>
      <c r="N92" s="85"/>
      <c r="O92" s="85"/>
      <c r="P92" s="85"/>
      <c r="Q92" s="24"/>
      <c r="R92" s="239"/>
      <c r="S92" s="15" t="s">
        <v>342</v>
      </c>
      <c r="T92" s="15" t="s">
        <v>343</v>
      </c>
      <c r="U92" s="14"/>
      <c r="V92" s="15"/>
      <c r="W92" s="14"/>
      <c r="X92" s="14"/>
      <c r="Y92" s="14"/>
    </row>
    <row r="93" spans="1:25" ht="24.95" customHeight="1">
      <c r="B93" s="20" t="s">
        <v>90</v>
      </c>
      <c r="C93" s="226"/>
      <c r="D93" s="21" t="s">
        <v>95</v>
      </c>
      <c r="E93" s="22" t="s">
        <v>344</v>
      </c>
      <c r="F93" s="22">
        <v>52576</v>
      </c>
      <c r="G93" s="84">
        <v>2</v>
      </c>
      <c r="H93" s="22" t="s">
        <v>276</v>
      </c>
      <c r="I93" s="22" t="s">
        <v>345</v>
      </c>
      <c r="J93" s="27" t="s">
        <v>346</v>
      </c>
      <c r="K93" s="22" t="s">
        <v>96</v>
      </c>
      <c r="L93" s="85" t="s">
        <v>706</v>
      </c>
      <c r="M93" s="85" t="s">
        <v>707</v>
      </c>
      <c r="N93" s="85"/>
      <c r="O93" s="85"/>
      <c r="P93" s="85"/>
      <c r="Q93" s="24"/>
      <c r="R93" s="239"/>
      <c r="T93" s="15" t="s">
        <v>347</v>
      </c>
      <c r="U93" s="14"/>
      <c r="V93" s="14"/>
      <c r="W93" s="14"/>
      <c r="X93" s="14"/>
      <c r="Y93" s="14"/>
    </row>
    <row r="94" spans="1:25" ht="24.95" customHeight="1">
      <c r="B94" s="20" t="s">
        <v>90</v>
      </c>
      <c r="C94" s="227"/>
      <c r="D94" s="21" t="s">
        <v>97</v>
      </c>
      <c r="E94" s="22" t="s">
        <v>348</v>
      </c>
      <c r="F94" s="22">
        <v>52576</v>
      </c>
      <c r="G94" s="84">
        <v>2</v>
      </c>
      <c r="H94" s="22" t="s">
        <v>276</v>
      </c>
      <c r="I94" s="22" t="s">
        <v>349</v>
      </c>
      <c r="J94" s="27" t="s">
        <v>350</v>
      </c>
      <c r="K94" s="22" t="s">
        <v>98</v>
      </c>
      <c r="L94" s="85" t="s">
        <v>706</v>
      </c>
      <c r="M94" s="85" t="s">
        <v>707</v>
      </c>
      <c r="N94" s="85"/>
      <c r="O94" s="85"/>
      <c r="P94" s="85"/>
      <c r="Q94" s="24">
        <v>3.9</v>
      </c>
      <c r="R94" s="240"/>
      <c r="T94" s="15" t="s">
        <v>347</v>
      </c>
      <c r="U94" s="14"/>
      <c r="V94" s="14"/>
      <c r="W94" s="14"/>
      <c r="X94" s="14"/>
      <c r="Y94" s="14"/>
    </row>
    <row r="95" spans="1:25" ht="24.95" customHeight="1">
      <c r="A95" s="113" t="s">
        <v>972</v>
      </c>
      <c r="B95" s="20" t="s">
        <v>6</v>
      </c>
      <c r="C95" s="22" t="s">
        <v>493</v>
      </c>
      <c r="D95" s="21" t="s">
        <v>973</v>
      </c>
      <c r="E95" s="22" t="s">
        <v>974</v>
      </c>
      <c r="F95" s="22">
        <v>62636</v>
      </c>
      <c r="G95" s="84">
        <v>0</v>
      </c>
      <c r="H95" s="22" t="s">
        <v>276</v>
      </c>
      <c r="I95" s="22" t="s">
        <v>47</v>
      </c>
      <c r="J95" s="27" t="s">
        <v>47</v>
      </c>
      <c r="K95" s="22" t="s">
        <v>975</v>
      </c>
      <c r="L95" s="85"/>
      <c r="M95" s="85"/>
      <c r="N95" s="85"/>
      <c r="O95" s="85"/>
      <c r="P95" s="119" t="s">
        <v>1059</v>
      </c>
      <c r="Q95" s="24"/>
      <c r="R95" s="107"/>
      <c r="T95" s="15"/>
      <c r="U95" s="14"/>
      <c r="V95" s="14"/>
      <c r="W95" s="14"/>
      <c r="X95" s="14"/>
      <c r="Y95" s="14"/>
    </row>
    <row r="96" spans="1:25" ht="24.95" customHeight="1">
      <c r="B96" s="28" t="s">
        <v>6</v>
      </c>
      <c r="C96" s="226" t="s">
        <v>99</v>
      </c>
      <c r="D96" s="46" t="s">
        <v>100</v>
      </c>
      <c r="E96" s="29" t="s">
        <v>270</v>
      </c>
      <c r="F96" s="29">
        <v>55511</v>
      </c>
      <c r="G96" s="84">
        <v>4</v>
      </c>
      <c r="H96" s="29" t="s">
        <v>276</v>
      </c>
      <c r="I96" s="29"/>
      <c r="J96" s="30"/>
      <c r="K96" s="29" t="s">
        <v>101</v>
      </c>
      <c r="L96" s="31" t="s">
        <v>708</v>
      </c>
      <c r="M96" s="31"/>
      <c r="N96" s="31"/>
      <c r="O96" s="31"/>
      <c r="P96" s="95" t="s">
        <v>187</v>
      </c>
      <c r="Q96" s="32">
        <v>1.03</v>
      </c>
      <c r="R96" s="243"/>
      <c r="T96" s="15"/>
      <c r="U96" s="14"/>
      <c r="V96" s="14"/>
      <c r="W96" s="14"/>
      <c r="X96" s="14"/>
      <c r="Y96" s="14"/>
    </row>
    <row r="97" spans="1:25" ht="24.95" customHeight="1">
      <c r="B97" s="28" t="s">
        <v>6</v>
      </c>
      <c r="C97" s="227"/>
      <c r="D97" s="46" t="s">
        <v>102</v>
      </c>
      <c r="E97" s="29" t="s">
        <v>352</v>
      </c>
      <c r="F97" s="29">
        <v>55616</v>
      </c>
      <c r="G97" s="84">
        <v>5</v>
      </c>
      <c r="H97" s="29" t="s">
        <v>276</v>
      </c>
      <c r="I97" s="29"/>
      <c r="J97" s="30"/>
      <c r="K97" s="29" t="s">
        <v>103</v>
      </c>
      <c r="L97" s="31" t="s">
        <v>709</v>
      </c>
      <c r="M97" s="31"/>
      <c r="N97" s="31"/>
      <c r="O97" s="31"/>
      <c r="P97" s="31" t="s">
        <v>351</v>
      </c>
      <c r="Q97" s="32">
        <v>2</v>
      </c>
      <c r="R97" s="244"/>
      <c r="T97" s="15"/>
      <c r="U97" s="14"/>
      <c r="V97" s="14"/>
      <c r="W97" s="14"/>
      <c r="X97" s="14"/>
      <c r="Y97" s="14"/>
    </row>
    <row r="98" spans="1:25" ht="24.95" customHeight="1">
      <c r="B98" s="20" t="s">
        <v>10</v>
      </c>
      <c r="C98" s="225" t="s">
        <v>104</v>
      </c>
      <c r="D98" s="22" t="s">
        <v>105</v>
      </c>
      <c r="E98" s="22" t="s">
        <v>353</v>
      </c>
      <c r="F98" s="22">
        <v>42074</v>
      </c>
      <c r="G98" s="84">
        <v>0</v>
      </c>
      <c r="H98" s="22" t="s">
        <v>271</v>
      </c>
      <c r="I98" s="22" t="s">
        <v>354</v>
      </c>
      <c r="J98" s="22" t="s">
        <v>355</v>
      </c>
      <c r="K98" s="25" t="s">
        <v>106</v>
      </c>
      <c r="L98" s="85" t="s">
        <v>710</v>
      </c>
      <c r="M98" s="85"/>
      <c r="N98" s="85"/>
      <c r="O98" s="85"/>
      <c r="P98" s="85" t="s">
        <v>356</v>
      </c>
      <c r="Q98" s="24">
        <v>1</v>
      </c>
      <c r="R98" s="42"/>
      <c r="S98" s="15" t="s">
        <v>357</v>
      </c>
      <c r="T98" s="14"/>
      <c r="U98" s="14"/>
      <c r="V98" s="14"/>
      <c r="W98" s="14"/>
      <c r="X98" s="14"/>
      <c r="Y98" s="14"/>
    </row>
    <row r="99" spans="1:25" ht="24.95" customHeight="1">
      <c r="B99" s="20" t="s">
        <v>10</v>
      </c>
      <c r="C99" s="226"/>
      <c r="D99" s="26" t="s">
        <v>107</v>
      </c>
      <c r="E99" s="26" t="s">
        <v>360</v>
      </c>
      <c r="F99" s="26">
        <v>55511</v>
      </c>
      <c r="G99" s="84">
        <v>1</v>
      </c>
      <c r="H99" s="22" t="s">
        <v>276</v>
      </c>
      <c r="I99" s="22" t="s">
        <v>361</v>
      </c>
      <c r="J99" s="22" t="s">
        <v>362</v>
      </c>
      <c r="K99" s="25" t="s">
        <v>106</v>
      </c>
      <c r="L99" s="85" t="s">
        <v>711</v>
      </c>
      <c r="M99" s="85"/>
      <c r="N99" s="85"/>
      <c r="O99" s="85"/>
      <c r="P99" s="85" t="s">
        <v>358</v>
      </c>
      <c r="Q99" s="24">
        <v>1</v>
      </c>
      <c r="R99" s="42" t="s">
        <v>359</v>
      </c>
      <c r="T99" s="14"/>
      <c r="U99" s="14"/>
      <c r="V99" s="14"/>
      <c r="W99" s="14"/>
      <c r="X99" s="14"/>
      <c r="Y99" s="14"/>
    </row>
    <row r="100" spans="1:25" ht="24.95" customHeight="1">
      <c r="B100" s="20" t="s">
        <v>10</v>
      </c>
      <c r="C100" s="227"/>
      <c r="D100" s="74" t="s">
        <v>108</v>
      </c>
      <c r="E100" s="26" t="s">
        <v>364</v>
      </c>
      <c r="F100" s="26">
        <v>55511</v>
      </c>
      <c r="G100" s="84">
        <v>3</v>
      </c>
      <c r="H100" s="22" t="s">
        <v>276</v>
      </c>
      <c r="I100" s="26" t="s">
        <v>365</v>
      </c>
      <c r="J100" s="22" t="s">
        <v>47</v>
      </c>
      <c r="K100" s="25" t="s">
        <v>109</v>
      </c>
      <c r="L100" s="85" t="s">
        <v>712</v>
      </c>
      <c r="M100" s="85"/>
      <c r="N100" s="85"/>
      <c r="O100" s="85"/>
      <c r="P100" s="85" t="s">
        <v>363</v>
      </c>
      <c r="Q100" s="24">
        <v>1.04</v>
      </c>
      <c r="R100" s="42" t="s">
        <v>359</v>
      </c>
      <c r="T100" s="14"/>
      <c r="U100" s="14"/>
      <c r="V100" s="14"/>
      <c r="W100" s="14"/>
      <c r="X100" s="14"/>
      <c r="Y100" s="14"/>
    </row>
    <row r="101" spans="1:25" ht="24.95" customHeight="1">
      <c r="B101" s="20" t="s">
        <v>10</v>
      </c>
      <c r="C101" s="225" t="s">
        <v>110</v>
      </c>
      <c r="D101" s="22" t="s">
        <v>111</v>
      </c>
      <c r="E101" s="26" t="s">
        <v>312</v>
      </c>
      <c r="F101" s="26">
        <v>42055</v>
      </c>
      <c r="G101" s="84">
        <v>6</v>
      </c>
      <c r="H101" s="22" t="s">
        <v>271</v>
      </c>
      <c r="I101" s="22" t="s">
        <v>367</v>
      </c>
      <c r="J101" s="22" t="s">
        <v>368</v>
      </c>
      <c r="K101" s="25" t="s">
        <v>106</v>
      </c>
      <c r="L101" s="85" t="s">
        <v>713</v>
      </c>
      <c r="M101" s="85" t="s">
        <v>714</v>
      </c>
      <c r="N101" s="85"/>
      <c r="O101" s="85"/>
      <c r="P101" s="85" t="s">
        <v>187</v>
      </c>
      <c r="Q101" s="24">
        <v>1.05</v>
      </c>
      <c r="R101" s="42"/>
      <c r="S101" s="14" t="s">
        <v>366</v>
      </c>
      <c r="T101" s="14"/>
      <c r="U101" s="14"/>
      <c r="V101" s="14"/>
      <c r="W101" s="14"/>
      <c r="X101" s="14"/>
      <c r="Y101" s="14"/>
    </row>
    <row r="102" spans="1:25" ht="24.95" customHeight="1">
      <c r="B102" s="20" t="s">
        <v>10</v>
      </c>
      <c r="C102" s="227"/>
      <c r="D102" s="22" t="s">
        <v>112</v>
      </c>
      <c r="E102" s="26" t="s">
        <v>360</v>
      </c>
      <c r="F102" s="26">
        <v>55511</v>
      </c>
      <c r="G102" s="84">
        <v>1</v>
      </c>
      <c r="H102" s="22" t="s">
        <v>276</v>
      </c>
      <c r="I102" s="22" t="s">
        <v>369</v>
      </c>
      <c r="J102" s="22" t="s">
        <v>370</v>
      </c>
      <c r="K102" s="25" t="s">
        <v>106</v>
      </c>
      <c r="L102" s="85" t="s">
        <v>711</v>
      </c>
      <c r="M102" s="85"/>
      <c r="N102" s="85"/>
      <c r="O102" s="85"/>
      <c r="P102" s="85" t="s">
        <v>358</v>
      </c>
      <c r="Q102" s="24">
        <v>1</v>
      </c>
      <c r="R102" s="42" t="s">
        <v>359</v>
      </c>
      <c r="T102" s="14"/>
      <c r="U102" s="14"/>
      <c r="V102" s="14"/>
      <c r="W102" s="14"/>
      <c r="X102" s="14"/>
      <c r="Y102" s="14"/>
    </row>
    <row r="103" spans="1:25" ht="24.95" customHeight="1">
      <c r="B103" s="20" t="s">
        <v>10</v>
      </c>
      <c r="C103" s="245" t="s">
        <v>113</v>
      </c>
      <c r="D103" s="22" t="s">
        <v>114</v>
      </c>
      <c r="E103" s="26" t="s">
        <v>312</v>
      </c>
      <c r="F103" s="26">
        <v>55511</v>
      </c>
      <c r="G103" s="84">
        <v>2</v>
      </c>
      <c r="H103" s="22" t="s">
        <v>271</v>
      </c>
      <c r="I103" s="22" t="s">
        <v>371</v>
      </c>
      <c r="J103" s="22" t="s">
        <v>372</v>
      </c>
      <c r="K103" s="22"/>
      <c r="L103" s="23" t="s">
        <v>715</v>
      </c>
      <c r="M103" s="23"/>
      <c r="N103" s="23"/>
      <c r="O103" s="23"/>
      <c r="P103" s="85" t="s">
        <v>187</v>
      </c>
      <c r="Q103" s="24">
        <v>1.03</v>
      </c>
      <c r="R103" s="247" t="s">
        <v>113</v>
      </c>
      <c r="T103" s="14"/>
      <c r="U103" s="14"/>
      <c r="V103" s="14"/>
      <c r="W103" s="14"/>
      <c r="X103" s="14"/>
      <c r="Y103" s="14"/>
    </row>
    <row r="104" spans="1:25" ht="24.95" customHeight="1">
      <c r="B104" s="20" t="s">
        <v>10</v>
      </c>
      <c r="C104" s="246"/>
      <c r="D104" s="22" t="s">
        <v>115</v>
      </c>
      <c r="E104" s="26" t="s">
        <v>373</v>
      </c>
      <c r="F104" s="26">
        <v>55511</v>
      </c>
      <c r="G104" s="84">
        <v>2</v>
      </c>
      <c r="H104" s="22" t="s">
        <v>276</v>
      </c>
      <c r="I104" s="22" t="s">
        <v>374</v>
      </c>
      <c r="J104" s="22" t="s">
        <v>375</v>
      </c>
      <c r="K104" s="22" t="s">
        <v>116</v>
      </c>
      <c r="L104" s="23" t="s">
        <v>716</v>
      </c>
      <c r="M104" s="23"/>
      <c r="N104" s="23"/>
      <c r="O104" s="23"/>
      <c r="P104" s="23" t="s">
        <v>358</v>
      </c>
      <c r="Q104" s="24">
        <v>1</v>
      </c>
      <c r="R104" s="240"/>
      <c r="T104" s="14"/>
      <c r="U104" s="14"/>
      <c r="V104" s="14"/>
      <c r="W104" s="14"/>
      <c r="X104" s="14"/>
      <c r="Y104" s="14"/>
    </row>
    <row r="105" spans="1:25" ht="24.95" customHeight="1">
      <c r="B105" s="20" t="s">
        <v>10</v>
      </c>
      <c r="C105" s="33" t="s">
        <v>117</v>
      </c>
      <c r="D105" s="26" t="s">
        <v>118</v>
      </c>
      <c r="E105" s="26" t="s">
        <v>263</v>
      </c>
      <c r="F105" s="26">
        <v>55511</v>
      </c>
      <c r="G105" s="84">
        <v>5</v>
      </c>
      <c r="H105" s="22" t="s">
        <v>276</v>
      </c>
      <c r="I105" s="26" t="s">
        <v>47</v>
      </c>
      <c r="J105" s="22" t="s">
        <v>47</v>
      </c>
      <c r="K105" s="25" t="s">
        <v>106</v>
      </c>
      <c r="L105" s="23" t="s">
        <v>717</v>
      </c>
      <c r="M105" s="23"/>
      <c r="N105" s="23"/>
      <c r="O105" s="23"/>
      <c r="P105" s="23" t="s">
        <v>376</v>
      </c>
      <c r="Q105" s="24">
        <v>1.03</v>
      </c>
      <c r="R105" s="247" t="s">
        <v>117</v>
      </c>
      <c r="T105" s="14"/>
      <c r="U105" s="14"/>
      <c r="V105" s="14"/>
      <c r="W105" s="14"/>
      <c r="X105" s="14"/>
      <c r="Y105" s="14"/>
    </row>
    <row r="106" spans="1:25" ht="24.95" customHeight="1">
      <c r="B106" s="20" t="s">
        <v>10</v>
      </c>
      <c r="C106" s="237" t="s">
        <v>119</v>
      </c>
      <c r="D106" s="26" t="s">
        <v>120</v>
      </c>
      <c r="E106" s="26" t="s">
        <v>378</v>
      </c>
      <c r="F106" s="26">
        <v>55511</v>
      </c>
      <c r="G106" s="84">
        <v>7</v>
      </c>
      <c r="H106" s="22" t="s">
        <v>276</v>
      </c>
      <c r="I106" s="26" t="s">
        <v>47</v>
      </c>
      <c r="J106" s="22" t="s">
        <v>47</v>
      </c>
      <c r="K106" s="25" t="s">
        <v>72</v>
      </c>
      <c r="L106" s="94" t="s">
        <v>718</v>
      </c>
      <c r="M106" s="90" t="s">
        <v>719</v>
      </c>
      <c r="N106" s="90" t="s">
        <v>720</v>
      </c>
      <c r="O106" s="90" t="s">
        <v>721</v>
      </c>
      <c r="P106" s="90" t="s">
        <v>377</v>
      </c>
      <c r="Q106" s="24">
        <v>2.15</v>
      </c>
      <c r="R106" s="239"/>
      <c r="T106" s="14"/>
      <c r="U106" s="14"/>
      <c r="V106" s="14"/>
      <c r="W106" s="14"/>
      <c r="X106" s="14"/>
      <c r="Y106" s="14"/>
    </row>
    <row r="107" spans="1:25" s="18" customFormat="1" ht="24.95" customHeight="1">
      <c r="B107" s="20" t="s">
        <v>10</v>
      </c>
      <c r="C107" s="248"/>
      <c r="D107" s="26" t="s">
        <v>121</v>
      </c>
      <c r="E107" s="26" t="s">
        <v>266</v>
      </c>
      <c r="F107" s="26">
        <v>55511</v>
      </c>
      <c r="G107" s="84">
        <v>3</v>
      </c>
      <c r="H107" s="22" t="s">
        <v>276</v>
      </c>
      <c r="I107" s="26" t="s">
        <v>47</v>
      </c>
      <c r="J107" s="22" t="s">
        <v>47</v>
      </c>
      <c r="K107" s="25" t="s">
        <v>122</v>
      </c>
      <c r="L107" s="94" t="s">
        <v>722</v>
      </c>
      <c r="M107" s="90" t="s">
        <v>723</v>
      </c>
      <c r="N107" s="90" t="s">
        <v>724</v>
      </c>
      <c r="O107" s="90" t="s">
        <v>725</v>
      </c>
      <c r="P107" s="90" t="s">
        <v>122</v>
      </c>
      <c r="Q107" s="24">
        <v>4.03</v>
      </c>
      <c r="R107" s="239"/>
      <c r="S107" s="14"/>
      <c r="T107" s="14"/>
      <c r="U107" s="14"/>
      <c r="V107" s="14"/>
      <c r="W107" s="14"/>
      <c r="X107" s="14"/>
      <c r="Y107" s="14"/>
    </row>
    <row r="108" spans="1:25" ht="24.95" customHeight="1">
      <c r="A108" s="106" t="s">
        <v>1099</v>
      </c>
      <c r="B108" s="20" t="s">
        <v>10</v>
      </c>
      <c r="C108" s="248"/>
      <c r="D108" s="26" t="s">
        <v>123</v>
      </c>
      <c r="E108" s="71" t="s">
        <v>1103</v>
      </c>
      <c r="F108" s="71">
        <v>62927</v>
      </c>
      <c r="G108" s="72">
        <v>5</v>
      </c>
      <c r="H108" s="22" t="s">
        <v>276</v>
      </c>
      <c r="I108" s="26" t="s">
        <v>47</v>
      </c>
      <c r="J108" s="22" t="s">
        <v>47</v>
      </c>
      <c r="K108" s="25" t="s">
        <v>124</v>
      </c>
      <c r="L108" s="94" t="s">
        <v>726</v>
      </c>
      <c r="M108" s="90" t="s">
        <v>727</v>
      </c>
      <c r="N108" s="90" t="s">
        <v>728</v>
      </c>
      <c r="O108" s="90" t="s">
        <v>729</v>
      </c>
      <c r="P108" s="90" t="s">
        <v>124</v>
      </c>
      <c r="Q108" s="24">
        <v>5.0199999999999996</v>
      </c>
      <c r="R108" s="239"/>
      <c r="T108" s="14"/>
      <c r="U108" s="14"/>
      <c r="V108" s="14"/>
      <c r="W108" s="14"/>
      <c r="X108" s="14"/>
      <c r="Y108" s="14"/>
    </row>
    <row r="109" spans="1:25" ht="24.95" customHeight="1">
      <c r="A109" s="106" t="s">
        <v>1099</v>
      </c>
      <c r="B109" s="20" t="s">
        <v>10</v>
      </c>
      <c r="C109" s="248"/>
      <c r="D109" s="26" t="s">
        <v>125</v>
      </c>
      <c r="E109" s="71" t="s">
        <v>1102</v>
      </c>
      <c r="F109" s="71">
        <v>62927</v>
      </c>
      <c r="G109" s="72">
        <v>4</v>
      </c>
      <c r="H109" s="22" t="s">
        <v>276</v>
      </c>
      <c r="I109" s="26" t="s">
        <v>47</v>
      </c>
      <c r="J109" s="22" t="s">
        <v>47</v>
      </c>
      <c r="K109" s="25" t="s">
        <v>124</v>
      </c>
      <c r="L109" s="94" t="s">
        <v>730</v>
      </c>
      <c r="M109" s="90" t="s">
        <v>731</v>
      </c>
      <c r="N109" s="90" t="s">
        <v>732</v>
      </c>
      <c r="O109" s="90" t="s">
        <v>733</v>
      </c>
      <c r="P109" s="90" t="s">
        <v>124</v>
      </c>
      <c r="Q109" s="24">
        <v>6.1</v>
      </c>
      <c r="R109" s="239"/>
      <c r="T109" s="14"/>
      <c r="U109" s="14"/>
      <c r="V109" s="14"/>
      <c r="W109" s="14"/>
      <c r="X109" s="14"/>
      <c r="Y109" s="14"/>
    </row>
    <row r="110" spans="1:25" ht="24.95" customHeight="1">
      <c r="A110" s="106" t="s">
        <v>1099</v>
      </c>
      <c r="B110" s="20" t="s">
        <v>10</v>
      </c>
      <c r="C110" s="248"/>
      <c r="D110" s="26" t="s">
        <v>126</v>
      </c>
      <c r="E110" s="71" t="s">
        <v>1101</v>
      </c>
      <c r="F110" s="71">
        <v>62927</v>
      </c>
      <c r="G110" s="72">
        <v>4</v>
      </c>
      <c r="H110" s="22" t="s">
        <v>276</v>
      </c>
      <c r="I110" s="26" t="s">
        <v>47</v>
      </c>
      <c r="J110" s="22" t="s">
        <v>47</v>
      </c>
      <c r="K110" s="25" t="s">
        <v>127</v>
      </c>
      <c r="L110" s="94" t="s">
        <v>734</v>
      </c>
      <c r="M110" s="90" t="s">
        <v>735</v>
      </c>
      <c r="N110" s="90" t="s">
        <v>736</v>
      </c>
      <c r="O110" s="90" t="s">
        <v>737</v>
      </c>
      <c r="P110" s="90" t="s">
        <v>381</v>
      </c>
      <c r="Q110" s="24">
        <v>7</v>
      </c>
      <c r="R110" s="239"/>
      <c r="T110" s="14"/>
      <c r="U110" s="14"/>
      <c r="V110" s="14"/>
      <c r="W110" s="14"/>
      <c r="X110" s="14"/>
      <c r="Y110" s="14"/>
    </row>
    <row r="111" spans="1:25" ht="24.95" customHeight="1">
      <c r="A111" s="106" t="s">
        <v>1099</v>
      </c>
      <c r="B111" s="20" t="s">
        <v>10</v>
      </c>
      <c r="C111" s="248"/>
      <c r="D111" s="26" t="s">
        <v>128</v>
      </c>
      <c r="E111" s="71" t="s">
        <v>1100</v>
      </c>
      <c r="F111" s="71">
        <v>62927</v>
      </c>
      <c r="G111" s="72">
        <v>8</v>
      </c>
      <c r="H111" s="22" t="s">
        <v>276</v>
      </c>
      <c r="I111" s="26"/>
      <c r="J111" s="22"/>
      <c r="K111" s="22" t="s">
        <v>129</v>
      </c>
      <c r="L111" s="94" t="s">
        <v>976</v>
      </c>
      <c r="M111" s="90" t="s">
        <v>977</v>
      </c>
      <c r="N111" s="90" t="s">
        <v>978</v>
      </c>
      <c r="O111" s="90" t="s">
        <v>979</v>
      </c>
      <c r="P111" s="90" t="s">
        <v>76</v>
      </c>
      <c r="Q111" s="24"/>
      <c r="R111" s="54"/>
      <c r="T111" s="14"/>
      <c r="U111" s="14"/>
      <c r="V111" s="14"/>
      <c r="W111" s="14"/>
      <c r="X111" s="14"/>
      <c r="Y111" s="14"/>
    </row>
    <row r="112" spans="1:25" ht="24.95" customHeight="1">
      <c r="A112" s="106" t="s">
        <v>1099</v>
      </c>
      <c r="B112" s="20" t="s">
        <v>130</v>
      </c>
      <c r="C112" s="238"/>
      <c r="D112" s="26" t="s">
        <v>131</v>
      </c>
      <c r="E112" s="71" t="s">
        <v>1098</v>
      </c>
      <c r="F112" s="71">
        <v>62927</v>
      </c>
      <c r="G112" s="72">
        <v>2</v>
      </c>
      <c r="H112" s="22" t="s">
        <v>287</v>
      </c>
      <c r="I112" s="26"/>
      <c r="J112" s="22"/>
      <c r="K112" s="22" t="s">
        <v>42</v>
      </c>
      <c r="L112" s="94" t="s">
        <v>980</v>
      </c>
      <c r="M112" s="90" t="s">
        <v>981</v>
      </c>
      <c r="N112" s="111" t="s">
        <v>982</v>
      </c>
      <c r="O112" s="90" t="s">
        <v>983</v>
      </c>
      <c r="P112" s="22" t="s">
        <v>42</v>
      </c>
      <c r="Q112" s="24"/>
      <c r="R112" s="54"/>
      <c r="T112" s="14"/>
      <c r="U112" s="14"/>
      <c r="V112" s="14"/>
      <c r="W112" s="14"/>
      <c r="X112" s="14"/>
      <c r="Y112" s="14"/>
    </row>
    <row r="113" spans="1:25" ht="24.95" customHeight="1">
      <c r="B113" s="20" t="s">
        <v>6</v>
      </c>
      <c r="C113" s="237" t="s">
        <v>132</v>
      </c>
      <c r="D113" s="22" t="s">
        <v>133</v>
      </c>
      <c r="E113" s="26" t="s">
        <v>386</v>
      </c>
      <c r="F113" s="26">
        <v>55511</v>
      </c>
      <c r="G113" s="84">
        <v>9</v>
      </c>
      <c r="H113" s="22" t="s">
        <v>276</v>
      </c>
      <c r="I113" s="22" t="s">
        <v>47</v>
      </c>
      <c r="J113" s="22" t="s">
        <v>47</v>
      </c>
      <c r="K113" s="22" t="s">
        <v>48</v>
      </c>
      <c r="L113" s="85" t="s">
        <v>738</v>
      </c>
      <c r="M113" s="85" t="s">
        <v>739</v>
      </c>
      <c r="N113" s="85" t="s">
        <v>740</v>
      </c>
      <c r="O113" s="85"/>
      <c r="P113" s="85" t="s">
        <v>187</v>
      </c>
      <c r="Q113" s="24"/>
      <c r="R113" s="42" t="s">
        <v>385</v>
      </c>
      <c r="T113" s="14"/>
      <c r="U113" s="14"/>
      <c r="V113" s="14"/>
      <c r="W113" s="14"/>
      <c r="X113" s="14"/>
      <c r="Y113" s="14"/>
    </row>
    <row r="114" spans="1:25" ht="24.95" customHeight="1">
      <c r="B114" s="20" t="s">
        <v>6</v>
      </c>
      <c r="C114" s="238"/>
      <c r="D114" s="22" t="s">
        <v>134</v>
      </c>
      <c r="E114" s="26" t="s">
        <v>388</v>
      </c>
      <c r="F114" s="26">
        <v>55511</v>
      </c>
      <c r="G114" s="84">
        <v>5</v>
      </c>
      <c r="H114" s="22" t="s">
        <v>276</v>
      </c>
      <c r="I114" s="22" t="s">
        <v>47</v>
      </c>
      <c r="J114" s="22" t="s">
        <v>47</v>
      </c>
      <c r="K114" s="22" t="s">
        <v>135</v>
      </c>
      <c r="L114" s="85" t="s">
        <v>741</v>
      </c>
      <c r="M114" s="85" t="s">
        <v>741</v>
      </c>
      <c r="N114" s="85" t="s">
        <v>741</v>
      </c>
      <c r="O114" s="85"/>
      <c r="P114" s="85" t="s">
        <v>387</v>
      </c>
      <c r="Q114" s="24"/>
      <c r="R114" s="42" t="s">
        <v>385</v>
      </c>
      <c r="T114" s="14"/>
      <c r="U114" s="14"/>
      <c r="V114" s="14"/>
      <c r="W114" s="14"/>
      <c r="X114" s="14"/>
      <c r="Y114" s="14"/>
    </row>
    <row r="115" spans="1:25" ht="24.95" customHeight="1">
      <c r="B115" s="20" t="s">
        <v>90</v>
      </c>
      <c r="C115" s="237" t="s">
        <v>136</v>
      </c>
      <c r="D115" s="22" t="s">
        <v>138</v>
      </c>
      <c r="E115" s="26" t="s">
        <v>393</v>
      </c>
      <c r="F115" s="26">
        <v>55511</v>
      </c>
      <c r="G115" s="84">
        <v>3</v>
      </c>
      <c r="H115" s="22" t="s">
        <v>276</v>
      </c>
      <c r="I115" s="22" t="s">
        <v>47</v>
      </c>
      <c r="J115" s="22" t="s">
        <v>47</v>
      </c>
      <c r="K115" s="22" t="s">
        <v>139</v>
      </c>
      <c r="L115" s="23" t="s">
        <v>746</v>
      </c>
      <c r="M115" s="94" t="s">
        <v>747</v>
      </c>
      <c r="N115" s="94" t="s">
        <v>748</v>
      </c>
      <c r="O115" s="94" t="s">
        <v>749</v>
      </c>
      <c r="P115" s="94"/>
      <c r="Q115" s="24"/>
      <c r="R115" s="42" t="s">
        <v>147</v>
      </c>
      <c r="S115" s="15"/>
      <c r="T115" s="15" t="s">
        <v>394</v>
      </c>
      <c r="U115" s="14"/>
      <c r="V115" s="15"/>
      <c r="W115" s="14"/>
      <c r="X115" s="14"/>
      <c r="Y115" s="14"/>
    </row>
    <row r="116" spans="1:25" ht="24.95" customHeight="1">
      <c r="B116" s="20" t="s">
        <v>6</v>
      </c>
      <c r="C116" s="248"/>
      <c r="D116" s="22" t="s">
        <v>137</v>
      </c>
      <c r="E116" s="26" t="s">
        <v>390</v>
      </c>
      <c r="F116" s="26">
        <v>55511</v>
      </c>
      <c r="G116" s="84">
        <v>12</v>
      </c>
      <c r="H116" s="22" t="s">
        <v>276</v>
      </c>
      <c r="I116" s="22" t="s">
        <v>391</v>
      </c>
      <c r="J116" s="22" t="s">
        <v>47</v>
      </c>
      <c r="K116" s="22" t="s">
        <v>48</v>
      </c>
      <c r="L116" s="94" t="s">
        <v>742</v>
      </c>
      <c r="M116" s="94" t="s">
        <v>743</v>
      </c>
      <c r="N116" s="94" t="s">
        <v>744</v>
      </c>
      <c r="O116" s="94" t="s">
        <v>745</v>
      </c>
      <c r="P116" s="85" t="s">
        <v>321</v>
      </c>
      <c r="Q116" s="24">
        <v>3.14</v>
      </c>
      <c r="R116" s="42" t="s">
        <v>147</v>
      </c>
      <c r="S116" s="15" t="s">
        <v>389</v>
      </c>
      <c r="T116" s="14" t="s">
        <v>392</v>
      </c>
      <c r="U116" s="14"/>
      <c r="V116" s="15"/>
      <c r="W116" s="14"/>
      <c r="X116" s="14"/>
      <c r="Y116" s="14"/>
    </row>
    <row r="117" spans="1:25" ht="24.95" customHeight="1">
      <c r="B117" s="20" t="s">
        <v>6</v>
      </c>
      <c r="C117" s="248"/>
      <c r="D117" s="22" t="s">
        <v>142</v>
      </c>
      <c r="E117" s="26" t="s">
        <v>397</v>
      </c>
      <c r="F117" s="26">
        <v>55511</v>
      </c>
      <c r="G117" s="84">
        <v>2</v>
      </c>
      <c r="H117" s="22" t="s">
        <v>276</v>
      </c>
      <c r="I117" s="22"/>
      <c r="J117" s="22"/>
      <c r="K117" s="22" t="s">
        <v>143</v>
      </c>
      <c r="L117" s="85" t="s">
        <v>754</v>
      </c>
      <c r="M117" s="85" t="s">
        <v>755</v>
      </c>
      <c r="N117" s="85" t="s">
        <v>756</v>
      </c>
      <c r="O117" s="85" t="s">
        <v>47</v>
      </c>
      <c r="P117" s="85"/>
      <c r="Q117" s="24"/>
      <c r="R117" s="42" t="s">
        <v>147</v>
      </c>
      <c r="T117" s="14"/>
      <c r="U117" s="14"/>
      <c r="V117" s="15"/>
      <c r="W117" s="14"/>
      <c r="X117" s="14"/>
      <c r="Y117" s="14"/>
    </row>
    <row r="118" spans="1:25" ht="24.95" customHeight="1">
      <c r="B118" s="28" t="s">
        <v>6</v>
      </c>
      <c r="C118" s="238"/>
      <c r="D118" s="29" t="s">
        <v>140</v>
      </c>
      <c r="E118" s="26" t="s">
        <v>396</v>
      </c>
      <c r="F118" s="26">
        <v>55511</v>
      </c>
      <c r="G118" s="84">
        <v>8</v>
      </c>
      <c r="H118" s="29" t="s">
        <v>276</v>
      </c>
      <c r="I118" s="29" t="s">
        <v>47</v>
      </c>
      <c r="J118" s="29" t="s">
        <v>47</v>
      </c>
      <c r="K118" s="29" t="s">
        <v>141</v>
      </c>
      <c r="L118" s="94" t="s">
        <v>750</v>
      </c>
      <c r="M118" s="94" t="s">
        <v>751</v>
      </c>
      <c r="N118" s="94" t="s">
        <v>752</v>
      </c>
      <c r="O118" s="94" t="s">
        <v>753</v>
      </c>
      <c r="P118" s="85" t="s">
        <v>395</v>
      </c>
      <c r="Q118" s="32">
        <v>4.0599999999999996</v>
      </c>
      <c r="R118" s="43" t="s">
        <v>147</v>
      </c>
      <c r="S118" s="15"/>
      <c r="T118" s="14"/>
      <c r="U118" s="14"/>
      <c r="V118" s="15"/>
      <c r="W118" s="14"/>
      <c r="X118" s="14"/>
      <c r="Y118" s="14"/>
    </row>
    <row r="119" spans="1:25" ht="24.95" customHeight="1">
      <c r="A119" s="113" t="s">
        <v>972</v>
      </c>
      <c r="B119" s="20" t="s">
        <v>6</v>
      </c>
      <c r="C119" s="110" t="s">
        <v>803</v>
      </c>
      <c r="D119" s="22" t="s">
        <v>984</v>
      </c>
      <c r="E119" s="26" t="s">
        <v>974</v>
      </c>
      <c r="F119" s="26">
        <v>63015</v>
      </c>
      <c r="G119" s="84">
        <v>0</v>
      </c>
      <c r="H119" s="29" t="s">
        <v>276</v>
      </c>
      <c r="I119" s="29" t="s">
        <v>47</v>
      </c>
      <c r="J119" s="29" t="s">
        <v>47</v>
      </c>
      <c r="K119" s="22" t="s">
        <v>988</v>
      </c>
      <c r="L119" s="85"/>
      <c r="M119" s="85"/>
      <c r="N119" s="85"/>
      <c r="O119" s="85"/>
      <c r="P119" s="22" t="s">
        <v>988</v>
      </c>
      <c r="Q119" s="24"/>
      <c r="R119" s="45"/>
      <c r="T119" s="14"/>
      <c r="U119" s="14"/>
      <c r="V119" s="15"/>
      <c r="W119" s="14"/>
      <c r="X119" s="14"/>
      <c r="Y119" s="14"/>
    </row>
    <row r="120" spans="1:25" ht="24.95" customHeight="1">
      <c r="A120" s="113" t="s">
        <v>972</v>
      </c>
      <c r="B120" s="20" t="s">
        <v>6</v>
      </c>
      <c r="C120" s="110" t="s">
        <v>497</v>
      </c>
      <c r="D120" s="22" t="s">
        <v>985</v>
      </c>
      <c r="E120" s="26" t="s">
        <v>974</v>
      </c>
      <c r="F120" s="26">
        <v>62121</v>
      </c>
      <c r="G120" s="84">
        <v>0</v>
      </c>
      <c r="H120" s="29" t="s">
        <v>276</v>
      </c>
      <c r="I120" s="29" t="s">
        <v>47</v>
      </c>
      <c r="J120" s="29" t="s">
        <v>47</v>
      </c>
      <c r="K120" s="22" t="s">
        <v>975</v>
      </c>
      <c r="L120" s="85"/>
      <c r="M120" s="85"/>
      <c r="N120" s="85"/>
      <c r="O120" s="85"/>
      <c r="P120" s="22" t="s">
        <v>1060</v>
      </c>
      <c r="Q120" s="24"/>
      <c r="R120" s="45"/>
      <c r="T120" s="14"/>
      <c r="U120" s="14"/>
      <c r="V120" s="15"/>
      <c r="W120" s="14"/>
      <c r="X120" s="14"/>
      <c r="Y120" s="14"/>
    </row>
    <row r="121" spans="1:25" ht="24.95" customHeight="1">
      <c r="B121" s="20" t="s">
        <v>10</v>
      </c>
      <c r="C121" s="83" t="s">
        <v>144</v>
      </c>
      <c r="D121" s="22" t="s">
        <v>145</v>
      </c>
      <c r="E121" s="26" t="s">
        <v>290</v>
      </c>
      <c r="F121" s="26">
        <v>55511</v>
      </c>
      <c r="G121" s="84">
        <v>7</v>
      </c>
      <c r="H121" s="22" t="s">
        <v>271</v>
      </c>
      <c r="I121" s="29" t="s">
        <v>47</v>
      </c>
      <c r="J121" s="29" t="s">
        <v>47</v>
      </c>
      <c r="K121" s="22" t="s">
        <v>146</v>
      </c>
      <c r="L121" s="23" t="s">
        <v>757</v>
      </c>
      <c r="M121" s="23"/>
      <c r="N121" s="23"/>
      <c r="O121" s="23"/>
      <c r="P121" s="85" t="s">
        <v>187</v>
      </c>
      <c r="Q121" s="24">
        <v>2.0099999999999998</v>
      </c>
      <c r="R121" s="247" t="s">
        <v>147</v>
      </c>
      <c r="T121" s="14"/>
      <c r="U121" s="14"/>
      <c r="V121" s="14"/>
      <c r="W121" s="14"/>
      <c r="X121" s="14"/>
      <c r="Y121" s="14"/>
    </row>
    <row r="122" spans="1:25" ht="24.95" customHeight="1">
      <c r="B122" s="20" t="s">
        <v>10</v>
      </c>
      <c r="C122" s="237" t="s">
        <v>147</v>
      </c>
      <c r="D122" s="22" t="s">
        <v>148</v>
      </c>
      <c r="E122" s="26" t="s">
        <v>298</v>
      </c>
      <c r="F122" s="26">
        <v>55511</v>
      </c>
      <c r="G122" s="84">
        <v>3</v>
      </c>
      <c r="H122" s="22" t="s">
        <v>271</v>
      </c>
      <c r="I122" s="22" t="s">
        <v>398</v>
      </c>
      <c r="J122" s="22" t="s">
        <v>399</v>
      </c>
      <c r="K122" s="22" t="s">
        <v>149</v>
      </c>
      <c r="L122" s="23" t="s">
        <v>757</v>
      </c>
      <c r="M122" s="23"/>
      <c r="N122" s="23"/>
      <c r="O122" s="23"/>
      <c r="P122" s="85" t="s">
        <v>149</v>
      </c>
      <c r="Q122" s="24">
        <v>1</v>
      </c>
      <c r="R122" s="239"/>
      <c r="T122" s="14"/>
      <c r="U122" s="14"/>
      <c r="V122" s="14"/>
      <c r="W122" s="14"/>
      <c r="X122" s="14"/>
      <c r="Y122" s="14"/>
    </row>
    <row r="123" spans="1:25" ht="24.95" customHeight="1">
      <c r="B123" s="20" t="s">
        <v>6</v>
      </c>
      <c r="C123" s="248"/>
      <c r="D123" s="22" t="s">
        <v>150</v>
      </c>
      <c r="E123" s="26" t="s">
        <v>318</v>
      </c>
      <c r="F123" s="26">
        <v>55511</v>
      </c>
      <c r="G123" s="84">
        <v>6</v>
      </c>
      <c r="H123" s="22" t="s">
        <v>276</v>
      </c>
      <c r="I123" s="22"/>
      <c r="J123" s="22"/>
      <c r="K123" s="22" t="s">
        <v>151</v>
      </c>
      <c r="L123" s="23" t="s">
        <v>758</v>
      </c>
      <c r="M123" s="23"/>
      <c r="N123" s="23"/>
      <c r="O123" s="23"/>
      <c r="P123" s="23" t="s">
        <v>400</v>
      </c>
      <c r="Q123" s="24">
        <v>3.54</v>
      </c>
      <c r="R123" s="240"/>
      <c r="T123" s="14"/>
      <c r="U123" s="14"/>
      <c r="V123" s="15"/>
      <c r="W123" s="14"/>
      <c r="X123" s="14"/>
      <c r="Y123" s="14"/>
    </row>
    <row r="124" spans="1:25" ht="24.95" customHeight="1">
      <c r="B124" s="20" t="s">
        <v>6</v>
      </c>
      <c r="C124" s="238"/>
      <c r="D124" s="22" t="s">
        <v>152</v>
      </c>
      <c r="E124" s="26" t="s">
        <v>402</v>
      </c>
      <c r="F124" s="26">
        <v>55511</v>
      </c>
      <c r="G124" s="84">
        <v>2</v>
      </c>
      <c r="H124" s="22" t="s">
        <v>276</v>
      </c>
      <c r="I124" s="22"/>
      <c r="J124" s="22"/>
      <c r="K124" s="22" t="s">
        <v>153</v>
      </c>
      <c r="L124" s="23" t="s">
        <v>759</v>
      </c>
      <c r="M124" s="23"/>
      <c r="N124" s="23"/>
      <c r="O124" s="23"/>
      <c r="P124" s="23" t="s">
        <v>401</v>
      </c>
      <c r="Q124" s="24"/>
      <c r="R124" s="54"/>
      <c r="T124" s="14"/>
      <c r="U124" s="14"/>
      <c r="V124" s="15"/>
      <c r="W124" s="14"/>
      <c r="X124" s="14"/>
      <c r="Y124" s="14"/>
    </row>
    <row r="125" spans="1:25" ht="24.95" customHeight="1">
      <c r="B125" s="28" t="s">
        <v>6</v>
      </c>
      <c r="C125" s="103" t="s">
        <v>154</v>
      </c>
      <c r="D125" s="29" t="s">
        <v>155</v>
      </c>
      <c r="E125" s="29" t="s">
        <v>404</v>
      </c>
      <c r="F125" s="29">
        <v>54790</v>
      </c>
      <c r="G125" s="84">
        <v>8</v>
      </c>
      <c r="H125" s="29" t="s">
        <v>276</v>
      </c>
      <c r="I125" s="29"/>
      <c r="J125" s="38"/>
      <c r="K125" s="29"/>
      <c r="L125" s="23" t="s">
        <v>760</v>
      </c>
      <c r="M125" s="23" t="s">
        <v>761</v>
      </c>
      <c r="N125" s="23"/>
      <c r="O125" s="23"/>
      <c r="P125" s="85" t="s">
        <v>187</v>
      </c>
      <c r="Q125" s="31">
        <v>1.1399999999999999</v>
      </c>
      <c r="R125" s="31" t="s">
        <v>403</v>
      </c>
      <c r="T125" s="14"/>
      <c r="U125" s="14"/>
      <c r="V125" s="14"/>
      <c r="W125" s="14"/>
      <c r="X125" s="14"/>
      <c r="Y125" s="14"/>
    </row>
    <row r="126" spans="1:25" ht="24.95" customHeight="1">
      <c r="A126" s="113" t="s">
        <v>972</v>
      </c>
      <c r="B126" s="20" t="s">
        <v>6</v>
      </c>
      <c r="C126" s="120" t="s">
        <v>403</v>
      </c>
      <c r="D126" s="29" t="s">
        <v>986</v>
      </c>
      <c r="E126" s="29" t="s">
        <v>987</v>
      </c>
      <c r="F126" s="29">
        <v>63015</v>
      </c>
      <c r="G126" s="84">
        <v>0</v>
      </c>
      <c r="H126" s="29" t="s">
        <v>276</v>
      </c>
      <c r="I126" s="29" t="s">
        <v>47</v>
      </c>
      <c r="J126" s="29" t="s">
        <v>47</v>
      </c>
      <c r="K126" s="22" t="s">
        <v>988</v>
      </c>
      <c r="L126" s="23"/>
      <c r="M126" s="23"/>
      <c r="N126" s="23"/>
      <c r="O126" s="23"/>
      <c r="P126" s="22" t="s">
        <v>988</v>
      </c>
      <c r="Q126" s="31"/>
      <c r="R126" s="31"/>
      <c r="T126" s="14"/>
      <c r="U126" s="14"/>
      <c r="V126" s="14"/>
      <c r="W126" s="14"/>
      <c r="X126" s="14"/>
      <c r="Y126" s="14"/>
    </row>
    <row r="127" spans="1:25" ht="24.95" customHeight="1">
      <c r="A127" s="113" t="s">
        <v>972</v>
      </c>
      <c r="B127" s="28" t="s">
        <v>6</v>
      </c>
      <c r="C127" s="120" t="s">
        <v>863</v>
      </c>
      <c r="D127" s="29" t="s">
        <v>989</v>
      </c>
      <c r="E127" s="29" t="s">
        <v>987</v>
      </c>
      <c r="F127" s="29">
        <v>62121</v>
      </c>
      <c r="G127" s="84">
        <v>0</v>
      </c>
      <c r="H127" s="29" t="s">
        <v>276</v>
      </c>
      <c r="I127" s="29" t="s">
        <v>47</v>
      </c>
      <c r="J127" s="29" t="s">
        <v>47</v>
      </c>
      <c r="K127" s="22" t="s">
        <v>975</v>
      </c>
      <c r="L127" s="23"/>
      <c r="M127" s="23"/>
      <c r="N127" s="23"/>
      <c r="O127" s="23"/>
      <c r="P127" s="22" t="s">
        <v>1060</v>
      </c>
      <c r="Q127" s="31"/>
      <c r="R127" s="31"/>
      <c r="T127" s="14"/>
      <c r="U127" s="14"/>
      <c r="V127" s="14"/>
      <c r="W127" s="14"/>
      <c r="X127" s="14"/>
      <c r="Y127" s="14"/>
    </row>
    <row r="128" spans="1:25" s="63" customFormat="1" ht="24.95" customHeight="1">
      <c r="B128" s="56" t="s">
        <v>10</v>
      </c>
      <c r="C128" s="251" t="s">
        <v>156</v>
      </c>
      <c r="D128" s="64" t="s">
        <v>157</v>
      </c>
      <c r="E128" s="64"/>
      <c r="F128" s="64"/>
      <c r="G128" s="64"/>
      <c r="H128" s="64" t="s">
        <v>407</v>
      </c>
      <c r="I128" s="64" t="s">
        <v>408</v>
      </c>
      <c r="J128" s="64" t="s">
        <v>409</v>
      </c>
      <c r="K128" s="64"/>
      <c r="L128" s="65">
        <v>1.1100000000000001</v>
      </c>
      <c r="M128" s="65"/>
      <c r="N128" s="65"/>
      <c r="O128" s="65"/>
      <c r="P128" s="65"/>
      <c r="Q128" s="66">
        <v>1.1100000000000001</v>
      </c>
      <c r="R128" s="67"/>
      <c r="S128" s="64" t="s">
        <v>406</v>
      </c>
      <c r="T128" s="62"/>
      <c r="U128" s="62"/>
      <c r="V128" s="62"/>
      <c r="W128" s="62"/>
      <c r="X128" s="62"/>
      <c r="Y128" s="62"/>
    </row>
    <row r="129" spans="1:25" s="63" customFormat="1" ht="24.95" customHeight="1">
      <c r="B129" s="56" t="s">
        <v>6</v>
      </c>
      <c r="C129" s="252"/>
      <c r="D129" s="68" t="s">
        <v>158</v>
      </c>
      <c r="E129" s="68"/>
      <c r="F129" s="68"/>
      <c r="G129" s="68"/>
      <c r="H129" s="64" t="s">
        <v>410</v>
      </c>
      <c r="I129" s="64" t="s">
        <v>47</v>
      </c>
      <c r="J129" s="69" t="s">
        <v>47</v>
      </c>
      <c r="K129" s="64" t="s">
        <v>159</v>
      </c>
      <c r="L129" s="65">
        <v>2</v>
      </c>
      <c r="M129" s="65"/>
      <c r="N129" s="65"/>
      <c r="O129" s="65"/>
      <c r="P129" s="65"/>
      <c r="Q129" s="66"/>
      <c r="R129" s="67"/>
      <c r="S129" s="64" t="s">
        <v>406</v>
      </c>
      <c r="T129" s="62"/>
      <c r="U129" s="62"/>
      <c r="V129" s="62"/>
      <c r="W129" s="62"/>
      <c r="X129" s="62"/>
      <c r="Y129" s="62"/>
    </row>
    <row r="130" spans="1:25" s="18" customFormat="1" ht="24.95" customHeight="1">
      <c r="B130" s="20" t="s">
        <v>6</v>
      </c>
      <c r="C130" s="76" t="s">
        <v>160</v>
      </c>
      <c r="D130" s="77" t="s">
        <v>161</v>
      </c>
      <c r="E130" s="77" t="s">
        <v>413</v>
      </c>
      <c r="F130" s="77" t="s">
        <v>47</v>
      </c>
      <c r="G130" s="78"/>
      <c r="H130" s="77" t="s">
        <v>410</v>
      </c>
      <c r="I130" s="77" t="s">
        <v>414</v>
      </c>
      <c r="J130" s="79" t="s">
        <v>47</v>
      </c>
      <c r="K130" s="77"/>
      <c r="L130" s="80">
        <v>0.04</v>
      </c>
      <c r="M130" s="80"/>
      <c r="N130" s="80"/>
      <c r="O130" s="80"/>
      <c r="P130" s="80"/>
      <c r="Q130" s="80">
        <v>0.04</v>
      </c>
      <c r="R130" s="80" t="s">
        <v>411</v>
      </c>
      <c r="S130" s="96" t="s">
        <v>412</v>
      </c>
      <c r="T130" s="14"/>
      <c r="U130" s="14"/>
      <c r="V130" s="14"/>
      <c r="W130" s="14"/>
      <c r="X130" s="14"/>
      <c r="Y130" s="14"/>
    </row>
    <row r="131" spans="1:25" ht="24.95" customHeight="1">
      <c r="B131" s="28" t="s">
        <v>6</v>
      </c>
      <c r="C131" s="33" t="s">
        <v>162</v>
      </c>
      <c r="D131" s="22" t="s">
        <v>163</v>
      </c>
      <c r="E131" s="22" t="s">
        <v>298</v>
      </c>
      <c r="F131" s="22">
        <v>54378</v>
      </c>
      <c r="G131" s="84">
        <v>4</v>
      </c>
      <c r="H131" s="22" t="s">
        <v>415</v>
      </c>
      <c r="I131" s="22"/>
      <c r="J131" s="25" t="s">
        <v>47</v>
      </c>
      <c r="K131" s="22"/>
      <c r="L131" s="85" t="s">
        <v>47</v>
      </c>
      <c r="M131" s="85"/>
      <c r="N131" s="85"/>
      <c r="O131" s="85"/>
      <c r="P131" s="85"/>
      <c r="Q131" s="23">
        <v>1.01</v>
      </c>
      <c r="R131" s="23" t="s">
        <v>162</v>
      </c>
      <c r="T131" s="14"/>
      <c r="U131" s="14"/>
      <c r="V131" s="14"/>
      <c r="W131" s="14"/>
      <c r="X131" s="14"/>
      <c r="Y131" s="14"/>
    </row>
    <row r="132" spans="1:25" ht="24.95" customHeight="1">
      <c r="B132" s="20" t="s">
        <v>6</v>
      </c>
      <c r="C132" s="33" t="s">
        <v>164</v>
      </c>
      <c r="D132" s="22" t="s">
        <v>165</v>
      </c>
      <c r="E132" s="22"/>
      <c r="F132" s="22"/>
      <c r="G132" s="84"/>
      <c r="H132" s="22" t="s">
        <v>410</v>
      </c>
      <c r="I132" s="22"/>
      <c r="J132" s="25"/>
      <c r="K132" s="22"/>
      <c r="L132" s="85"/>
      <c r="M132" s="85"/>
      <c r="N132" s="85"/>
      <c r="O132" s="85"/>
      <c r="P132" s="85"/>
      <c r="Q132" s="23"/>
      <c r="R132" s="23"/>
      <c r="T132" s="14"/>
      <c r="U132" s="14"/>
      <c r="V132" s="14"/>
      <c r="W132" s="14"/>
      <c r="X132" s="14"/>
      <c r="Y132" s="14"/>
    </row>
    <row r="133" spans="1:25" ht="24.95" customHeight="1">
      <c r="B133" s="20" t="s">
        <v>6</v>
      </c>
      <c r="C133" s="76" t="s">
        <v>166</v>
      </c>
      <c r="D133" s="77" t="s">
        <v>167</v>
      </c>
      <c r="E133" s="77" t="s">
        <v>418</v>
      </c>
      <c r="F133" s="77" t="s">
        <v>47</v>
      </c>
      <c r="G133" s="78">
        <v>44470</v>
      </c>
      <c r="H133" s="77" t="s">
        <v>410</v>
      </c>
      <c r="I133" s="77"/>
      <c r="J133" s="79"/>
      <c r="K133" s="77"/>
      <c r="L133" s="80">
        <v>0.05</v>
      </c>
      <c r="M133" s="80"/>
      <c r="N133" s="80"/>
      <c r="O133" s="80"/>
      <c r="P133" s="80"/>
      <c r="Q133" s="80">
        <v>0.05</v>
      </c>
      <c r="R133" s="80" t="s">
        <v>416</v>
      </c>
      <c r="S133" s="96" t="s">
        <v>417</v>
      </c>
      <c r="T133" s="14"/>
      <c r="U133" s="14"/>
      <c r="V133" s="14"/>
      <c r="W133" s="14"/>
      <c r="X133" s="14"/>
      <c r="Y133" s="14"/>
    </row>
    <row r="134" spans="1:25" ht="24.95" customHeight="1">
      <c r="B134" s="28" t="s">
        <v>6</v>
      </c>
      <c r="C134" s="33" t="s">
        <v>168</v>
      </c>
      <c r="D134" s="22" t="s">
        <v>169</v>
      </c>
      <c r="E134" s="22" t="s">
        <v>312</v>
      </c>
      <c r="F134" s="22">
        <v>53624</v>
      </c>
      <c r="G134" s="84">
        <v>3</v>
      </c>
      <c r="H134" s="22" t="s">
        <v>410</v>
      </c>
      <c r="I134" s="22"/>
      <c r="J134" s="25"/>
      <c r="K134" s="22"/>
      <c r="L134" s="23" t="s">
        <v>762</v>
      </c>
      <c r="M134" s="23"/>
      <c r="N134" s="23"/>
      <c r="O134" s="23"/>
      <c r="P134" s="115" t="s">
        <v>187</v>
      </c>
      <c r="Q134" s="23">
        <v>1</v>
      </c>
      <c r="R134" s="23" t="s">
        <v>168</v>
      </c>
      <c r="T134" s="14"/>
      <c r="U134" s="14"/>
      <c r="V134" s="14"/>
      <c r="W134" s="14"/>
      <c r="X134" s="14"/>
      <c r="Y134" s="14"/>
    </row>
    <row r="135" spans="1:25" ht="24.95" customHeight="1">
      <c r="B135" s="20" t="s">
        <v>6</v>
      </c>
      <c r="C135" s="33" t="s">
        <v>170</v>
      </c>
      <c r="D135" s="22" t="s">
        <v>171</v>
      </c>
      <c r="E135" s="22"/>
      <c r="F135" s="22"/>
      <c r="G135" s="84"/>
      <c r="H135" s="22" t="s">
        <v>410</v>
      </c>
      <c r="I135" s="22"/>
      <c r="J135" s="25"/>
      <c r="K135" s="22"/>
      <c r="L135" s="23" t="s">
        <v>1097</v>
      </c>
      <c r="M135" s="23"/>
      <c r="N135" s="23"/>
      <c r="O135" s="23"/>
      <c r="P135" s="122" t="s">
        <v>187</v>
      </c>
      <c r="Q135" s="23"/>
      <c r="R135" s="23"/>
      <c r="T135" s="14"/>
      <c r="U135" s="14"/>
      <c r="V135" s="14"/>
      <c r="W135" s="14"/>
      <c r="X135" s="14"/>
      <c r="Y135" s="14"/>
    </row>
    <row r="136" spans="1:25" ht="24.95" customHeight="1">
      <c r="B136" s="112" t="s">
        <v>49</v>
      </c>
      <c r="C136" s="109" t="s">
        <v>172</v>
      </c>
      <c r="D136" s="22" t="s">
        <v>173</v>
      </c>
      <c r="E136" s="22"/>
      <c r="F136" s="22"/>
      <c r="G136" s="22"/>
      <c r="H136" s="22" t="s">
        <v>419</v>
      </c>
      <c r="I136" s="22"/>
      <c r="J136" s="25"/>
      <c r="K136" s="22"/>
      <c r="L136" s="23"/>
      <c r="M136" s="23"/>
      <c r="N136" s="23"/>
      <c r="O136" s="23"/>
      <c r="P136" s="23"/>
      <c r="Q136" s="23"/>
      <c r="R136" s="23"/>
      <c r="S136" s="53" t="s">
        <v>420</v>
      </c>
      <c r="T136" s="14"/>
      <c r="U136" s="14"/>
      <c r="V136" s="14"/>
      <c r="W136" s="14"/>
      <c r="X136" s="14"/>
      <c r="Y136" s="14"/>
    </row>
    <row r="137" spans="1:25" ht="24.95" customHeight="1">
      <c r="A137" s="113"/>
      <c r="B137" s="20" t="s">
        <v>6</v>
      </c>
      <c r="C137" s="245" t="s">
        <v>174</v>
      </c>
      <c r="D137" s="22" t="s">
        <v>179</v>
      </c>
      <c r="E137" s="22"/>
      <c r="F137" s="22"/>
      <c r="G137" s="22"/>
      <c r="H137" s="22" t="s">
        <v>276</v>
      </c>
      <c r="I137" s="22"/>
      <c r="J137" s="25"/>
      <c r="K137" s="22" t="s">
        <v>180</v>
      </c>
      <c r="L137" s="23">
        <v>0</v>
      </c>
      <c r="M137" s="23"/>
      <c r="N137" s="23"/>
      <c r="O137" s="23"/>
      <c r="P137" s="23"/>
      <c r="Q137" s="23"/>
      <c r="R137" s="23"/>
      <c r="T137" s="14"/>
      <c r="U137" s="14"/>
      <c r="V137" s="14"/>
      <c r="W137" s="14"/>
      <c r="X137" s="14"/>
      <c r="Y137" s="14"/>
    </row>
    <row r="138" spans="1:25" ht="24.95" customHeight="1">
      <c r="B138" s="20" t="s">
        <v>6</v>
      </c>
      <c r="C138" s="249"/>
      <c r="D138" s="22" t="s">
        <v>175</v>
      </c>
      <c r="E138" s="22"/>
      <c r="F138" s="22"/>
      <c r="G138" s="22"/>
      <c r="H138" s="22" t="s">
        <v>421</v>
      </c>
      <c r="I138" s="22"/>
      <c r="J138" s="25"/>
      <c r="K138" s="22" t="s">
        <v>176</v>
      </c>
      <c r="L138" s="23">
        <v>0</v>
      </c>
      <c r="M138" s="23"/>
      <c r="N138" s="23"/>
      <c r="O138" s="23"/>
      <c r="P138" s="23"/>
      <c r="Q138" s="23"/>
      <c r="R138" s="23"/>
      <c r="T138" s="14"/>
      <c r="U138" s="14"/>
      <c r="V138" s="14"/>
      <c r="W138" s="14"/>
      <c r="X138" s="14"/>
      <c r="Y138" s="14"/>
    </row>
    <row r="139" spans="1:25" ht="24.95" customHeight="1">
      <c r="B139" s="20" t="s">
        <v>990</v>
      </c>
      <c r="C139" s="249"/>
      <c r="D139" s="22" t="s">
        <v>177</v>
      </c>
      <c r="E139" s="22" t="s">
        <v>991</v>
      </c>
      <c r="F139" s="22">
        <v>50187</v>
      </c>
      <c r="G139" s="22"/>
      <c r="H139" s="22" t="s">
        <v>422</v>
      </c>
      <c r="I139" s="22"/>
      <c r="J139" s="25"/>
      <c r="K139" s="22" t="s">
        <v>178</v>
      </c>
      <c r="L139" s="23" t="s">
        <v>992</v>
      </c>
      <c r="M139" s="23"/>
      <c r="N139" s="23"/>
      <c r="O139" s="23"/>
      <c r="P139" s="23" t="s">
        <v>993</v>
      </c>
      <c r="Q139" s="23"/>
      <c r="R139" s="23"/>
      <c r="T139" s="14"/>
      <c r="U139" s="14"/>
      <c r="V139" s="14"/>
      <c r="W139" s="14"/>
      <c r="X139" s="14"/>
      <c r="Y139" s="14"/>
    </row>
    <row r="140" spans="1:25" ht="24.95" customHeight="1">
      <c r="B140" s="20" t="s">
        <v>6</v>
      </c>
      <c r="C140" s="249"/>
      <c r="D140" s="22" t="s">
        <v>994</v>
      </c>
      <c r="E140" s="22" t="s">
        <v>995</v>
      </c>
      <c r="F140" s="22">
        <v>55360</v>
      </c>
      <c r="G140" s="22"/>
      <c r="H140" s="22" t="s">
        <v>422</v>
      </c>
      <c r="I140" s="22"/>
      <c r="J140" s="25"/>
      <c r="K140" s="22" t="s">
        <v>996</v>
      </c>
      <c r="L140" s="23" t="s">
        <v>997</v>
      </c>
      <c r="M140" s="23"/>
      <c r="N140" s="23"/>
      <c r="O140" s="23"/>
      <c r="P140" s="23" t="s">
        <v>998</v>
      </c>
      <c r="Q140" s="23"/>
      <c r="R140" s="23"/>
      <c r="T140" s="14"/>
      <c r="U140" s="14"/>
      <c r="V140" s="14"/>
      <c r="W140" s="14"/>
      <c r="X140" s="14"/>
      <c r="Y140" s="14"/>
    </row>
    <row r="141" spans="1:25" ht="24.95" customHeight="1">
      <c r="A141" s="113" t="s">
        <v>972</v>
      </c>
      <c r="B141" s="20" t="s">
        <v>990</v>
      </c>
      <c r="C141" s="249"/>
      <c r="D141" s="22" t="s">
        <v>999</v>
      </c>
      <c r="E141" s="22" t="s">
        <v>1000</v>
      </c>
      <c r="F141" s="22"/>
      <c r="G141" s="22"/>
      <c r="H141" s="22" t="s">
        <v>422</v>
      </c>
      <c r="I141" s="22" t="s">
        <v>1001</v>
      </c>
      <c r="J141" s="25" t="s">
        <v>47</v>
      </c>
      <c r="K141" s="22" t="s">
        <v>1002</v>
      </c>
      <c r="L141" s="23"/>
      <c r="M141" s="23"/>
      <c r="N141" s="23"/>
      <c r="O141" s="23"/>
      <c r="P141" s="23"/>
      <c r="Q141" s="23"/>
      <c r="R141" s="23"/>
      <c r="T141" s="14"/>
      <c r="U141" s="14"/>
      <c r="V141" s="14"/>
      <c r="W141" s="14"/>
      <c r="X141" s="14"/>
      <c r="Y141" s="14"/>
    </row>
    <row r="142" spans="1:25" ht="24.95" customHeight="1">
      <c r="A142" s="1" t="s">
        <v>972</v>
      </c>
      <c r="B142" s="20" t="s">
        <v>990</v>
      </c>
      <c r="C142" s="249"/>
      <c r="D142" s="22" t="s">
        <v>1003</v>
      </c>
      <c r="E142" s="22" t="s">
        <v>974</v>
      </c>
      <c r="F142" s="22"/>
      <c r="G142" s="22"/>
      <c r="H142" s="22" t="s">
        <v>422</v>
      </c>
      <c r="I142" s="22" t="s">
        <v>1004</v>
      </c>
      <c r="J142" s="25" t="s">
        <v>47</v>
      </c>
      <c r="K142" s="22" t="s">
        <v>1005</v>
      </c>
      <c r="L142" s="23"/>
      <c r="M142" s="23"/>
      <c r="N142" s="23"/>
      <c r="O142" s="23"/>
      <c r="P142" s="23"/>
      <c r="Q142" s="23"/>
      <c r="R142" s="23"/>
      <c r="T142" s="14"/>
      <c r="U142" s="14"/>
      <c r="V142" s="14"/>
      <c r="W142" s="14"/>
      <c r="X142" s="14"/>
      <c r="Y142" s="14"/>
    </row>
    <row r="143" spans="1:25" ht="24.95" customHeight="1">
      <c r="A143" s="1" t="s">
        <v>972</v>
      </c>
      <c r="B143" s="20" t="s">
        <v>990</v>
      </c>
      <c r="C143" s="249"/>
      <c r="D143" s="22" t="s">
        <v>1006</v>
      </c>
      <c r="E143" s="22" t="s">
        <v>1007</v>
      </c>
      <c r="F143" s="22"/>
      <c r="G143" s="22"/>
      <c r="H143" s="22" t="s">
        <v>422</v>
      </c>
      <c r="I143" s="22" t="s">
        <v>1008</v>
      </c>
      <c r="J143" s="25" t="s">
        <v>47</v>
      </c>
      <c r="K143" s="22" t="s">
        <v>1009</v>
      </c>
      <c r="L143" s="23"/>
      <c r="M143" s="23"/>
      <c r="N143" s="23"/>
      <c r="O143" s="23"/>
      <c r="P143" s="23"/>
      <c r="Q143" s="23"/>
      <c r="R143" s="23"/>
      <c r="T143" s="14"/>
      <c r="U143" s="14"/>
      <c r="V143" s="14"/>
      <c r="W143" s="14"/>
      <c r="X143" s="14"/>
      <c r="Y143" s="14"/>
    </row>
    <row r="144" spans="1:25" ht="24.95" customHeight="1">
      <c r="A144" s="1" t="s">
        <v>972</v>
      </c>
      <c r="B144" s="20" t="s">
        <v>990</v>
      </c>
      <c r="C144" s="246"/>
      <c r="D144" s="22" t="s">
        <v>1010</v>
      </c>
      <c r="E144" s="22" t="s">
        <v>1011</v>
      </c>
      <c r="F144" s="22"/>
      <c r="G144" s="22"/>
      <c r="H144" s="22" t="s">
        <v>422</v>
      </c>
      <c r="I144" s="22" t="s">
        <v>1012</v>
      </c>
      <c r="J144" s="25" t="s">
        <v>47</v>
      </c>
      <c r="K144" s="22" t="s">
        <v>1013</v>
      </c>
      <c r="L144" s="23"/>
      <c r="M144" s="23"/>
      <c r="N144" s="23"/>
      <c r="O144" s="23"/>
      <c r="P144" s="23"/>
      <c r="Q144" s="23"/>
      <c r="R144" s="23"/>
      <c r="T144" s="14"/>
      <c r="U144" s="14"/>
      <c r="V144" s="14"/>
      <c r="W144" s="14"/>
      <c r="X144" s="14"/>
      <c r="Y144" s="14"/>
    </row>
    <row r="145" spans="1:25" ht="24.95" customHeight="1">
      <c r="B145" s="20" t="s">
        <v>6</v>
      </c>
      <c r="C145" s="109" t="s">
        <v>1061</v>
      </c>
      <c r="D145" s="22" t="s">
        <v>181</v>
      </c>
      <c r="E145" s="22" t="s">
        <v>1096</v>
      </c>
      <c r="F145" s="22"/>
      <c r="G145" s="22"/>
      <c r="H145" s="22" t="s">
        <v>422</v>
      </c>
      <c r="I145" s="22"/>
      <c r="J145" s="25"/>
      <c r="K145" s="22"/>
      <c r="L145" s="23"/>
      <c r="M145" s="23"/>
      <c r="N145" s="23"/>
      <c r="O145" s="23"/>
      <c r="P145" s="23"/>
      <c r="Q145" s="23"/>
      <c r="R145" s="23"/>
      <c r="T145" s="14"/>
      <c r="U145" s="14"/>
      <c r="V145" s="14"/>
      <c r="W145" s="14"/>
      <c r="X145" s="14"/>
      <c r="Y145" s="14"/>
    </row>
    <row r="146" spans="1:25" ht="24.95" customHeight="1">
      <c r="B146" s="112" t="s">
        <v>49</v>
      </c>
      <c r="C146" s="109" t="s">
        <v>182</v>
      </c>
      <c r="D146" s="22" t="s">
        <v>1062</v>
      </c>
      <c r="E146" s="22"/>
      <c r="F146" s="22"/>
      <c r="G146" s="22"/>
      <c r="H146" s="22" t="s">
        <v>421</v>
      </c>
      <c r="I146" s="22"/>
      <c r="J146" s="25"/>
      <c r="K146" s="22"/>
      <c r="L146" s="23"/>
      <c r="M146" s="23"/>
      <c r="N146" s="23"/>
      <c r="O146" s="23"/>
      <c r="P146" s="23"/>
      <c r="Q146" s="23"/>
      <c r="R146" s="23"/>
      <c r="T146" s="14"/>
      <c r="U146" s="14"/>
      <c r="V146" s="14"/>
      <c r="W146" s="14"/>
      <c r="X146" s="14"/>
      <c r="Y146" s="14"/>
    </row>
    <row r="147" spans="1:25" s="18" customFormat="1" ht="24.95" customHeight="1">
      <c r="B147" s="20" t="s">
        <v>6</v>
      </c>
      <c r="C147" s="34" t="s">
        <v>183</v>
      </c>
      <c r="D147" s="29" t="s">
        <v>184</v>
      </c>
      <c r="E147" s="29" t="s">
        <v>423</v>
      </c>
      <c r="F147" s="29">
        <v>55134</v>
      </c>
      <c r="G147" s="84">
        <v>8</v>
      </c>
      <c r="H147" s="29" t="s">
        <v>424</v>
      </c>
      <c r="I147" s="29" t="s">
        <v>47</v>
      </c>
      <c r="J147" s="29" t="s">
        <v>47</v>
      </c>
      <c r="K147" s="29"/>
      <c r="L147" s="31" t="s">
        <v>763</v>
      </c>
      <c r="M147" s="31"/>
      <c r="N147" s="31"/>
      <c r="O147" s="31"/>
      <c r="P147" s="95" t="s">
        <v>187</v>
      </c>
      <c r="Q147" s="32">
        <v>1.03</v>
      </c>
      <c r="R147" s="43" t="s">
        <v>183</v>
      </c>
      <c r="S147" s="19"/>
      <c r="T147" s="19"/>
      <c r="U147" s="19"/>
      <c r="V147" s="19"/>
      <c r="W147" s="19"/>
      <c r="X147" s="19"/>
      <c r="Y147" s="19"/>
    </row>
    <row r="148" spans="1:25" ht="24.95" customHeight="1">
      <c r="B148" s="70" t="s">
        <v>10</v>
      </c>
      <c r="C148" s="225" t="s">
        <v>185</v>
      </c>
      <c r="D148" s="22" t="s">
        <v>186</v>
      </c>
      <c r="E148" s="22" t="s">
        <v>423</v>
      </c>
      <c r="F148" s="22">
        <v>55511</v>
      </c>
      <c r="G148" s="84">
        <v>7</v>
      </c>
      <c r="H148" s="25" t="s">
        <v>271</v>
      </c>
      <c r="I148" s="22" t="s">
        <v>425</v>
      </c>
      <c r="J148" s="25" t="s">
        <v>47</v>
      </c>
      <c r="K148" s="22" t="s">
        <v>187</v>
      </c>
      <c r="L148" s="23" t="s">
        <v>764</v>
      </c>
      <c r="M148" s="23"/>
      <c r="N148" s="23"/>
      <c r="O148" s="23"/>
      <c r="P148" s="85" t="s">
        <v>187</v>
      </c>
      <c r="Q148" s="24">
        <v>1.02</v>
      </c>
      <c r="R148" s="250" t="s">
        <v>185</v>
      </c>
      <c r="T148" s="14"/>
      <c r="U148" s="14"/>
      <c r="V148" s="14"/>
      <c r="W148" s="14"/>
      <c r="X148" s="14"/>
      <c r="Y148" s="14"/>
    </row>
    <row r="149" spans="1:25" ht="24.95" customHeight="1">
      <c r="B149" s="70" t="s">
        <v>10</v>
      </c>
      <c r="C149" s="226"/>
      <c r="D149" s="22" t="s">
        <v>188</v>
      </c>
      <c r="E149" s="22" t="s">
        <v>264</v>
      </c>
      <c r="F149" s="22">
        <v>55511</v>
      </c>
      <c r="G149" s="84">
        <v>7</v>
      </c>
      <c r="H149" s="22" t="s">
        <v>276</v>
      </c>
      <c r="I149" s="22" t="s">
        <v>47</v>
      </c>
      <c r="J149" s="27" t="s">
        <v>47</v>
      </c>
      <c r="K149" s="22" t="s">
        <v>189</v>
      </c>
      <c r="L149" s="23" t="s">
        <v>765</v>
      </c>
      <c r="M149" s="23"/>
      <c r="N149" s="23"/>
      <c r="O149" s="23"/>
      <c r="P149" s="85" t="s">
        <v>189</v>
      </c>
      <c r="Q149" s="24">
        <v>2.1</v>
      </c>
      <c r="R149" s="243"/>
      <c r="T149" s="14"/>
      <c r="U149" s="14"/>
      <c r="V149" s="14"/>
      <c r="W149" s="14"/>
      <c r="X149" s="14"/>
      <c r="Y149" s="14"/>
    </row>
    <row r="150" spans="1:25" ht="24.95" customHeight="1">
      <c r="B150" s="70" t="s">
        <v>10</v>
      </c>
      <c r="C150" s="226"/>
      <c r="D150" s="22" t="s">
        <v>190</v>
      </c>
      <c r="E150" s="22" t="s">
        <v>426</v>
      </c>
      <c r="F150" s="22">
        <v>55511</v>
      </c>
      <c r="G150" s="84">
        <v>2</v>
      </c>
      <c r="H150" s="22" t="s">
        <v>276</v>
      </c>
      <c r="I150" s="22" t="s">
        <v>47</v>
      </c>
      <c r="J150" s="27" t="s">
        <v>47</v>
      </c>
      <c r="K150" s="36" t="s">
        <v>191</v>
      </c>
      <c r="L150" s="37" t="s">
        <v>766</v>
      </c>
      <c r="M150" s="23" t="s">
        <v>767</v>
      </c>
      <c r="N150" s="23"/>
      <c r="O150" s="23"/>
      <c r="P150" s="23"/>
      <c r="Q150" s="24"/>
      <c r="R150" s="243"/>
      <c r="T150" s="14"/>
      <c r="U150" s="14"/>
      <c r="V150" s="14"/>
      <c r="W150" s="14"/>
      <c r="X150" s="14"/>
      <c r="Y150" s="14"/>
    </row>
    <row r="151" spans="1:25" ht="24.95" customHeight="1">
      <c r="B151" s="70" t="s">
        <v>6</v>
      </c>
      <c r="C151" s="226"/>
      <c r="D151" s="22" t="s">
        <v>192</v>
      </c>
      <c r="E151" s="29" t="s">
        <v>427</v>
      </c>
      <c r="F151" s="29">
        <v>55581</v>
      </c>
      <c r="G151" s="84">
        <v>7</v>
      </c>
      <c r="H151" s="29" t="s">
        <v>276</v>
      </c>
      <c r="I151" s="29" t="s">
        <v>47</v>
      </c>
      <c r="J151" s="30" t="s">
        <v>47</v>
      </c>
      <c r="K151" s="29" t="s">
        <v>193</v>
      </c>
      <c r="L151" s="31" t="s">
        <v>768</v>
      </c>
      <c r="M151" s="31"/>
      <c r="N151" s="31"/>
      <c r="O151" s="31"/>
      <c r="P151" s="95" t="s">
        <v>193</v>
      </c>
      <c r="Q151" s="32">
        <v>3.04</v>
      </c>
      <c r="R151" s="244"/>
      <c r="T151" s="15"/>
      <c r="U151" s="14"/>
      <c r="V151" s="14"/>
      <c r="W151" s="14"/>
      <c r="X151" s="14"/>
      <c r="Y151" s="14"/>
    </row>
    <row r="152" spans="1:25" ht="24.95" customHeight="1">
      <c r="B152" s="70" t="s">
        <v>10</v>
      </c>
      <c r="C152" s="226"/>
      <c r="D152" s="22" t="s">
        <v>194</v>
      </c>
      <c r="E152" s="29" t="s">
        <v>428</v>
      </c>
      <c r="F152" s="29">
        <v>50466</v>
      </c>
      <c r="G152" s="84">
        <v>1</v>
      </c>
      <c r="H152" s="29" t="s">
        <v>276</v>
      </c>
      <c r="I152" s="29"/>
      <c r="J152" s="30"/>
      <c r="K152" s="29" t="s">
        <v>195</v>
      </c>
      <c r="L152" s="37" t="s">
        <v>769</v>
      </c>
      <c r="M152" s="23" t="s">
        <v>767</v>
      </c>
      <c r="N152" s="31"/>
      <c r="O152" s="31"/>
      <c r="P152" s="31"/>
      <c r="Q152" s="32"/>
      <c r="R152" s="55"/>
      <c r="T152" s="97" t="s">
        <v>429</v>
      </c>
      <c r="U152" s="14"/>
      <c r="V152" s="14"/>
      <c r="W152" s="14"/>
      <c r="X152" s="14"/>
      <c r="Y152" s="14"/>
    </row>
    <row r="153" spans="1:25" ht="24.95" customHeight="1">
      <c r="B153" s="70" t="s">
        <v>90</v>
      </c>
      <c r="C153" s="227"/>
      <c r="D153" s="22" t="s">
        <v>196</v>
      </c>
      <c r="E153" s="22" t="s">
        <v>430</v>
      </c>
      <c r="F153" s="22">
        <v>47519</v>
      </c>
      <c r="G153" s="84">
        <v>1</v>
      </c>
      <c r="H153" s="22" t="s">
        <v>276</v>
      </c>
      <c r="I153" s="22" t="s">
        <v>47</v>
      </c>
      <c r="J153" s="22" t="s">
        <v>47</v>
      </c>
      <c r="K153" s="22" t="s">
        <v>139</v>
      </c>
      <c r="L153" s="23" t="s">
        <v>769</v>
      </c>
      <c r="M153" s="23"/>
      <c r="N153" s="23"/>
      <c r="O153" s="23"/>
      <c r="P153" s="23"/>
      <c r="Q153" s="24"/>
      <c r="R153" s="42"/>
      <c r="S153" s="15"/>
      <c r="T153" s="98" t="s">
        <v>431</v>
      </c>
      <c r="U153" s="14"/>
      <c r="V153" s="15"/>
      <c r="W153" s="14"/>
      <c r="X153" s="14"/>
      <c r="Y153" s="14"/>
    </row>
    <row r="154" spans="1:25" ht="24.95" customHeight="1">
      <c r="B154" s="20" t="s">
        <v>6</v>
      </c>
      <c r="C154" s="33" t="s">
        <v>197</v>
      </c>
      <c r="D154" s="22" t="s">
        <v>198</v>
      </c>
      <c r="E154" s="22" t="s">
        <v>268</v>
      </c>
      <c r="F154" s="22">
        <v>60238</v>
      </c>
      <c r="G154" s="84">
        <v>11</v>
      </c>
      <c r="H154" s="22" t="s">
        <v>432</v>
      </c>
      <c r="I154" s="22" t="s">
        <v>47</v>
      </c>
      <c r="J154" s="22" t="s">
        <v>47</v>
      </c>
      <c r="K154" s="22"/>
      <c r="L154" s="114" t="s">
        <v>1014</v>
      </c>
      <c r="M154" s="23" t="s">
        <v>770</v>
      </c>
      <c r="N154" s="23"/>
      <c r="O154" s="23"/>
      <c r="P154" s="85" t="s">
        <v>187</v>
      </c>
      <c r="Q154" s="24"/>
      <c r="R154" s="42" t="s">
        <v>199</v>
      </c>
      <c r="T154" s="14"/>
      <c r="U154" s="14"/>
      <c r="V154" s="14"/>
      <c r="W154" s="14"/>
      <c r="X154" s="14"/>
      <c r="Y154" s="14"/>
    </row>
    <row r="155" spans="1:25" ht="24.95" customHeight="1">
      <c r="A155" s="4" t="s">
        <v>1063</v>
      </c>
      <c r="B155" s="20" t="s">
        <v>6</v>
      </c>
      <c r="C155" s="33" t="s">
        <v>199</v>
      </c>
      <c r="D155" s="22" t="s">
        <v>200</v>
      </c>
      <c r="E155" s="22" t="s">
        <v>433</v>
      </c>
      <c r="F155" s="22">
        <v>62516</v>
      </c>
      <c r="G155" s="84">
        <v>11</v>
      </c>
      <c r="H155" s="22" t="s">
        <v>432</v>
      </c>
      <c r="I155" s="22" t="s">
        <v>1064</v>
      </c>
      <c r="J155" s="22" t="s">
        <v>47</v>
      </c>
      <c r="K155" s="22" t="s">
        <v>201</v>
      </c>
      <c r="L155" s="23" t="s">
        <v>1015</v>
      </c>
      <c r="M155" s="23"/>
      <c r="N155" s="23"/>
      <c r="O155" s="23"/>
      <c r="P155" s="115" t="s">
        <v>1016</v>
      </c>
      <c r="Q155" s="24"/>
      <c r="R155" s="42"/>
      <c r="T155" s="14"/>
      <c r="U155" s="14"/>
      <c r="V155" s="14"/>
      <c r="W155" s="14"/>
      <c r="X155" s="14"/>
      <c r="Y155" s="14"/>
    </row>
    <row r="156" spans="1:25" ht="24.95" customHeight="1">
      <c r="B156" s="20" t="s">
        <v>6</v>
      </c>
      <c r="C156" s="245" t="s">
        <v>202</v>
      </c>
      <c r="D156" s="26" t="s">
        <v>203</v>
      </c>
      <c r="E156" s="26" t="s">
        <v>298</v>
      </c>
      <c r="F156" s="26">
        <v>55511</v>
      </c>
      <c r="G156" s="84">
        <v>3</v>
      </c>
      <c r="H156" s="22" t="s">
        <v>276</v>
      </c>
      <c r="I156" s="22"/>
      <c r="J156" s="22"/>
      <c r="K156" s="22"/>
      <c r="L156" s="23" t="s">
        <v>771</v>
      </c>
      <c r="M156" s="23"/>
      <c r="N156" s="23"/>
      <c r="O156" s="23"/>
      <c r="P156" s="85" t="s">
        <v>187</v>
      </c>
      <c r="Q156" s="24">
        <v>1.01</v>
      </c>
      <c r="R156" s="250" t="s">
        <v>202</v>
      </c>
      <c r="S156" s="14" t="s">
        <v>434</v>
      </c>
      <c r="T156" s="14" t="s">
        <v>435</v>
      </c>
      <c r="U156" s="14"/>
      <c r="V156" s="14"/>
      <c r="W156" s="14"/>
      <c r="X156" s="14"/>
      <c r="Y156" s="14"/>
    </row>
    <row r="157" spans="1:25" ht="24.95" customHeight="1">
      <c r="B157" s="28" t="s">
        <v>6</v>
      </c>
      <c r="C157" s="246"/>
      <c r="D157" s="39" t="s">
        <v>204</v>
      </c>
      <c r="E157" s="39" t="s">
        <v>437</v>
      </c>
      <c r="F157" s="39">
        <v>55535</v>
      </c>
      <c r="G157" s="84">
        <v>6</v>
      </c>
      <c r="H157" s="29" t="s">
        <v>276</v>
      </c>
      <c r="I157" s="29"/>
      <c r="J157" s="29"/>
      <c r="K157" s="29" t="s">
        <v>141</v>
      </c>
      <c r="L157" s="31" t="s">
        <v>772</v>
      </c>
      <c r="M157" s="31" t="s">
        <v>773</v>
      </c>
      <c r="N157" s="31"/>
      <c r="O157" s="31"/>
      <c r="P157" s="31" t="s">
        <v>436</v>
      </c>
      <c r="Q157" s="32">
        <v>2.0099999999999998</v>
      </c>
      <c r="R157" s="244"/>
      <c r="S157" s="19"/>
      <c r="T157" s="19"/>
      <c r="U157" s="19"/>
      <c r="V157" s="19"/>
      <c r="W157" s="19"/>
      <c r="X157" s="19"/>
      <c r="Y157" s="19"/>
    </row>
    <row r="158" spans="1:25" ht="24.95" customHeight="1">
      <c r="B158" s="20" t="s">
        <v>6</v>
      </c>
      <c r="C158" s="245" t="s">
        <v>205</v>
      </c>
      <c r="D158" s="22" t="s">
        <v>206</v>
      </c>
      <c r="E158" s="22" t="s">
        <v>440</v>
      </c>
      <c r="F158" s="22">
        <v>55511</v>
      </c>
      <c r="G158" s="84">
        <v>3</v>
      </c>
      <c r="H158" s="22" t="s">
        <v>276</v>
      </c>
      <c r="I158" s="22" t="s">
        <v>47</v>
      </c>
      <c r="J158" s="22" t="s">
        <v>47</v>
      </c>
      <c r="K158" s="22" t="s">
        <v>207</v>
      </c>
      <c r="L158" s="23" t="s">
        <v>774</v>
      </c>
      <c r="M158" s="24"/>
      <c r="N158" s="23"/>
      <c r="O158" s="23"/>
      <c r="P158" s="23" t="s">
        <v>438</v>
      </c>
      <c r="Q158" s="24">
        <v>3.1</v>
      </c>
      <c r="R158" s="247" t="s">
        <v>439</v>
      </c>
      <c r="T158" s="14"/>
      <c r="U158" s="14"/>
      <c r="V158" s="14"/>
      <c r="W158" s="14"/>
      <c r="X158" s="14"/>
      <c r="Y158" s="14"/>
    </row>
    <row r="159" spans="1:25" ht="24.95" customHeight="1">
      <c r="B159" s="20" t="s">
        <v>6</v>
      </c>
      <c r="C159" s="246"/>
      <c r="D159" s="22" t="s">
        <v>208</v>
      </c>
      <c r="E159" s="22" t="s">
        <v>441</v>
      </c>
      <c r="F159" s="22">
        <v>55511</v>
      </c>
      <c r="G159" s="84">
        <v>1</v>
      </c>
      <c r="H159" s="22" t="s">
        <v>276</v>
      </c>
      <c r="I159" s="22" t="s">
        <v>47</v>
      </c>
      <c r="J159" s="22" t="s">
        <v>47</v>
      </c>
      <c r="K159" s="22" t="s">
        <v>141</v>
      </c>
      <c r="L159" s="23"/>
      <c r="M159" s="24" t="s">
        <v>775</v>
      </c>
      <c r="N159" s="23"/>
      <c r="O159" s="23"/>
      <c r="P159" s="85" t="s">
        <v>395</v>
      </c>
      <c r="Q159" s="24">
        <v>5</v>
      </c>
      <c r="R159" s="239"/>
      <c r="T159" s="14"/>
      <c r="U159" s="14"/>
      <c r="V159" s="14"/>
      <c r="W159" s="14"/>
      <c r="X159" s="14"/>
      <c r="Y159" s="14"/>
    </row>
    <row r="160" spans="1:25" ht="24.95" customHeight="1">
      <c r="B160" s="20" t="s">
        <v>10</v>
      </c>
      <c r="C160" s="33" t="s">
        <v>209</v>
      </c>
      <c r="D160" s="22" t="s">
        <v>210</v>
      </c>
      <c r="E160" s="22" t="s">
        <v>442</v>
      </c>
      <c r="F160" s="22">
        <v>55511</v>
      </c>
      <c r="G160" s="84">
        <v>15</v>
      </c>
      <c r="H160" s="22" t="s">
        <v>271</v>
      </c>
      <c r="I160" s="22" t="s">
        <v>443</v>
      </c>
      <c r="J160" s="22" t="s">
        <v>444</v>
      </c>
      <c r="K160" s="22"/>
      <c r="L160" s="23" t="s">
        <v>776</v>
      </c>
      <c r="M160" s="23" t="s">
        <v>777</v>
      </c>
      <c r="N160" s="23" t="s">
        <v>778</v>
      </c>
      <c r="O160" s="23"/>
      <c r="P160" s="85" t="s">
        <v>187</v>
      </c>
      <c r="Q160" s="24">
        <v>1.36</v>
      </c>
      <c r="R160" s="239"/>
      <c r="T160" s="14"/>
      <c r="U160" s="14"/>
      <c r="V160" s="14"/>
      <c r="W160" s="14"/>
      <c r="X160" s="14"/>
      <c r="Y160" s="14"/>
    </row>
    <row r="161" spans="1:25" ht="24.95" customHeight="1">
      <c r="B161" s="20" t="s">
        <v>10</v>
      </c>
      <c r="C161" s="245" t="s">
        <v>211</v>
      </c>
      <c r="D161" s="26" t="s">
        <v>212</v>
      </c>
      <c r="E161" s="26" t="s">
        <v>275</v>
      </c>
      <c r="F161" s="26">
        <v>55511</v>
      </c>
      <c r="G161" s="84">
        <v>1</v>
      </c>
      <c r="H161" s="22" t="s">
        <v>271</v>
      </c>
      <c r="I161" s="22" t="s">
        <v>446</v>
      </c>
      <c r="J161" s="22" t="s">
        <v>447</v>
      </c>
      <c r="K161" s="22" t="s">
        <v>213</v>
      </c>
      <c r="L161" s="23" t="s">
        <v>779</v>
      </c>
      <c r="M161" s="23"/>
      <c r="N161" s="23"/>
      <c r="O161" s="23"/>
      <c r="P161" s="23" t="s">
        <v>445</v>
      </c>
      <c r="Q161" s="24"/>
      <c r="R161" s="239"/>
      <c r="T161" s="14"/>
      <c r="U161" s="14"/>
      <c r="V161" s="14"/>
      <c r="W161" s="14"/>
      <c r="X161" s="14"/>
      <c r="Y161" s="14"/>
    </row>
    <row r="162" spans="1:25" ht="24.95" customHeight="1">
      <c r="B162" s="20" t="s">
        <v>10</v>
      </c>
      <c r="C162" s="246"/>
      <c r="D162" s="26" t="s">
        <v>214</v>
      </c>
      <c r="E162" s="26" t="s">
        <v>448</v>
      </c>
      <c r="F162" s="26">
        <v>55511</v>
      </c>
      <c r="G162" s="84">
        <v>1</v>
      </c>
      <c r="H162" s="22" t="s">
        <v>276</v>
      </c>
      <c r="I162" s="22" t="s">
        <v>449</v>
      </c>
      <c r="J162" s="22" t="s">
        <v>450</v>
      </c>
      <c r="K162" s="22" t="s">
        <v>213</v>
      </c>
      <c r="L162" s="23" t="s">
        <v>780</v>
      </c>
      <c r="M162" s="23"/>
      <c r="N162" s="23"/>
      <c r="O162" s="23"/>
      <c r="P162" s="23"/>
      <c r="Q162" s="24">
        <v>4</v>
      </c>
      <c r="R162" s="240"/>
      <c r="T162" s="14"/>
      <c r="U162" s="14"/>
      <c r="V162" s="14"/>
      <c r="W162" s="14"/>
      <c r="X162" s="14"/>
      <c r="Y162" s="14"/>
    </row>
    <row r="163" spans="1:25" s="18" customFormat="1" ht="24.95" customHeight="1">
      <c r="B163" s="20" t="s">
        <v>6</v>
      </c>
      <c r="C163" s="34" t="s">
        <v>215</v>
      </c>
      <c r="D163" s="29" t="s">
        <v>216</v>
      </c>
      <c r="E163" s="29" t="s">
        <v>451</v>
      </c>
      <c r="F163" s="29">
        <v>54790</v>
      </c>
      <c r="G163" s="84">
        <v>6</v>
      </c>
      <c r="H163" s="29" t="s">
        <v>424</v>
      </c>
      <c r="I163" s="29" t="s">
        <v>47</v>
      </c>
      <c r="J163" s="29" t="s">
        <v>47</v>
      </c>
      <c r="K163" s="29"/>
      <c r="L163" s="31" t="s">
        <v>781</v>
      </c>
      <c r="M163" s="31"/>
      <c r="N163" s="31"/>
      <c r="O163" s="31"/>
      <c r="P163" s="95" t="s">
        <v>187</v>
      </c>
      <c r="Q163" s="32">
        <v>2.02</v>
      </c>
      <c r="R163" s="43" t="s">
        <v>215</v>
      </c>
      <c r="S163" s="14"/>
      <c r="T163" s="14"/>
      <c r="U163" s="14"/>
      <c r="V163" s="14"/>
      <c r="W163" s="14"/>
      <c r="X163" s="14"/>
      <c r="Y163" s="14"/>
    </row>
    <row r="164" spans="1:25" ht="24.95" customHeight="1">
      <c r="B164" s="20" t="s">
        <v>10</v>
      </c>
      <c r="C164" s="245" t="s">
        <v>217</v>
      </c>
      <c r="D164" s="22" t="s">
        <v>218</v>
      </c>
      <c r="E164" s="22" t="s">
        <v>453</v>
      </c>
      <c r="F164" s="22">
        <v>55511</v>
      </c>
      <c r="G164" s="84">
        <v>12</v>
      </c>
      <c r="H164" s="22" t="s">
        <v>276</v>
      </c>
      <c r="I164" s="22" t="s">
        <v>47</v>
      </c>
      <c r="J164" s="22" t="s">
        <v>47</v>
      </c>
      <c r="K164" s="22" t="s">
        <v>219</v>
      </c>
      <c r="L164" s="23" t="s">
        <v>782</v>
      </c>
      <c r="M164" s="24"/>
      <c r="N164" s="24"/>
      <c r="O164" s="22" t="s">
        <v>187</v>
      </c>
      <c r="P164" s="83" t="s">
        <v>452</v>
      </c>
      <c r="Q164" s="24">
        <v>1.3</v>
      </c>
      <c r="R164" s="250" t="s">
        <v>454</v>
      </c>
      <c r="T164" s="14"/>
      <c r="U164" s="14"/>
      <c r="V164" s="14"/>
      <c r="W164" s="14"/>
      <c r="X164" s="14"/>
      <c r="Y164" s="14"/>
    </row>
    <row r="165" spans="1:25" ht="24.95" customHeight="1">
      <c r="B165" s="20" t="s">
        <v>6</v>
      </c>
      <c r="C165" s="249"/>
      <c r="D165" s="22" t="s">
        <v>220</v>
      </c>
      <c r="E165" s="22" t="s">
        <v>456</v>
      </c>
      <c r="F165" s="22">
        <v>55511</v>
      </c>
      <c r="G165" s="84">
        <v>9</v>
      </c>
      <c r="H165" s="22" t="s">
        <v>276</v>
      </c>
      <c r="I165" s="22" t="s">
        <v>47</v>
      </c>
      <c r="J165" s="22" t="s">
        <v>47</v>
      </c>
      <c r="K165" s="22" t="s">
        <v>219</v>
      </c>
      <c r="L165" s="94" t="s">
        <v>783</v>
      </c>
      <c r="M165" s="94" t="s">
        <v>784</v>
      </c>
      <c r="N165" s="94" t="s">
        <v>785</v>
      </c>
      <c r="O165" s="22" t="s">
        <v>786</v>
      </c>
      <c r="P165" s="22" t="s">
        <v>455</v>
      </c>
      <c r="Q165" s="24">
        <v>2.2000000000000002</v>
      </c>
      <c r="R165" s="243"/>
      <c r="T165" s="14"/>
      <c r="U165" s="14"/>
      <c r="V165" s="14"/>
      <c r="W165" s="14"/>
      <c r="X165" s="14"/>
      <c r="Y165" s="14"/>
    </row>
    <row r="166" spans="1:25" ht="24.95" customHeight="1">
      <c r="B166" s="20" t="s">
        <v>6</v>
      </c>
      <c r="C166" s="249"/>
      <c r="D166" s="22" t="s">
        <v>221</v>
      </c>
      <c r="E166" s="22" t="s">
        <v>458</v>
      </c>
      <c r="F166" s="22">
        <v>55535</v>
      </c>
      <c r="G166" s="84">
        <v>5</v>
      </c>
      <c r="H166" s="22" t="s">
        <v>276</v>
      </c>
      <c r="I166" s="22" t="s">
        <v>47</v>
      </c>
      <c r="J166" s="22" t="s">
        <v>47</v>
      </c>
      <c r="K166" s="22" t="s">
        <v>222</v>
      </c>
      <c r="L166" s="94" t="s">
        <v>787</v>
      </c>
      <c r="M166" s="94" t="s">
        <v>788</v>
      </c>
      <c r="N166" s="94" t="s">
        <v>789</v>
      </c>
      <c r="O166" s="22" t="s">
        <v>790</v>
      </c>
      <c r="P166" s="22" t="s">
        <v>457</v>
      </c>
      <c r="Q166" s="24">
        <v>3.02</v>
      </c>
      <c r="R166" s="244"/>
      <c r="T166" s="14"/>
      <c r="U166" s="14"/>
      <c r="V166" s="14"/>
      <c r="W166" s="14"/>
      <c r="X166" s="14"/>
      <c r="Y166" s="14"/>
    </row>
    <row r="167" spans="1:25" ht="24.95" customHeight="1">
      <c r="B167" s="20" t="s">
        <v>6</v>
      </c>
      <c r="C167" s="246"/>
      <c r="D167" s="26" t="s">
        <v>223</v>
      </c>
      <c r="E167" s="26" t="s">
        <v>360</v>
      </c>
      <c r="F167" s="26">
        <v>45611</v>
      </c>
      <c r="G167" s="84">
        <v>1</v>
      </c>
      <c r="H167" s="22" t="s">
        <v>410</v>
      </c>
      <c r="I167" s="22" t="s">
        <v>47</v>
      </c>
      <c r="J167" s="22" t="s">
        <v>47</v>
      </c>
      <c r="K167" s="22" t="s">
        <v>224</v>
      </c>
      <c r="L167" s="94" t="s">
        <v>791</v>
      </c>
      <c r="M167" s="99" t="s">
        <v>792</v>
      </c>
      <c r="N167" s="99" t="s">
        <v>793</v>
      </c>
      <c r="O167" s="94"/>
      <c r="P167" s="100" t="s">
        <v>459</v>
      </c>
      <c r="Q167" s="24"/>
      <c r="R167" s="42" t="s">
        <v>460</v>
      </c>
      <c r="T167" s="14"/>
      <c r="U167" s="14"/>
      <c r="V167" s="14"/>
      <c r="W167" s="14"/>
      <c r="X167" s="14"/>
      <c r="Y167" s="14"/>
    </row>
    <row r="168" spans="1:25" ht="24.95" customHeight="1">
      <c r="B168" s="47" t="s">
        <v>6</v>
      </c>
      <c r="C168" s="245" t="s">
        <v>225</v>
      </c>
      <c r="D168" s="48" t="s">
        <v>226</v>
      </c>
      <c r="E168" s="48" t="s">
        <v>306</v>
      </c>
      <c r="F168" s="26">
        <v>55535</v>
      </c>
      <c r="G168" s="84">
        <v>5</v>
      </c>
      <c r="H168" s="29" t="s">
        <v>276</v>
      </c>
      <c r="I168" s="21" t="s">
        <v>47</v>
      </c>
      <c r="J168" s="21" t="s">
        <v>47</v>
      </c>
      <c r="K168" s="21" t="s">
        <v>227</v>
      </c>
      <c r="L168" s="101" t="s">
        <v>794</v>
      </c>
      <c r="M168" s="101" t="s">
        <v>795</v>
      </c>
      <c r="N168" s="50"/>
      <c r="O168" s="101"/>
      <c r="P168" s="102" t="s">
        <v>462</v>
      </c>
      <c r="Q168" s="50"/>
      <c r="R168" s="45" t="s">
        <v>454</v>
      </c>
      <c r="T168" s="14"/>
      <c r="U168" s="14"/>
      <c r="V168" s="14"/>
      <c r="W168" s="14"/>
      <c r="X168" s="14"/>
      <c r="Y168" s="14"/>
    </row>
    <row r="169" spans="1:25" ht="24.95" customHeight="1">
      <c r="B169" s="47"/>
      <c r="C169" s="249"/>
      <c r="D169" s="48" t="s">
        <v>228</v>
      </c>
      <c r="E169" s="48" t="s">
        <v>433</v>
      </c>
      <c r="F169" s="26">
        <v>52999</v>
      </c>
      <c r="G169" s="84">
        <v>0</v>
      </c>
      <c r="H169" s="21" t="s">
        <v>415</v>
      </c>
      <c r="I169" s="21"/>
      <c r="J169" s="21"/>
      <c r="K169" s="21" t="s">
        <v>229</v>
      </c>
      <c r="L169" s="101" t="s">
        <v>796</v>
      </c>
      <c r="M169" s="101" t="s">
        <v>795</v>
      </c>
      <c r="N169" s="50"/>
      <c r="O169" s="101"/>
      <c r="P169" s="102" t="s">
        <v>463</v>
      </c>
      <c r="Q169" s="50"/>
      <c r="R169" s="45"/>
      <c r="T169" s="14"/>
      <c r="U169" s="14"/>
      <c r="V169" s="14"/>
      <c r="W169" s="14"/>
      <c r="X169" s="14"/>
      <c r="Y169" s="14"/>
    </row>
    <row r="170" spans="1:25" ht="24.95" customHeight="1">
      <c r="B170" s="47"/>
      <c r="C170" s="246"/>
      <c r="D170" s="48" t="s">
        <v>230</v>
      </c>
      <c r="E170" s="48" t="s">
        <v>466</v>
      </c>
      <c r="F170" s="26">
        <v>55511</v>
      </c>
      <c r="G170" s="84">
        <v>1</v>
      </c>
      <c r="H170" s="46" t="s">
        <v>276</v>
      </c>
      <c r="I170" s="21"/>
      <c r="J170" s="21"/>
      <c r="K170" s="21" t="s">
        <v>231</v>
      </c>
      <c r="L170" s="49" t="s">
        <v>797</v>
      </c>
      <c r="M170" s="50"/>
      <c r="N170" s="50"/>
      <c r="O170" s="49"/>
      <c r="P170" s="102" t="s">
        <v>465</v>
      </c>
      <c r="Q170" s="50"/>
      <c r="R170" s="45"/>
      <c r="T170" s="14"/>
      <c r="U170" s="14"/>
      <c r="V170" s="14"/>
      <c r="W170" s="14"/>
      <c r="X170" s="14"/>
      <c r="Y170" s="14"/>
    </row>
    <row r="171" spans="1:25" ht="24.95" customHeight="1">
      <c r="B171" s="35" t="s">
        <v>6</v>
      </c>
      <c r="C171" s="245" t="s">
        <v>232</v>
      </c>
      <c r="D171" s="26" t="s">
        <v>233</v>
      </c>
      <c r="E171" s="26" t="s">
        <v>1065</v>
      </c>
      <c r="F171" s="26"/>
      <c r="G171" s="26"/>
      <c r="H171" s="29" t="s">
        <v>467</v>
      </c>
      <c r="I171" s="22"/>
      <c r="J171" s="22"/>
      <c r="K171" s="22"/>
      <c r="L171" s="23" t="s">
        <v>1066</v>
      </c>
      <c r="M171" s="23"/>
      <c r="N171" s="23"/>
      <c r="O171" s="23"/>
      <c r="P171" s="23" t="s">
        <v>993</v>
      </c>
      <c r="Q171" s="24"/>
      <c r="R171" s="42"/>
      <c r="T171" s="14"/>
      <c r="U171" s="14"/>
      <c r="V171" s="14"/>
      <c r="W171" s="14"/>
      <c r="X171" s="14"/>
      <c r="Y171" s="14"/>
    </row>
    <row r="172" spans="1:25" ht="24.95" customHeight="1">
      <c r="A172" s="4" t="s">
        <v>1063</v>
      </c>
      <c r="B172" s="108" t="s">
        <v>6</v>
      </c>
      <c r="C172" s="246"/>
      <c r="D172" s="26" t="s">
        <v>1067</v>
      </c>
      <c r="E172" s="26" t="s">
        <v>433</v>
      </c>
      <c r="F172" s="26">
        <v>62740</v>
      </c>
      <c r="G172" s="26"/>
      <c r="H172" s="29" t="s">
        <v>467</v>
      </c>
      <c r="I172" s="22"/>
      <c r="J172" s="22"/>
      <c r="K172" s="22" t="s">
        <v>1068</v>
      </c>
      <c r="L172" s="23" t="s">
        <v>1069</v>
      </c>
      <c r="M172" s="23"/>
      <c r="N172" s="23"/>
      <c r="O172" s="23"/>
      <c r="P172" s="121" t="s">
        <v>1095</v>
      </c>
      <c r="Q172" s="24"/>
      <c r="R172" s="42"/>
      <c r="T172" s="14"/>
      <c r="U172" s="14"/>
      <c r="V172" s="14"/>
      <c r="W172" s="14"/>
      <c r="X172" s="14"/>
      <c r="Y172" s="14"/>
    </row>
    <row r="173" spans="1:25" ht="24" customHeight="1">
      <c r="B173" s="52" t="s">
        <v>10</v>
      </c>
      <c r="C173" s="253" t="s">
        <v>234</v>
      </c>
      <c r="D173" s="34" t="s">
        <v>235</v>
      </c>
      <c r="E173" s="34" t="s">
        <v>303</v>
      </c>
      <c r="F173" s="26">
        <v>61020</v>
      </c>
      <c r="G173" s="84">
        <v>9</v>
      </c>
      <c r="H173" s="34" t="s">
        <v>469</v>
      </c>
      <c r="I173" s="34" t="s">
        <v>47</v>
      </c>
      <c r="J173" s="34" t="s">
        <v>47</v>
      </c>
      <c r="K173" s="34" t="s">
        <v>219</v>
      </c>
      <c r="L173" s="28" t="s">
        <v>1017</v>
      </c>
      <c r="M173" s="28"/>
      <c r="N173" s="28"/>
      <c r="O173" s="28"/>
      <c r="P173" s="28" t="s">
        <v>468</v>
      </c>
      <c r="Q173" s="28" t="s">
        <v>47</v>
      </c>
      <c r="R173" s="28" t="s">
        <v>234</v>
      </c>
    </row>
    <row r="174" spans="1:25" ht="24" customHeight="1">
      <c r="B174" s="52" t="s">
        <v>10</v>
      </c>
      <c r="C174" s="254"/>
      <c r="D174" s="34" t="s">
        <v>236</v>
      </c>
      <c r="E174" s="34" t="s">
        <v>303</v>
      </c>
      <c r="F174" s="26">
        <v>61020</v>
      </c>
      <c r="G174" s="84">
        <v>9</v>
      </c>
      <c r="H174" s="34" t="s">
        <v>469</v>
      </c>
      <c r="I174" s="34" t="s">
        <v>47</v>
      </c>
      <c r="J174" s="34" t="s">
        <v>47</v>
      </c>
      <c r="K174" s="34" t="s">
        <v>237</v>
      </c>
      <c r="L174" s="28" t="s">
        <v>1018</v>
      </c>
      <c r="M174" s="28"/>
      <c r="N174" s="28"/>
      <c r="O174" s="28"/>
      <c r="P174" s="28" t="s">
        <v>470</v>
      </c>
      <c r="Q174" s="28" t="s">
        <v>47</v>
      </c>
      <c r="R174" s="28" t="s">
        <v>234</v>
      </c>
    </row>
    <row r="175" spans="1:25" ht="24" customHeight="1">
      <c r="B175" s="52" t="s">
        <v>6</v>
      </c>
      <c r="C175" s="254"/>
      <c r="D175" s="34" t="s">
        <v>238</v>
      </c>
      <c r="E175" s="34" t="s">
        <v>433</v>
      </c>
      <c r="F175" s="26">
        <v>61591</v>
      </c>
      <c r="G175" s="84">
        <v>1</v>
      </c>
      <c r="H175" s="34" t="s">
        <v>469</v>
      </c>
      <c r="I175" s="34" t="s">
        <v>47</v>
      </c>
      <c r="J175" s="34" t="s">
        <v>47</v>
      </c>
      <c r="K175" s="34" t="s">
        <v>239</v>
      </c>
      <c r="L175" s="28" t="s">
        <v>799</v>
      </c>
      <c r="M175" s="28"/>
      <c r="N175" s="28"/>
      <c r="O175" s="28"/>
      <c r="P175" s="28" t="s">
        <v>1019</v>
      </c>
      <c r="Q175" s="28" t="s">
        <v>47</v>
      </c>
      <c r="R175" s="28" t="s">
        <v>234</v>
      </c>
    </row>
    <row r="176" spans="1:25" ht="24" customHeight="1">
      <c r="B176" s="52" t="s">
        <v>6</v>
      </c>
      <c r="C176" s="254"/>
      <c r="D176" s="34" t="s">
        <v>240</v>
      </c>
      <c r="E176" s="34" t="s">
        <v>433</v>
      </c>
      <c r="F176" s="26">
        <v>61591</v>
      </c>
      <c r="G176" s="84">
        <v>1</v>
      </c>
      <c r="H176" s="34" t="s">
        <v>469</v>
      </c>
      <c r="I176" s="34" t="s">
        <v>47</v>
      </c>
      <c r="J176" s="34" t="s">
        <v>47</v>
      </c>
      <c r="K176" s="34" t="s">
        <v>241</v>
      </c>
      <c r="L176" s="28" t="s">
        <v>1020</v>
      </c>
      <c r="M176" s="28"/>
      <c r="N176" s="28"/>
      <c r="O176" s="28"/>
      <c r="P176" s="116" t="s">
        <v>1021</v>
      </c>
      <c r="Q176" s="28" t="s">
        <v>47</v>
      </c>
      <c r="R176" s="28" t="s">
        <v>234</v>
      </c>
    </row>
    <row r="177" spans="2:20" ht="24" customHeight="1">
      <c r="B177" s="52" t="s">
        <v>6</v>
      </c>
      <c r="C177" s="254"/>
      <c r="D177" s="34" t="s">
        <v>242</v>
      </c>
      <c r="E177" s="34" t="s">
        <v>360</v>
      </c>
      <c r="F177" s="26">
        <v>60495</v>
      </c>
      <c r="G177" s="84">
        <v>2</v>
      </c>
      <c r="H177" s="34" t="s">
        <v>419</v>
      </c>
      <c r="I177" s="34" t="s">
        <v>47</v>
      </c>
      <c r="J177" s="34" t="s">
        <v>47</v>
      </c>
      <c r="K177" s="34" t="s">
        <v>224</v>
      </c>
      <c r="L177" s="28" t="s">
        <v>798</v>
      </c>
      <c r="M177" s="28"/>
      <c r="N177" s="28"/>
      <c r="O177" s="28"/>
      <c r="P177" s="103" t="s">
        <v>224</v>
      </c>
      <c r="Q177" s="28" t="s">
        <v>47</v>
      </c>
      <c r="R177" s="28" t="s">
        <v>472</v>
      </c>
    </row>
    <row r="178" spans="2:20" ht="24" customHeight="1">
      <c r="B178" s="52" t="s">
        <v>6</v>
      </c>
      <c r="C178" s="255"/>
      <c r="D178" s="34" t="s">
        <v>243</v>
      </c>
      <c r="E178" s="34" t="s">
        <v>298</v>
      </c>
      <c r="F178" s="26">
        <v>60495</v>
      </c>
      <c r="G178" s="84">
        <v>1</v>
      </c>
      <c r="H178" s="34" t="s">
        <v>419</v>
      </c>
      <c r="I178" s="34" t="s">
        <v>47</v>
      </c>
      <c r="J178" s="34" t="s">
        <v>47</v>
      </c>
      <c r="K178" s="34" t="s">
        <v>244</v>
      </c>
      <c r="L178" s="28" t="s">
        <v>798</v>
      </c>
      <c r="M178" s="28"/>
      <c r="N178" s="28"/>
      <c r="O178" s="28"/>
      <c r="P178" s="28" t="s">
        <v>473</v>
      </c>
      <c r="Q178" s="28" t="s">
        <v>47</v>
      </c>
      <c r="R178" s="28" t="s">
        <v>474</v>
      </c>
    </row>
    <row r="179" spans="2:20" ht="24" customHeight="1">
      <c r="B179" s="52" t="s">
        <v>10</v>
      </c>
      <c r="C179" s="256" t="s">
        <v>245</v>
      </c>
      <c r="D179" s="34" t="s">
        <v>246</v>
      </c>
      <c r="E179" s="34" t="s">
        <v>360</v>
      </c>
      <c r="F179" s="26">
        <v>60282</v>
      </c>
      <c r="G179" s="84">
        <v>1</v>
      </c>
      <c r="H179" s="33" t="s">
        <v>469</v>
      </c>
      <c r="I179" s="104" t="s">
        <v>47</v>
      </c>
      <c r="J179" s="104" t="s">
        <v>47</v>
      </c>
      <c r="K179" s="33" t="s">
        <v>219</v>
      </c>
      <c r="L179" s="117" t="s">
        <v>1022</v>
      </c>
      <c r="M179" s="3"/>
      <c r="N179" s="3"/>
      <c r="O179" s="3"/>
      <c r="P179" s="105" t="s">
        <v>187</v>
      </c>
      <c r="Q179" s="20" t="s">
        <v>47</v>
      </c>
      <c r="R179" s="12" t="s">
        <v>245</v>
      </c>
    </row>
    <row r="180" spans="2:20" ht="24" customHeight="1">
      <c r="B180" s="52" t="s">
        <v>10</v>
      </c>
      <c r="C180" s="257"/>
      <c r="D180" s="34" t="s">
        <v>247</v>
      </c>
      <c r="E180" s="34" t="s">
        <v>360</v>
      </c>
      <c r="F180" s="26">
        <v>60282</v>
      </c>
      <c r="G180" s="84">
        <v>1</v>
      </c>
      <c r="H180" s="33" t="s">
        <v>469</v>
      </c>
      <c r="I180" s="104" t="s">
        <v>47</v>
      </c>
      <c r="J180" s="104" t="s">
        <v>47</v>
      </c>
      <c r="K180" s="34" t="s">
        <v>237</v>
      </c>
      <c r="L180" s="117" t="s">
        <v>1022</v>
      </c>
      <c r="M180" s="3"/>
      <c r="N180" s="3"/>
      <c r="O180" s="3"/>
      <c r="P180" s="105"/>
      <c r="Q180" s="20"/>
      <c r="R180" s="12" t="s">
        <v>245</v>
      </c>
    </row>
    <row r="181" spans="2:20" ht="24" customHeight="1">
      <c r="B181" s="52" t="s">
        <v>6</v>
      </c>
      <c r="C181" s="257"/>
      <c r="D181" s="34" t="s">
        <v>248</v>
      </c>
      <c r="E181" s="34" t="s">
        <v>433</v>
      </c>
      <c r="F181" s="26">
        <v>61591</v>
      </c>
      <c r="G181" s="84">
        <v>1</v>
      </c>
      <c r="H181" s="33" t="s">
        <v>469</v>
      </c>
      <c r="I181" s="104" t="s">
        <v>47</v>
      </c>
      <c r="J181" s="104" t="s">
        <v>47</v>
      </c>
      <c r="K181" s="34" t="s">
        <v>42</v>
      </c>
      <c r="L181" s="117" t="s">
        <v>1023</v>
      </c>
      <c r="M181" s="3"/>
      <c r="N181" s="3"/>
      <c r="O181" s="3"/>
      <c r="P181" s="118" t="s">
        <v>1019</v>
      </c>
      <c r="Q181" s="20"/>
      <c r="R181" s="12" t="s">
        <v>245</v>
      </c>
    </row>
    <row r="182" spans="2:20" ht="24" customHeight="1">
      <c r="B182" s="52" t="s">
        <v>6</v>
      </c>
      <c r="C182" s="257"/>
      <c r="D182" s="34" t="s">
        <v>249</v>
      </c>
      <c r="E182" s="34" t="s">
        <v>433</v>
      </c>
      <c r="F182" s="26">
        <v>61591</v>
      </c>
      <c r="G182" s="84">
        <v>1</v>
      </c>
      <c r="H182" s="33" t="s">
        <v>469</v>
      </c>
      <c r="I182" s="104" t="s">
        <v>47</v>
      </c>
      <c r="J182" s="104" t="s">
        <v>47</v>
      </c>
      <c r="K182" s="34" t="s">
        <v>250</v>
      </c>
      <c r="L182" s="117" t="s">
        <v>1023</v>
      </c>
      <c r="M182" s="3"/>
      <c r="N182" s="3"/>
      <c r="O182" s="3"/>
      <c r="P182" s="118" t="s">
        <v>1019</v>
      </c>
      <c r="Q182" s="20"/>
      <c r="R182" s="12" t="s">
        <v>245</v>
      </c>
    </row>
    <row r="183" spans="2:20" ht="26.25" customHeight="1">
      <c r="B183" s="28" t="s">
        <v>6</v>
      </c>
      <c r="C183" s="257"/>
      <c r="D183" s="33" t="s">
        <v>242</v>
      </c>
      <c r="E183" s="259" t="s">
        <v>800</v>
      </c>
      <c r="F183" s="260"/>
      <c r="G183" s="261"/>
      <c r="H183" s="33" t="s">
        <v>419</v>
      </c>
      <c r="I183" s="104" t="s">
        <v>47</v>
      </c>
      <c r="J183" s="104" t="s">
        <v>47</v>
      </c>
      <c r="K183" s="33" t="s">
        <v>224</v>
      </c>
      <c r="L183" s="3"/>
      <c r="M183" s="3"/>
      <c r="N183" s="3"/>
      <c r="O183" s="3"/>
      <c r="P183" s="105" t="s">
        <v>224</v>
      </c>
      <c r="Q183" s="20" t="s">
        <v>47</v>
      </c>
      <c r="R183" s="28" t="s">
        <v>472</v>
      </c>
      <c r="T183" s="17" t="s">
        <v>801</v>
      </c>
    </row>
    <row r="184" spans="2:20" ht="24" customHeight="1">
      <c r="B184" s="28" t="s">
        <v>6</v>
      </c>
      <c r="C184" s="258"/>
      <c r="D184" s="33" t="s">
        <v>243</v>
      </c>
      <c r="E184" s="259" t="s">
        <v>800</v>
      </c>
      <c r="F184" s="260"/>
      <c r="G184" s="261"/>
      <c r="H184" s="33" t="s">
        <v>419</v>
      </c>
      <c r="I184" s="104" t="s">
        <v>47</v>
      </c>
      <c r="J184" s="104" t="s">
        <v>47</v>
      </c>
      <c r="K184" s="33" t="s">
        <v>244</v>
      </c>
      <c r="L184" s="3"/>
      <c r="M184" s="3"/>
      <c r="N184" s="3"/>
      <c r="O184" s="3"/>
      <c r="P184" s="105" t="s">
        <v>473</v>
      </c>
      <c r="Q184" s="20" t="s">
        <v>47</v>
      </c>
      <c r="R184" s="28" t="s">
        <v>474</v>
      </c>
    </row>
  </sheetData>
  <autoFilter ref="B53:Q184" xr:uid="{00000000-0009-0000-0000-000000000000}"/>
  <mergeCells count="93">
    <mergeCell ref="C173:C178"/>
    <mergeCell ref="C179:C184"/>
    <mergeCell ref="E183:G183"/>
    <mergeCell ref="E184:G184"/>
    <mergeCell ref="R156:R157"/>
    <mergeCell ref="C158:C159"/>
    <mergeCell ref="R158:R162"/>
    <mergeCell ref="C161:C162"/>
    <mergeCell ref="C168:C170"/>
    <mergeCell ref="C171:C172"/>
    <mergeCell ref="C164:C167"/>
    <mergeCell ref="R164:R166"/>
    <mergeCell ref="C148:C153"/>
    <mergeCell ref="R148:R151"/>
    <mergeCell ref="C156:C157"/>
    <mergeCell ref="S86:T86"/>
    <mergeCell ref="C96:C97"/>
    <mergeCell ref="R96:R97"/>
    <mergeCell ref="C98:C100"/>
    <mergeCell ref="C101:C102"/>
    <mergeCell ref="C103:C104"/>
    <mergeCell ref="R103:R104"/>
    <mergeCell ref="C115:C118"/>
    <mergeCell ref="R121:R123"/>
    <mergeCell ref="C122:C124"/>
    <mergeCell ref="C128:C129"/>
    <mergeCell ref="C137:C144"/>
    <mergeCell ref="C74:C80"/>
    <mergeCell ref="R81:R85"/>
    <mergeCell ref="C82:C85"/>
    <mergeCell ref="C113:C114"/>
    <mergeCell ref="C86:C94"/>
    <mergeCell ref="R86:R94"/>
    <mergeCell ref="R105:R110"/>
    <mergeCell ref="C106:C112"/>
    <mergeCell ref="C55:C62"/>
    <mergeCell ref="C63:C66"/>
    <mergeCell ref="R63:R66"/>
    <mergeCell ref="C71:C72"/>
    <mergeCell ref="D71:D72"/>
    <mergeCell ref="R71:R72"/>
    <mergeCell ref="C67:C69"/>
    <mergeCell ref="R67:R68"/>
    <mergeCell ref="D47:G47"/>
    <mergeCell ref="D48:G48"/>
    <mergeCell ref="C50:K50"/>
    <mergeCell ref="D35:G35"/>
    <mergeCell ref="D36:G36"/>
    <mergeCell ref="D37:G37"/>
    <mergeCell ref="D38:G38"/>
    <mergeCell ref="D39:G39"/>
    <mergeCell ref="D40:G40"/>
    <mergeCell ref="D42:G42"/>
    <mergeCell ref="D43:G43"/>
    <mergeCell ref="D44:G44"/>
    <mergeCell ref="D45:G45"/>
    <mergeCell ref="D46:G46"/>
    <mergeCell ref="L26:Q26"/>
    <mergeCell ref="D27:G27"/>
    <mergeCell ref="L27:Q27"/>
    <mergeCell ref="D28:G28"/>
    <mergeCell ref="D41:G41"/>
    <mergeCell ref="D30:G30"/>
    <mergeCell ref="D31:G31"/>
    <mergeCell ref="D32:G32"/>
    <mergeCell ref="D33:G33"/>
    <mergeCell ref="D34:G34"/>
    <mergeCell ref="D17:G17"/>
    <mergeCell ref="D18:G18"/>
    <mergeCell ref="D29:G29"/>
    <mergeCell ref="D20:G20"/>
    <mergeCell ref="D21:G21"/>
    <mergeCell ref="D22:G22"/>
    <mergeCell ref="D23:G23"/>
    <mergeCell ref="D24:G24"/>
    <mergeCell ref="D25:G25"/>
    <mergeCell ref="D26:G26"/>
    <mergeCell ref="D19:G19"/>
    <mergeCell ref="D13:G13"/>
    <mergeCell ref="D14:G14"/>
    <mergeCell ref="D15:G15"/>
    <mergeCell ref="D16:G16"/>
    <mergeCell ref="D7:G7"/>
    <mergeCell ref="D8:G8"/>
    <mergeCell ref="D9:G9"/>
    <mergeCell ref="D10:G10"/>
    <mergeCell ref="D11:G11"/>
    <mergeCell ref="D12:G12"/>
    <mergeCell ref="D2:G2"/>
    <mergeCell ref="D3:G3"/>
    <mergeCell ref="D4:G4"/>
    <mergeCell ref="D5:G5"/>
    <mergeCell ref="D6:G6"/>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rowBreaks count="1" manualBreakCount="1">
    <brk id="51"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91d85bdb-9e43-4612-a355-15dcada7f308">
      <Terms xmlns="http://schemas.microsoft.com/office/infopath/2007/PartnerControls"/>
    </lcf76f155ced4ddcb4097134ff3c332f>
    <TaxCatchAll xmlns="59ea8695-c762-4878-851f-fa6dcb8e5ca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35C72C03AE168243B5B9E5D1E81515B6" ma:contentTypeVersion="16" ma:contentTypeDescription="新しいドキュメントを作成します。" ma:contentTypeScope="" ma:versionID="07f015596866f3bb30c527f478b0e2ca">
  <xsd:schema xmlns:xsd="http://www.w3.org/2001/XMLSchema" xmlns:xs="http://www.w3.org/2001/XMLSchema" xmlns:p="http://schemas.microsoft.com/office/2006/metadata/properties" xmlns:ns2="91d85bdb-9e43-4612-a355-15dcada7f308" xmlns:ns3="59ea8695-c762-4878-851f-fa6dcb8e5ca6" targetNamespace="http://schemas.microsoft.com/office/2006/metadata/properties" ma:root="true" ma:fieldsID="f0bae843de98ba6a800a80b6193d6941" ns2:_="" ns3:_="">
    <xsd:import namespace="91d85bdb-9e43-4612-a355-15dcada7f308"/>
    <xsd:import namespace="59ea8695-c762-4878-851f-fa6dcb8e5ca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d85bdb-9e43-4612-a355-15dcada7f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画像タグ" ma:readOnly="false" ma:fieldId="{5cf76f15-5ced-4ddc-b409-7134ff3c332f}" ma:taxonomyMulti="true" ma:sspId="45c48354-4d24-49e8-bf58-b3da240e2a7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9ea8695-c762-4878-851f-fa6dcb8e5ca6" elementFormDefault="qualified">
    <xsd:import namespace="http://schemas.microsoft.com/office/2006/documentManagement/types"/>
    <xsd:import namespace="http://schemas.microsoft.com/office/infopath/2007/PartnerControls"/>
    <xsd:element name="SharedWithUsers" ma:index="16"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共有相手の詳細情報" ma:internalName="SharedWithDetails" ma:readOnly="true">
      <xsd:simpleType>
        <xsd:restriction base="dms:Note">
          <xsd:maxLength value="255"/>
        </xsd:restriction>
      </xsd:simpleType>
    </xsd:element>
    <xsd:element name="TaxCatchAll" ma:index="21" nillable="true" ma:displayName="Taxonomy Catch All Column" ma:hidden="true" ma:list="{79e52e2c-f935-4f7b-bd6d-ca8da43bdc58}" ma:internalName="TaxCatchAll" ma:showField="CatchAllData" ma:web="59ea8695-c762-4878-851f-fa6dcb8e5c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6A65B04-09B4-4C85-8512-1DFC0D49F61A}">
  <ds:schemaRefs>
    <ds:schemaRef ds:uri="http://schemas.microsoft.com/sharepoint/v3/contenttype/forms"/>
  </ds:schemaRefs>
</ds:datastoreItem>
</file>

<file path=customXml/itemProps2.xml><?xml version="1.0" encoding="utf-8"?>
<ds:datastoreItem xmlns:ds="http://schemas.openxmlformats.org/officeDocument/2006/customXml" ds:itemID="{876C132A-861B-42F5-8545-9D1F1DA06BBA}">
  <ds:schemaRefs>
    <ds:schemaRef ds:uri="http://schemas.openxmlformats.org/package/2006/metadata/core-properties"/>
    <ds:schemaRef ds:uri="http://schemas.microsoft.com/office/2006/metadata/properties"/>
    <ds:schemaRef ds:uri="http://schemas.microsoft.com/office/infopath/2007/PartnerControls"/>
    <ds:schemaRef ds:uri="http://www.w3.org/XML/1998/namespace"/>
    <ds:schemaRef ds:uri="59ea8695-c762-4878-851f-fa6dcb8e5ca6"/>
    <ds:schemaRef ds:uri="http://purl.org/dc/terms/"/>
    <ds:schemaRef ds:uri="http://schemas.microsoft.com/office/2006/documentManagement/types"/>
    <ds:schemaRef ds:uri="91d85bdb-9e43-4612-a355-15dcada7f308"/>
    <ds:schemaRef ds:uri="http://purl.org/dc/dcmitype/"/>
    <ds:schemaRef ds:uri="http://purl.org/dc/elements/1.1/"/>
  </ds:schemaRefs>
</ds:datastoreItem>
</file>

<file path=customXml/itemProps3.xml><?xml version="1.0" encoding="utf-8"?>
<ds:datastoreItem xmlns:ds="http://schemas.openxmlformats.org/officeDocument/2006/customXml" ds:itemID="{99A80381-6AFA-47C4-B429-753276B076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1d85bdb-9e43-4612-a355-15dcada7f308"/>
    <ds:schemaRef ds:uri="59ea8695-c762-4878-851f-fa6dcb8e5c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5</vt:i4>
      </vt:variant>
    </vt:vector>
  </HeadingPairs>
  <TitlesOfParts>
    <vt:vector size="10" baseType="lpstr">
      <vt:lpstr>品番</vt:lpstr>
      <vt:lpstr>改定</vt:lpstr>
      <vt:lpstr>適用</vt:lpstr>
      <vt:lpstr>d30</vt:lpstr>
      <vt:lpstr>d29</vt:lpstr>
      <vt:lpstr>'d29'!Print_Area</vt:lpstr>
      <vt:lpstr>'d30'!Print_Area</vt:lpstr>
      <vt:lpstr>改定!Print_Area</vt:lpstr>
      <vt:lpstr>適用!Print_Area</vt:lpstr>
      <vt:lpstr>品番!Print_Area</vt:lpstr>
    </vt:vector>
  </TitlesOfParts>
  <Manager/>
  <Company>竹内製作所</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平林　哲哉</dc:creator>
  <cp:keywords/>
  <dc:description/>
  <cp:lastModifiedBy>渡辺 孝広</cp:lastModifiedBy>
  <cp:revision/>
  <dcterms:created xsi:type="dcterms:W3CDTF">2011-03-17T00:05:17Z</dcterms:created>
  <dcterms:modified xsi:type="dcterms:W3CDTF">2026-04-08T06:14:32Z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0x01010035C72C03AE168243B5B9E5D1E81515B6</vt:lpwstr>
  </property>
  <property fmtid="{D5CDD505-2E9C-101B-9397-08002B2CF9AE}" pid="3" name="MediaServiceImageTags">
    <vt:lpwstr/>
  </property>
</Properties>
</file>