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J17s002\jmsh\JMSH5200\20. 電装\外販\竹内製作所\E6VG07_ICT建機のソフト作成(その2)\20_機能仕様書\"/>
    </mc:Choice>
  </mc:AlternateContent>
  <xr:revisionPtr revIDLastSave="0" documentId="8_{03CA2B50-CD8B-4EE1-BE3B-E0A1390DA4AB}" xr6:coauthVersionLast="45" xr6:coauthVersionMax="45" xr10:uidLastSave="{00000000-0000-0000-0000-000000000000}"/>
  <bookViews>
    <workbookView xWindow="28680" yWindow="-120" windowWidth="29040" windowHeight="17640" xr2:uid="{00000000-000D-0000-FFFF-FFFF00000000}"/>
  </bookViews>
  <sheets>
    <sheet name="E3F_8_2019-08-06_22-02-30" sheetId="1" r:id="rId1"/>
  </sheets>
  <definedNames>
    <definedName name="_xlnm._FilterDatabase" localSheetId="0" hidden="1">'E3F_8_2019-08-06_22-02-30'!$C$2:$C$5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10" i="1" l="1"/>
  <c r="A109" i="1"/>
  <c r="A108" i="1"/>
  <c r="A40" i="1"/>
  <c r="A39" i="1"/>
  <c r="A38" i="1"/>
  <c r="A37" i="1"/>
  <c r="A36" i="1"/>
  <c r="A101" i="1" l="1"/>
  <c r="A100" i="1"/>
  <c r="A99" i="1"/>
  <c r="A32" i="1"/>
  <c r="A28" i="1" l="1"/>
  <c r="B28" i="1" s="1"/>
  <c r="A72" i="1"/>
  <c r="A81" i="1"/>
  <c r="A82" i="1" s="1"/>
  <c r="A71" i="1" l="1"/>
  <c r="B82" i="1"/>
  <c r="A93" i="1"/>
  <c r="B2" i="1"/>
  <c r="A3" i="1"/>
  <c r="B3" i="1" s="1"/>
  <c r="A70" i="1" l="1"/>
  <c r="B71" i="1"/>
  <c r="A4" i="1"/>
  <c r="A94" i="1"/>
  <c r="B94" i="1" s="1"/>
  <c r="B93" i="1"/>
  <c r="A60" i="1" l="1"/>
  <c r="B70" i="1"/>
  <c r="B4" i="1"/>
  <c r="A5" i="1"/>
  <c r="A59" i="1" l="1"/>
  <c r="B60" i="1"/>
  <c r="A13" i="1"/>
  <c r="B5" i="1"/>
  <c r="A58" i="1" l="1"/>
  <c r="B59" i="1"/>
  <c r="A14" i="1"/>
  <c r="B13" i="1"/>
  <c r="A57" i="1" l="1"/>
  <c r="B58" i="1"/>
  <c r="A15" i="1"/>
  <c r="B14" i="1"/>
  <c r="A56" i="1" l="1"/>
  <c r="B57" i="1"/>
  <c r="A16" i="1"/>
  <c r="B15" i="1"/>
  <c r="A55" i="1" l="1"/>
  <c r="B56" i="1"/>
  <c r="A17" i="1"/>
  <c r="B16" i="1"/>
  <c r="A54" i="1" l="1"/>
  <c r="B55" i="1"/>
  <c r="A18" i="1"/>
  <c r="B17" i="1"/>
  <c r="A53" i="1" l="1"/>
  <c r="B54" i="1"/>
  <c r="A19" i="1"/>
  <c r="B18" i="1"/>
  <c r="A52" i="1" l="1"/>
  <c r="B53" i="1"/>
  <c r="A20" i="1"/>
  <c r="B19" i="1"/>
  <c r="A51" i="1" l="1"/>
  <c r="B52" i="1"/>
  <c r="A21" i="1"/>
  <c r="B20" i="1"/>
  <c r="A50" i="1" l="1"/>
  <c r="B51" i="1"/>
  <c r="A22" i="1"/>
  <c r="B21" i="1"/>
  <c r="B50" i="1" l="1"/>
  <c r="A49" i="1"/>
  <c r="A23" i="1"/>
  <c r="B22" i="1"/>
  <c r="A48" i="1" l="1"/>
  <c r="B48" i="1" s="1"/>
  <c r="B49" i="1"/>
  <c r="B23" i="1"/>
</calcChain>
</file>

<file path=xl/sharedStrings.xml><?xml version="1.0" encoding="utf-8"?>
<sst xmlns="http://schemas.openxmlformats.org/spreadsheetml/2006/main" count="896" uniqueCount="251">
  <si>
    <t>4D</t>
  </si>
  <si>
    <t>4E</t>
  </si>
  <si>
    <t>6E</t>
  </si>
  <si>
    <t>2C</t>
  </si>
  <si>
    <t>43</t>
  </si>
  <si>
    <t>00</t>
  </si>
  <si>
    <t>44</t>
  </si>
  <si>
    <t>46</t>
  </si>
  <si>
    <t>20</t>
  </si>
  <si>
    <t>41</t>
  </si>
  <si>
    <t>77</t>
  </si>
  <si>
    <t>69</t>
  </si>
  <si>
    <t>49</t>
  </si>
  <si>
    <t>01</t>
  </si>
  <si>
    <t>IDBLOCK</t>
    <phoneticPr fontId="1"/>
  </si>
  <si>
    <t>HDBLOCK</t>
    <phoneticPr fontId="1"/>
  </si>
  <si>
    <t>48</t>
  </si>
  <si>
    <t>A4</t>
  </si>
  <si>
    <t>A5</t>
  </si>
  <si>
    <t>36</t>
  </si>
  <si>
    <t>0C</t>
  </si>
  <si>
    <t>BD</t>
  </si>
  <si>
    <t>32</t>
  </si>
  <si>
    <t>33</t>
  </si>
  <si>
    <t>3A</t>
  </si>
  <si>
    <t>31</t>
  </si>
  <si>
    <t>30</t>
  </si>
  <si>
    <t>39</t>
  </si>
  <si>
    <t>34</t>
  </si>
  <si>
    <t>25</t>
  </si>
  <si>
    <t>87</t>
  </si>
  <si>
    <t>FF</t>
  </si>
  <si>
    <t>98</t>
  </si>
  <si>
    <t>08</t>
  </si>
  <si>
    <t>F7</t>
  </si>
  <si>
    <t>C0</t>
  </si>
  <si>
    <t>7E</t>
  </si>
  <si>
    <t>73</t>
  </si>
  <si>
    <t>55</t>
  </si>
  <si>
    <t>47</t>
  </si>
  <si>
    <t>18</t>
  </si>
  <si>
    <t>8B</t>
  </si>
  <si>
    <t>E4</t>
  </si>
  <si>
    <t>54</t>
  </si>
  <si>
    <t>58</t>
  </si>
  <si>
    <t>1D</t>
  </si>
  <si>
    <t>74</t>
  </si>
  <si>
    <t>65</t>
  </si>
  <si>
    <t>72</t>
  </si>
  <si>
    <t>61</t>
  </si>
  <si>
    <t>6C</t>
  </si>
  <si>
    <t>56</t>
  </si>
  <si>
    <t>6F</t>
  </si>
  <si>
    <t>0D</t>
  </si>
  <si>
    <t>1A</t>
  </si>
  <si>
    <t>C36A0</t>
    <phoneticPr fontId="1"/>
  </si>
  <si>
    <t>B1</t>
  </si>
  <si>
    <t>0F</t>
  </si>
  <si>
    <t>35</t>
  </si>
  <si>
    <t>16</t>
  </si>
  <si>
    <t>00 00 00 00 00 00 00 00</t>
    <phoneticPr fontId="1"/>
  </si>
  <si>
    <t>4D 44 46 20 20 20 20 20</t>
    <phoneticPr fontId="1"/>
  </si>
  <si>
    <t>43 41 4E 77 69 6E 20 49</t>
    <phoneticPr fontId="1"/>
  </si>
  <si>
    <t>00 00</t>
    <phoneticPr fontId="1"/>
  </si>
  <si>
    <t>2C 01</t>
    <phoneticPr fontId="1"/>
  </si>
  <si>
    <t>Byte Order 0=little endian</t>
    <phoneticPr fontId="1"/>
  </si>
  <si>
    <t>MDF version</t>
    <phoneticPr fontId="1"/>
  </si>
  <si>
    <t>Floating-point format used 0=Floating-point format compliant with IEEE 754 standard</t>
    <phoneticPr fontId="1"/>
  </si>
  <si>
    <t>A4 00</t>
    <phoneticPr fontId="1"/>
  </si>
  <si>
    <t>A5 36 0C 00</t>
    <phoneticPr fontId="1"/>
  </si>
  <si>
    <t>BD 36 0C 00</t>
    <phoneticPr fontId="1"/>
  </si>
  <si>
    <t>01 00</t>
    <phoneticPr fontId="1"/>
  </si>
  <si>
    <t>32 33 3A 31 31 3A 32 30 31 39</t>
    <phoneticPr fontId="1"/>
  </si>
  <si>
    <t>31 30 3A 32 34 3A 33 36</t>
    <phoneticPr fontId="1"/>
  </si>
  <si>
    <t>Block Size(byte)</t>
    <phoneticPr fontId="1"/>
  </si>
  <si>
    <t>DGBLOCK</t>
    <phoneticPr fontId="1"/>
  </si>
  <si>
    <t>TXBLOCK</t>
    <phoneticPr fontId="1"/>
  </si>
  <si>
    <t>Number of data groups</t>
    <phoneticPr fontId="1"/>
  </si>
  <si>
    <t>"DD:MM:YYYY" format</t>
    <phoneticPr fontId="1"/>
  </si>
  <si>
    <t>"HH:MM:SS" format</t>
    <phoneticPr fontId="1"/>
  </si>
  <si>
    <t>44 47</t>
    <phoneticPr fontId="1"/>
  </si>
  <si>
    <t>18 00</t>
    <phoneticPr fontId="1"/>
  </si>
  <si>
    <t>00 00 00 00</t>
    <phoneticPr fontId="1"/>
  </si>
  <si>
    <t>8B 36 0C 00</t>
    <phoneticPr fontId="1"/>
  </si>
  <si>
    <t>E4 00 00 00</t>
    <phoneticPr fontId="1"/>
  </si>
  <si>
    <t>Number of channel groups</t>
    <phoneticPr fontId="1"/>
  </si>
  <si>
    <t>CGBLOCK</t>
    <phoneticPr fontId="1"/>
  </si>
  <si>
    <t>Block size(Byte)</t>
    <phoneticPr fontId="1"/>
  </si>
  <si>
    <t>1A 00</t>
    <phoneticPr fontId="1"/>
  </si>
  <si>
    <t>B1 35 0C 00</t>
    <phoneticPr fontId="1"/>
  </si>
  <si>
    <t>CNBLOCK</t>
    <phoneticPr fontId="1"/>
  </si>
  <si>
    <t>record ID</t>
    <phoneticPr fontId="1"/>
  </si>
  <si>
    <t>0F 00</t>
    <phoneticPr fontId="1"/>
  </si>
  <si>
    <t>Number of channel</t>
    <phoneticPr fontId="1"/>
  </si>
  <si>
    <t>16 00</t>
    <phoneticPr fontId="1"/>
  </si>
  <si>
    <t>DA</t>
  </si>
  <si>
    <t>D7</t>
  </si>
  <si>
    <t>79</t>
  </si>
  <si>
    <t>70</t>
  </si>
  <si>
    <t>C3680</t>
  </si>
  <si>
    <t>File identifier, always contains"MDF      "</t>
    <phoneticPr fontId="1"/>
  </si>
  <si>
    <t>Format identifier, a textual representation of the format version for display</t>
    <phoneticPr fontId="1"/>
  </si>
  <si>
    <t>Program identifier, to identify the program which generated the MDF file</t>
    <phoneticPr fontId="1"/>
  </si>
  <si>
    <t>Reserved</t>
    <phoneticPr fontId="1"/>
  </si>
  <si>
    <t>00 00 ・・・ ～ 00</t>
    <phoneticPr fontId="1"/>
  </si>
  <si>
    <t>48 44</t>
    <phoneticPr fontId="1"/>
  </si>
  <si>
    <t>Block type identifier</t>
    <phoneticPr fontId="1"/>
  </si>
  <si>
    <t>PRBLOCK</t>
    <phoneticPr fontId="1"/>
  </si>
  <si>
    <t>Author's name</t>
    <phoneticPr fontId="1"/>
  </si>
  <si>
    <t>Name of organization or department</t>
    <phoneticPr fontId="1"/>
  </si>
  <si>
    <t>project name</t>
    <phoneticPr fontId="1"/>
  </si>
  <si>
    <t>Measurment object</t>
    <phoneticPr fontId="1"/>
  </si>
  <si>
    <t>000E0</t>
  </si>
  <si>
    <t>Data records</t>
    <phoneticPr fontId="1"/>
  </si>
  <si>
    <t>55 87 00 00</t>
    <phoneticPr fontId="1"/>
  </si>
  <si>
    <t>43 47</t>
    <phoneticPr fontId="1"/>
  </si>
  <si>
    <t>C36B0</t>
  </si>
  <si>
    <t>54 58</t>
    <phoneticPr fontId="1"/>
  </si>
  <si>
    <t>1D 00</t>
    <phoneticPr fontId="1"/>
  </si>
  <si>
    <t>Text</t>
    <phoneticPr fontId="1"/>
  </si>
  <si>
    <t>43 4E</t>
    <phoneticPr fontId="1"/>
  </si>
  <si>
    <t>DA 00</t>
    <phoneticPr fontId="1"/>
  </si>
  <si>
    <t>D7 34 0C 00</t>
    <phoneticPr fontId="1"/>
  </si>
  <si>
    <t>Next channel block(CNBLOCK)</t>
    <phoneticPr fontId="1"/>
  </si>
  <si>
    <t>CCBLOCK</t>
    <phoneticPr fontId="1"/>
  </si>
  <si>
    <t>Channel type 0=Data channel</t>
    <phoneticPr fontId="1"/>
  </si>
  <si>
    <t>43 41 4E ・・・　～ 00</t>
    <phoneticPr fontId="1"/>
  </si>
  <si>
    <t>Signal name</t>
    <phoneticPr fontId="1"/>
  </si>
  <si>
    <t>Signal descroption</t>
    <phoneticPr fontId="1"/>
  </si>
  <si>
    <t>00 00 00 00 ・・・ ～ 00</t>
    <phoneticPr fontId="1"/>
  </si>
  <si>
    <t>74 79 70 65 ・・・ ～ 00</t>
    <phoneticPr fontId="1"/>
  </si>
  <si>
    <t>08 00</t>
    <phoneticPr fontId="1"/>
  </si>
  <si>
    <t>Number of bits</t>
    <phoneticPr fontId="1"/>
  </si>
  <si>
    <t>Signal data type 0=unsigned integer</t>
    <phoneticPr fontId="1"/>
  </si>
  <si>
    <t>Number of the first bits</t>
    <phoneticPr fontId="1"/>
  </si>
  <si>
    <t>Value range</t>
    <phoneticPr fontId="1"/>
  </si>
  <si>
    <t>Rate in which the variable was sampled.</t>
    <phoneticPr fontId="1"/>
  </si>
  <si>
    <t>????</t>
    <phoneticPr fontId="1"/>
  </si>
  <si>
    <t>ASAM-MCD uniqu name(TXBLOCK)</t>
    <phoneticPr fontId="1"/>
  </si>
  <si>
    <t>Pointer to TXBLOCK</t>
    <phoneticPr fontId="1"/>
  </si>
  <si>
    <t>Byte offfset</t>
    <phoneticPr fontId="1"/>
  </si>
  <si>
    <t>・</t>
    <phoneticPr fontId="1"/>
  </si>
  <si>
    <t>record ID</t>
    <phoneticPr fontId="1"/>
  </si>
  <si>
    <t>25 87 FF 98</t>
    <phoneticPr fontId="1"/>
  </si>
  <si>
    <t>00</t>
    <phoneticPr fontId="1"/>
  </si>
  <si>
    <t>7E 73 00 00</t>
    <phoneticPr fontId="1"/>
  </si>
  <si>
    <t>Time Stamp</t>
    <phoneticPr fontId="1"/>
  </si>
  <si>
    <t>01</t>
    <phoneticPr fontId="1"/>
  </si>
  <si>
    <t>00 01 00</t>
    <phoneticPr fontId="1"/>
  </si>
  <si>
    <t>F7 C0 FF FF FF FF FF FF</t>
    <phoneticPr fontId="1"/>
  </si>
  <si>
    <t>length</t>
    <phoneticPr fontId="1"/>
  </si>
  <si>
    <t>Data</t>
    <phoneticPr fontId="1"/>
  </si>
  <si>
    <t>C2970</t>
    <phoneticPr fontId="1"/>
  </si>
  <si>
    <t>00</t>
    <phoneticPr fontId="1"/>
  </si>
  <si>
    <t>CE</t>
    <phoneticPr fontId="1"/>
  </si>
  <si>
    <t>57</t>
    <phoneticPr fontId="1"/>
  </si>
  <si>
    <t>50</t>
    <phoneticPr fontId="1"/>
  </si>
  <si>
    <t>98</t>
    <phoneticPr fontId="1"/>
  </si>
  <si>
    <t>08</t>
    <phoneticPr fontId="1"/>
  </si>
  <si>
    <t>F4</t>
    <phoneticPr fontId="1"/>
  </si>
  <si>
    <t>FD</t>
    <phoneticPr fontId="1"/>
  </si>
  <si>
    <t>FF</t>
    <phoneticPr fontId="1"/>
  </si>
  <si>
    <t>FF</t>
    <phoneticPr fontId="1"/>
  </si>
  <si>
    <t>61</t>
    <phoneticPr fontId="1"/>
  </si>
  <si>
    <t>70</t>
    <phoneticPr fontId="1"/>
  </si>
  <si>
    <t>46</t>
    <phoneticPr fontId="1"/>
  </si>
  <si>
    <t>ID(先頭の1ビット削除)</t>
    <rPh sb="3" eb="5">
      <t>セントウ</t>
    </rPh>
    <rPh sb="10" eb="12">
      <t>サクジョ</t>
    </rPh>
    <phoneticPr fontId="1"/>
  </si>
  <si>
    <t>Error Frame</t>
    <phoneticPr fontId="1"/>
  </si>
  <si>
    <t>00B00</t>
    <phoneticPr fontId="1"/>
  </si>
  <si>
    <t>00B10</t>
    <phoneticPr fontId="1"/>
  </si>
  <si>
    <t>00B20</t>
    <phoneticPr fontId="1"/>
  </si>
  <si>
    <t>09</t>
    <phoneticPr fontId="1"/>
  </si>
  <si>
    <t>FC</t>
    <phoneticPr fontId="1"/>
  </si>
  <si>
    <t>E8</t>
    <phoneticPr fontId="1"/>
  </si>
  <si>
    <t>28</t>
    <phoneticPr fontId="1"/>
  </si>
  <si>
    <t>EB</t>
    <phoneticPr fontId="1"/>
  </si>
  <si>
    <t>38</t>
    <phoneticPr fontId="1"/>
  </si>
  <si>
    <t>6C</t>
    <phoneticPr fontId="1"/>
  </si>
  <si>
    <t>05</t>
    <phoneticPr fontId="1"/>
  </si>
  <si>
    <t>Data length</t>
    <phoneticPr fontId="1"/>
  </si>
  <si>
    <t>01</t>
    <phoneticPr fontId="1"/>
  </si>
  <si>
    <t>00</t>
    <phoneticPr fontId="1"/>
  </si>
  <si>
    <t>04</t>
    <phoneticPr fontId="1"/>
  </si>
  <si>
    <t>02</t>
    <phoneticPr fontId="1"/>
  </si>
  <si>
    <t>00</t>
    <phoneticPr fontId="1"/>
  </si>
  <si>
    <t>06</t>
    <phoneticPr fontId="1"/>
  </si>
  <si>
    <t>25</t>
    <phoneticPr fontId="1"/>
  </si>
  <si>
    <t>46</t>
    <phoneticPr fontId="1"/>
  </si>
  <si>
    <t>03</t>
    <phoneticPr fontId="1"/>
  </si>
  <si>
    <t>87</t>
    <phoneticPr fontId="1"/>
  </si>
  <si>
    <t>6C</t>
    <phoneticPr fontId="1"/>
  </si>
  <si>
    <t xml:space="preserve">00 01 00 </t>
    <phoneticPr fontId="1"/>
  </si>
  <si>
    <t>04 02 00 00</t>
    <phoneticPr fontId="1"/>
  </si>
  <si>
    <t>00 00 0</t>
    <phoneticPr fontId="1"/>
  </si>
  <si>
    <t>46 03</t>
    <phoneticPr fontId="1"/>
  </si>
  <si>
    <t>87 6C 46 00</t>
    <phoneticPr fontId="1"/>
  </si>
  <si>
    <t>00 00 00 00 25 00</t>
    <phoneticPr fontId="1"/>
  </si>
  <si>
    <t>C2920</t>
    <phoneticPr fontId="1"/>
  </si>
  <si>
    <t>C2930</t>
    <phoneticPr fontId="1"/>
  </si>
  <si>
    <t>4C2920</t>
    <phoneticPr fontId="1"/>
  </si>
  <si>
    <t>09 01 00</t>
    <phoneticPr fontId="1"/>
  </si>
  <si>
    <t>FF FF 00 00</t>
    <phoneticPr fontId="1"/>
  </si>
  <si>
    <t>00,00</t>
    <phoneticPr fontId="1"/>
  </si>
  <si>
    <t>8</t>
    <phoneticPr fontId="1"/>
  </si>
  <si>
    <t>F4 FC FF FF FF FF FF BEB</t>
    <phoneticPr fontId="1"/>
  </si>
  <si>
    <t>38 6C 05 00</t>
    <phoneticPr fontId="1"/>
  </si>
  <si>
    <t>Data length</t>
    <phoneticPr fontId="1"/>
  </si>
  <si>
    <t>Data length</t>
    <phoneticPr fontId="1"/>
  </si>
  <si>
    <t>Error Frameの場合09となっている。</t>
    <rPh sb="12" eb="14">
      <t>バアイ</t>
    </rPh>
    <phoneticPr fontId="1"/>
  </si>
  <si>
    <t>Error Frameの場合IDがFFFFとなっている。</t>
    <rPh sb="12" eb="14">
      <t>バアイ</t>
    </rPh>
    <phoneticPr fontId="1"/>
  </si>
  <si>
    <t>CCBLOCK</t>
    <phoneticPr fontId="1"/>
  </si>
  <si>
    <t>43</t>
    <phoneticPr fontId="1"/>
  </si>
  <si>
    <t>3E</t>
    <phoneticPr fontId="1"/>
  </si>
  <si>
    <t>F1</t>
    <phoneticPr fontId="1"/>
  </si>
  <si>
    <t>68</t>
    <phoneticPr fontId="1"/>
  </si>
  <si>
    <t>E3</t>
    <phoneticPr fontId="1"/>
  </si>
  <si>
    <t>88</t>
    <phoneticPr fontId="1"/>
  </si>
  <si>
    <t>B5</t>
    <phoneticPr fontId="1"/>
  </si>
  <si>
    <t>F8</t>
    <phoneticPr fontId="1"/>
  </si>
  <si>
    <t>E4</t>
    <phoneticPr fontId="1"/>
  </si>
  <si>
    <t>C2980</t>
    <phoneticPr fontId="1"/>
  </si>
  <si>
    <t>C2990</t>
    <phoneticPr fontId="1"/>
  </si>
  <si>
    <t>C29A0</t>
    <phoneticPr fontId="1"/>
  </si>
  <si>
    <t>C29B0</t>
    <phoneticPr fontId="1"/>
  </si>
  <si>
    <t>C29C0</t>
    <phoneticPr fontId="1"/>
  </si>
  <si>
    <t>Data length6の場合</t>
    <rPh sb="13" eb="15">
      <t>バアイ</t>
    </rPh>
    <phoneticPr fontId="1"/>
  </si>
  <si>
    <t>Pointer to the data records(data recordの開始位置)</t>
    <rPh sb="40" eb="42">
      <t>カイシ</t>
    </rPh>
    <rPh sb="42" eb="44">
      <t>イチ</t>
    </rPh>
    <phoneticPr fontId="1"/>
  </si>
  <si>
    <t>Data record size(Byte)(record IDを除いたサイズ)</t>
    <rPh sb="33" eb="34">
      <t>ノゾ</t>
    </rPh>
    <phoneticPr fontId="1"/>
  </si>
  <si>
    <t>Number of records(data recordの数)</t>
    <rPh sb="30" eb="31">
      <t>カズ</t>
    </rPh>
    <phoneticPr fontId="1"/>
  </si>
  <si>
    <t>Number of record IDs in the data block(record IDの位置)</t>
    <rPh sb="49" eb="51">
      <t>イチ</t>
    </rPh>
    <phoneticPr fontId="1"/>
  </si>
  <si>
    <t>ID(先頭の1ビット削除するので9→1になる)</t>
    <rPh sb="3" eb="5">
      <t>セントウ</t>
    </rPh>
    <rPh sb="10" eb="12">
      <t>サクジョ</t>
    </rPh>
    <phoneticPr fontId="1"/>
  </si>
  <si>
    <t xml:space="preserve">08 </t>
    <phoneticPr fontId="1"/>
  </si>
  <si>
    <t>43 43</t>
    <phoneticPr fontId="1"/>
  </si>
  <si>
    <t>3E 00</t>
    <phoneticPr fontId="1"/>
  </si>
  <si>
    <t>00 00</t>
    <phoneticPr fontId="1"/>
  </si>
  <si>
    <t>Value range - known physical value</t>
    <phoneticPr fontId="1"/>
  </si>
  <si>
    <t>Value range - minimum physical value</t>
    <phoneticPr fontId="1"/>
  </si>
  <si>
    <t>Value range - maximum physical value</t>
    <phoneticPr fontId="1"/>
  </si>
  <si>
    <t>Physical unit</t>
    <phoneticPr fontId="1"/>
  </si>
  <si>
    <t>00 00</t>
    <phoneticPr fontId="1"/>
  </si>
  <si>
    <t>Conversion formula identifier</t>
    <phoneticPr fontId="1"/>
  </si>
  <si>
    <t>02 00</t>
    <phoneticPr fontId="1"/>
  </si>
  <si>
    <t>P1</t>
    <phoneticPr fontId="1"/>
  </si>
  <si>
    <t>P2</t>
    <phoneticPr fontId="1"/>
  </si>
  <si>
    <t>F1 68 ・・・ ～ 3E</t>
    <phoneticPr fontId="1"/>
  </si>
  <si>
    <t>Number of value pairs for conversion formula 1, 2, 11 and 12 or number of parameters.</t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</si>
  <si>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</si>
  <si>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</si>
  <si>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</si>
  <si>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</si>
  <si>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Time Stamp(10μsec/bit)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</si>
</sst>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>
      <alignment vertical="center"/>
    </xf>
    <xf numFmtId="21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49" fontId="0" fillId="0" borderId="2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49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49" fontId="0" fillId="0" borderId="6" xfId="0" applyNumberFormat="1" applyFill="1" applyBorder="1">
      <alignment vertical="center"/>
    </xf>
    <xf numFmtId="49" fontId="0" fillId="0" borderId="7" xfId="0" applyNumberFormat="1" applyFill="1" applyBorder="1">
      <alignment vertical="center"/>
    </xf>
    <xf numFmtId="0" fontId="0" fillId="0" borderId="0" xfId="0" applyNumberFormat="1">
      <alignment vertical="center"/>
    </xf>
    <xf numFmtId="49" fontId="0" fillId="0" borderId="0" xfId="0" applyNumberFormat="1" applyFill="1" applyBorder="1">
      <alignment vertical="center"/>
    </xf>
    <xf numFmtId="49" fontId="0" fillId="0" borderId="8" xfId="0" applyNumberFormat="1" applyFill="1" applyBorder="1">
      <alignment vertical="center"/>
    </xf>
    <xf numFmtId="49" fontId="0" fillId="0" borderId="9" xfId="0" applyNumberFormat="1" applyFill="1" applyBorder="1">
      <alignment vertical="center"/>
    </xf>
    <xf numFmtId="49" fontId="0" fillId="0" borderId="10" xfId="0" applyNumberFormat="1" applyFill="1" applyBorder="1">
      <alignment vertical="center"/>
    </xf>
    <xf numFmtId="49" fontId="0" fillId="0" borderId="11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49" fontId="0" fillId="0" borderId="3" xfId="0" applyNumberFormat="1" applyBorder="1">
      <alignment vertical="center"/>
    </xf>
    <xf numFmtId="49" fontId="0" fillId="0" borderId="2" xfId="0" applyNumberFormat="1" applyBorder="1">
      <alignment vertical="center"/>
    </xf>
    <xf numFmtId="49" fontId="0" fillId="0" borderId="4" xfId="0" applyNumberFormat="1" applyBorder="1">
      <alignment vertical="center"/>
    </xf>
    <xf numFmtId="49" fontId="0" fillId="0" borderId="6" xfId="0" applyNumberFormat="1" applyBorder="1">
      <alignment vertical="center"/>
    </xf>
    <xf numFmtId="49" fontId="0" fillId="0" borderId="5" xfId="0" applyNumberFormat="1" applyBorder="1">
      <alignment vertical="center"/>
    </xf>
    <xf numFmtId="49" fontId="0" fillId="0" borderId="9" xfId="0" applyNumberFormat="1" applyBorder="1">
      <alignment vertical="center"/>
    </xf>
    <xf numFmtId="49" fontId="0" fillId="0" borderId="7" xfId="0" applyNumberFormat="1" applyBorder="1">
      <alignment vertical="center"/>
    </xf>
    <xf numFmtId="49" fontId="0" fillId="0" borderId="8" xfId="0" applyNumberFormat="1" applyBorder="1">
      <alignment vertical="center"/>
    </xf>
    <xf numFmtId="49" fontId="0" fillId="0" borderId="0" xfId="0" applyNumberFormat="1" applyBorder="1">
      <alignment vertical="center"/>
    </xf>
    <xf numFmtId="49" fontId="0" fillId="0" borderId="11" xfId="0" applyNumberFormat="1" applyBorder="1">
      <alignment vertical="center"/>
    </xf>
    <xf numFmtId="49" fontId="0" fillId="0" borderId="10" xfId="0" applyNumberFormat="1" applyBorder="1">
      <alignment vertical="center"/>
    </xf>
    <xf numFmtId="49" fontId="0" fillId="0" borderId="12" xfId="0" applyNumberFormat="1" applyBorder="1">
      <alignment vertical="center"/>
    </xf>
    <xf numFmtId="49" fontId="0" fillId="0" borderId="13" xfId="0" applyNumberFormat="1" applyBorder="1">
      <alignment vertical="center"/>
    </xf>
    <xf numFmtId="49" fontId="0" fillId="0" borderId="14" xfId="0" applyNumberFormat="1" applyBorder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49" fontId="0" fillId="0" borderId="15" xfId="0" applyNumberFormat="1" applyBorder="1">
      <alignment vertical="center"/>
    </xf>
    <xf numFmtId="49" fontId="0" fillId="0" borderId="17" xfId="0" applyNumberFormat="1" applyBorder="1">
      <alignment vertical="center"/>
    </xf>
    <xf numFmtId="49" fontId="0" fillId="0" borderId="16" xfId="0" applyNumberFormat="1" applyBorder="1">
      <alignment vertical="center"/>
    </xf>
    <xf numFmtId="49" fontId="0" fillId="0" borderId="18" xfId="0" applyNumberFormat="1" applyBorder="1">
      <alignment vertical="center"/>
    </xf>
    <xf numFmtId="0" fontId="0" fillId="0" borderId="0" xfId="0" applyFill="1">
      <alignment vertical="center"/>
    </xf>
    <xf numFmtId="49" fontId="0" fillId="0" borderId="19" xfId="0" applyNumberFormat="1" applyBorder="1">
      <alignment vertical="center"/>
    </xf>
    <xf numFmtId="49" fontId="0" fillId="2" borderId="1" xfId="0" applyNumberFormat="1" applyFill="1" applyBorder="1">
      <alignment vertical="center"/>
    </xf>
    <xf numFmtId="49" fontId="0" fillId="2" borderId="2" xfId="0" applyNumberFormat="1" applyFill="1" applyBorder="1">
      <alignment vertical="center"/>
    </xf>
    <xf numFmtId="49" fontId="0" fillId="2" borderId="3" xfId="0" applyNumberFormat="1" applyFill="1" applyBorder="1">
      <alignment vertical="center"/>
    </xf>
    <xf numFmtId="49" fontId="0" fillId="3" borderId="1" xfId="0" applyNumberFormat="1" applyFill="1" applyBorder="1">
      <alignment vertical="center"/>
    </xf>
    <xf numFmtId="49" fontId="0" fillId="3" borderId="2" xfId="0" applyNumberFormat="1" applyFill="1" applyBorder="1">
      <alignment vertical="center"/>
    </xf>
    <xf numFmtId="49" fontId="0" fillId="3" borderId="3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3" xfId="0" applyNumberFormat="1" applyFill="1" applyBorder="1">
      <alignment vertical="center"/>
    </xf>
    <xf numFmtId="49" fontId="0" fillId="4" borderId="0" xfId="0" applyNumberFormat="1" applyFill="1">
      <alignment vertical="center"/>
    </xf>
    <xf numFmtId="49" fontId="0" fillId="2" borderId="0" xfId="0" applyNumberFormat="1" applyFill="1">
      <alignment vertical="center"/>
    </xf>
    <xf numFmtId="0" fontId="0" fillId="2" borderId="0" xfId="0" applyFill="1">
      <alignment vertical="center"/>
    </xf>
    <xf numFmtId="49" fontId="0" fillId="5" borderId="1" xfId="0" applyNumberFormat="1" applyFill="1" applyBorder="1">
      <alignment vertical="center"/>
    </xf>
    <xf numFmtId="49" fontId="0" fillId="5" borderId="3" xfId="0" applyNumberFormat="1" applyFill="1" applyBorder="1">
      <alignment vertical="center"/>
    </xf>
    <xf numFmtId="49" fontId="0" fillId="5" borderId="0" xfId="0" applyNumberFormat="1" applyFill="1">
      <alignment vertical="center"/>
    </xf>
    <xf numFmtId="0" fontId="0" fillId="5" borderId="0" xfId="0" applyFill="1">
      <alignment vertical="center"/>
    </xf>
    <xf numFmtId="49" fontId="0" fillId="6" borderId="1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49" fontId="0" fillId="6" borderId="0" xfId="0" applyNumberFormat="1" applyFill="1">
      <alignment vertical="center"/>
    </xf>
    <xf numFmtId="0" fontId="0" fillId="6" borderId="0" xfId="0" applyFill="1">
      <alignment vertical="center"/>
    </xf>
    <xf numFmtId="49" fontId="0" fillId="3" borderId="0" xfId="0" applyNumberFormat="1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133350</xdr:colOff>
      <xdr:row>26</xdr:row>
      <xdr:rowOff>47625</xdr:rowOff>
    </xdr:from>
    <xdr:to>
      <xdr:col>18</xdr:col>
      <xdr:colOff>514350</xdr:colOff>
      <xdr:row>26</xdr:row>
      <xdr:rowOff>133350</xdr:rowOff>
    </xdr:to>
    <xdr:sp macro="" textlink="">
      <xdr:nvSpPr>
        <xdr:cNvPr id="3" name="右矢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772150" y="4486275"/>
          <a:ext cx="381000" cy="85725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0</xdr:colOff>
      <xdr:row>80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2694214" y="2299607"/>
          <a:ext cx="272143" cy="11851822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80</xdr:row>
      <xdr:rowOff>81643</xdr:rowOff>
    </xdr:from>
    <xdr:to>
      <xdr:col>15</xdr:col>
      <xdr:colOff>0</xdr:colOff>
      <xdr:row>80</xdr:row>
      <xdr:rowOff>81643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694214" y="14233072"/>
          <a:ext cx="2163536" cy="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69</xdr:row>
      <xdr:rowOff>0</xdr:rowOff>
    </xdr:from>
    <xdr:to>
      <xdr:col>17</xdr:col>
      <xdr:colOff>0</xdr:colOff>
      <xdr:row>80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 flipV="1">
          <a:off x="4340679" y="12205607"/>
          <a:ext cx="1061357" cy="1945822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231322</xdr:colOff>
      <xdr:row>69</xdr:row>
      <xdr:rowOff>108857</xdr:rowOff>
    </xdr:from>
    <xdr:to>
      <xdr:col>17</xdr:col>
      <xdr:colOff>258536</xdr:colOff>
      <xdr:row>69</xdr:row>
      <xdr:rowOff>108857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299858" y="12314464"/>
          <a:ext cx="1360714" cy="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70</xdr:row>
      <xdr:rowOff>95250</xdr:rowOff>
    </xdr:from>
    <xdr:to>
      <xdr:col>17</xdr:col>
      <xdr:colOff>0</xdr:colOff>
      <xdr:row>70</xdr:row>
      <xdr:rowOff>95250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1333500" y="12477750"/>
          <a:ext cx="4068536" cy="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79</xdr:row>
      <xdr:rowOff>0</xdr:rowOff>
    </xdr:from>
    <xdr:to>
      <xdr:col>18</xdr:col>
      <xdr:colOff>0</xdr:colOff>
      <xdr:row>79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2694214" y="13974536"/>
          <a:ext cx="2979965" cy="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82</xdr:row>
      <xdr:rowOff>81643</xdr:rowOff>
    </xdr:from>
    <xdr:to>
      <xdr:col>7</xdr:col>
      <xdr:colOff>0</xdr:colOff>
      <xdr:row>82</xdr:row>
      <xdr:rowOff>81643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1333500" y="14586857"/>
          <a:ext cx="1360714" cy="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26</xdr:row>
      <xdr:rowOff>0</xdr:rowOff>
    </xdr:from>
    <xdr:to>
      <xdr:col>8</xdr:col>
      <xdr:colOff>258536</xdr:colOff>
      <xdr:row>82</xdr:row>
      <xdr:rowOff>1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2422071" y="4599214"/>
          <a:ext cx="802822" cy="9906001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B116"/>
  <sheetViews>
    <sheetView tabSelected="1" view="pageBreakPreview" zoomScale="85" zoomScaleNormal="100" zoomScaleSheetLayoutView="85" workbookViewId="0"/>
  </sheetViews>
  <sheetFormatPr defaultRowHeight="13.5" x14ac:dyDescent="0.15"/>
  <cols>
    <col min="1" max="2" width="8.75" style="11"/>
    <col min="3" max="3" width="3.5" customWidth="1"/>
    <col min="4" max="4" width="3.5" bestFit="1" customWidth="1"/>
    <col min="5" max="5" width="3.625" bestFit="1" customWidth="1"/>
    <col min="6" max="7" width="3.5" bestFit="1" customWidth="1"/>
    <col min="8" max="9" width="3.625" bestFit="1" customWidth="1"/>
    <col min="10" max="10" width="3.5" bestFit="1" customWidth="1"/>
    <col min="11" max="11" width="3.875" bestFit="1" customWidth="1"/>
    <col min="12" max="12" width="3.375" bestFit="1" customWidth="1"/>
    <col min="13" max="13" width="3.625" bestFit="1" customWidth="1"/>
    <col min="14" max="14" width="3.25" bestFit="1" customWidth="1"/>
    <col min="15" max="18" width="3.5" customWidth="1"/>
  </cols>
  <sheetData>
    <row r="1" spans="1:24" ht="14.25" thickBot="1" x14ac:dyDescent="0.2">
      <c r="C1" t="s">
        <v>14</v>
      </c>
    </row>
    <row r="2" spans="1:24" s="1" customFormat="1" ht="14.25" thickBot="1" x14ac:dyDescent="0.2">
      <c r="A2" s="11">
        <v>0</v>
      </c>
      <c r="B2" s="11" t="str">
        <f>DEC2HEX(A2,5)</f>
        <v>00000</v>
      </c>
      <c r="C2" s="4" t="s">
        <v>0</v>
      </c>
      <c r="D2" s="5" t="s">
        <v>6</v>
      </c>
      <c r="E2" s="5" t="s">
        <v>7</v>
      </c>
      <c r="F2" s="5" t="s">
        <v>8</v>
      </c>
      <c r="G2" s="5" t="s">
        <v>8</v>
      </c>
      <c r="H2" s="5" t="s">
        <v>8</v>
      </c>
      <c r="I2" s="5" t="s">
        <v>8</v>
      </c>
      <c r="J2" s="6" t="s">
        <v>8</v>
      </c>
      <c r="K2" s="4" t="s">
        <v>5</v>
      </c>
      <c r="L2" s="5" t="s">
        <v>5</v>
      </c>
      <c r="M2" s="5" t="s">
        <v>5</v>
      </c>
      <c r="N2" s="5" t="s">
        <v>5</v>
      </c>
      <c r="O2" s="5" t="s">
        <v>5</v>
      </c>
      <c r="P2" s="5" t="s">
        <v>5</v>
      </c>
      <c r="Q2" s="5" t="s">
        <v>5</v>
      </c>
      <c r="R2" s="6" t="s">
        <v>5</v>
      </c>
      <c r="T2" s="1" t="s">
        <v>61</v>
      </c>
      <c r="X2" s="1" t="s">
        <v>100</v>
      </c>
    </row>
    <row r="3" spans="1:24" s="1" customFormat="1" ht="14.25" thickBot="1" x14ac:dyDescent="0.2">
      <c r="A3" s="11">
        <f>A2+16</f>
        <v>16</v>
      </c>
      <c r="B3" s="11" t="str">
        <f t="shared" ref="B3:B5" si="0">DEC2HEX(A3,5)</f>
        <v>00010</v>
      </c>
      <c r="C3" s="4" t="s">
        <v>4</v>
      </c>
      <c r="D3" s="5" t="s">
        <v>9</v>
      </c>
      <c r="E3" s="5" t="s">
        <v>1</v>
      </c>
      <c r="F3" s="5" t="s">
        <v>10</v>
      </c>
      <c r="G3" s="5" t="s">
        <v>11</v>
      </c>
      <c r="H3" s="5" t="s">
        <v>2</v>
      </c>
      <c r="I3" s="5" t="s">
        <v>8</v>
      </c>
      <c r="J3" s="6" t="s">
        <v>12</v>
      </c>
      <c r="K3" s="4" t="s">
        <v>5</v>
      </c>
      <c r="L3" s="6" t="s">
        <v>5</v>
      </c>
      <c r="M3" s="4" t="s">
        <v>5</v>
      </c>
      <c r="N3" s="6" t="s">
        <v>5</v>
      </c>
      <c r="O3" s="4" t="s">
        <v>3</v>
      </c>
      <c r="P3" s="6" t="s">
        <v>13</v>
      </c>
      <c r="Q3" s="4" t="s">
        <v>5</v>
      </c>
      <c r="R3" s="6" t="s">
        <v>5</v>
      </c>
      <c r="T3" s="1" t="s">
        <v>60</v>
      </c>
      <c r="X3" s="1" t="s">
        <v>101</v>
      </c>
    </row>
    <row r="4" spans="1:24" s="1" customFormat="1" ht="14.25" thickBot="1" x14ac:dyDescent="0.2">
      <c r="A4" s="11">
        <f t="shared" ref="A4:A5" si="1">A3+16</f>
        <v>32</v>
      </c>
      <c r="B4" s="11" t="str">
        <f t="shared" si="0"/>
        <v>00020</v>
      </c>
      <c r="C4" s="4" t="s">
        <v>5</v>
      </c>
      <c r="D4" s="6" t="s">
        <v>5</v>
      </c>
      <c r="E4" s="2" t="s">
        <v>5</v>
      </c>
      <c r="F4" s="2" t="s">
        <v>5</v>
      </c>
      <c r="G4" s="2" t="s">
        <v>5</v>
      </c>
      <c r="H4" s="2" t="s">
        <v>5</v>
      </c>
      <c r="I4" s="2" t="s">
        <v>5</v>
      </c>
      <c r="J4" s="2" t="s">
        <v>5</v>
      </c>
      <c r="K4" s="2" t="s">
        <v>5</v>
      </c>
      <c r="L4" s="2" t="s">
        <v>5</v>
      </c>
      <c r="M4" s="2" t="s">
        <v>5</v>
      </c>
      <c r="N4" s="2" t="s">
        <v>5</v>
      </c>
      <c r="O4" s="2" t="s">
        <v>5</v>
      </c>
      <c r="P4" s="2" t="s">
        <v>5</v>
      </c>
      <c r="Q4" s="2" t="s">
        <v>5</v>
      </c>
      <c r="R4" s="10" t="s">
        <v>5</v>
      </c>
      <c r="T4" s="1" t="s">
        <v>62</v>
      </c>
      <c r="X4" s="1" t="s">
        <v>102</v>
      </c>
    </row>
    <row r="5" spans="1:24" s="1" customFormat="1" ht="14.25" thickBot="1" x14ac:dyDescent="0.2">
      <c r="A5" s="11">
        <f t="shared" si="1"/>
        <v>48</v>
      </c>
      <c r="B5" s="11" t="str">
        <f t="shared" si="0"/>
        <v>00030</v>
      </c>
      <c r="C5" s="7" t="s">
        <v>5</v>
      </c>
      <c r="D5" s="8" t="s">
        <v>5</v>
      </c>
      <c r="E5" s="8" t="s">
        <v>5</v>
      </c>
      <c r="F5" s="8" t="s">
        <v>5</v>
      </c>
      <c r="G5" s="8" t="s">
        <v>5</v>
      </c>
      <c r="H5" s="8" t="s">
        <v>5</v>
      </c>
      <c r="I5" s="8" t="s">
        <v>5</v>
      </c>
      <c r="J5" s="8" t="s">
        <v>5</v>
      </c>
      <c r="K5" s="8" t="s">
        <v>5</v>
      </c>
      <c r="L5" s="8" t="s">
        <v>5</v>
      </c>
      <c r="M5" s="8" t="s">
        <v>5</v>
      </c>
      <c r="N5" s="8" t="s">
        <v>5</v>
      </c>
      <c r="O5" s="8" t="s">
        <v>5</v>
      </c>
      <c r="P5" s="8" t="s">
        <v>5</v>
      </c>
      <c r="Q5" s="8" t="s">
        <v>5</v>
      </c>
      <c r="R5" s="9" t="s">
        <v>5</v>
      </c>
      <c r="T5" s="1" t="s">
        <v>63</v>
      </c>
      <c r="X5" s="1" t="s">
        <v>65</v>
      </c>
    </row>
    <row r="6" spans="1:24" s="1" customFormat="1" x14ac:dyDescent="0.15">
      <c r="A6" s="11"/>
      <c r="B6" s="11"/>
      <c r="T6" s="1" t="s">
        <v>63</v>
      </c>
      <c r="X6" s="1" t="s">
        <v>67</v>
      </c>
    </row>
    <row r="7" spans="1:24" s="1" customFormat="1" x14ac:dyDescent="0.15">
      <c r="A7" s="11"/>
      <c r="B7" s="11"/>
      <c r="T7" s="1" t="s">
        <v>64</v>
      </c>
      <c r="X7" s="1" t="s">
        <v>66</v>
      </c>
    </row>
    <row r="8" spans="1:24" s="1" customFormat="1" x14ac:dyDescent="0.15">
      <c r="A8" s="11"/>
      <c r="B8" s="11"/>
      <c r="T8" s="1" t="s">
        <v>63</v>
      </c>
      <c r="X8" s="1" t="s">
        <v>103</v>
      </c>
    </row>
    <row r="9" spans="1:24" s="1" customFormat="1" x14ac:dyDescent="0.15">
      <c r="A9" s="11"/>
      <c r="B9" s="11"/>
      <c r="T9" s="1" t="s">
        <v>63</v>
      </c>
      <c r="X9" s="1" t="s">
        <v>103</v>
      </c>
    </row>
    <row r="10" spans="1:24" s="1" customFormat="1" x14ac:dyDescent="0.15">
      <c r="A10" s="11"/>
      <c r="B10" s="11"/>
      <c r="T10" s="1" t="s">
        <v>104</v>
      </c>
      <c r="X10" s="1" t="s">
        <v>103</v>
      </c>
    </row>
    <row r="11" spans="1:24" s="1" customFormat="1" x14ac:dyDescent="0.15">
      <c r="A11" s="11"/>
      <c r="B11" s="11"/>
    </row>
    <row r="12" spans="1:24" s="1" customFormat="1" ht="14.25" thickBot="1" x14ac:dyDescent="0.2">
      <c r="A12" s="11"/>
      <c r="B12" s="11"/>
      <c r="C12" s="1" t="s">
        <v>15</v>
      </c>
      <c r="G12" s="1" t="s">
        <v>246</v>
      </c>
    </row>
    <row r="13" spans="1:24" s="1" customFormat="1" ht="14.25" thickBot="1" x14ac:dyDescent="0.2">
      <c r="A13" s="11">
        <f>A5+16</f>
        <v>64</v>
      </c>
      <c r="B13" s="11" t="str">
        <f t="shared" ref="B13:B23" si="2">DEC2HEX(A13,5)</f>
        <v>00040</v>
      </c>
      <c r="C13" s="4" t="s">
        <v>16</v>
      </c>
      <c r="D13" s="6" t="s">
        <v>6</v>
      </c>
      <c r="E13" s="4" t="s">
        <v>17</v>
      </c>
      <c r="F13" s="6" t="s">
        <v>5</v>
      </c>
      <c r="G13" s="46" t="s">
        <v>18</v>
      </c>
      <c r="H13" s="47" t="s">
        <v>19</v>
      </c>
      <c r="I13" s="47" t="s">
        <v>20</v>
      </c>
      <c r="J13" s="48" t="s">
        <v>5</v>
      </c>
      <c r="K13" s="4" t="s">
        <v>21</v>
      </c>
      <c r="L13" s="5" t="s">
        <v>19</v>
      </c>
      <c r="M13" s="5" t="s">
        <v>20</v>
      </c>
      <c r="N13" s="6" t="s">
        <v>5</v>
      </c>
      <c r="O13" s="4" t="s">
        <v>5</v>
      </c>
      <c r="P13" s="5" t="s">
        <v>5</v>
      </c>
      <c r="Q13" s="5" t="s">
        <v>5</v>
      </c>
      <c r="R13" s="6" t="s">
        <v>5</v>
      </c>
      <c r="T13" s="1" t="s">
        <v>105</v>
      </c>
      <c r="X13" s="1" t="s">
        <v>106</v>
      </c>
    </row>
    <row r="14" spans="1:24" s="1" customFormat="1" ht="14.25" thickBot="1" x14ac:dyDescent="0.2">
      <c r="A14" s="11">
        <f t="shared" ref="A14:A23" si="3">A13+16</f>
        <v>80</v>
      </c>
      <c r="B14" s="11" t="str">
        <f t="shared" si="2"/>
        <v>00050</v>
      </c>
      <c r="C14" s="4" t="s">
        <v>13</v>
      </c>
      <c r="D14" s="6" t="s">
        <v>5</v>
      </c>
      <c r="E14" s="4" t="s">
        <v>22</v>
      </c>
      <c r="F14" s="5" t="s">
        <v>23</v>
      </c>
      <c r="G14" s="5" t="s">
        <v>24</v>
      </c>
      <c r="H14" s="5" t="s">
        <v>25</v>
      </c>
      <c r="I14" s="5" t="s">
        <v>25</v>
      </c>
      <c r="J14" s="5" t="s">
        <v>24</v>
      </c>
      <c r="K14" s="5" t="s">
        <v>22</v>
      </c>
      <c r="L14" s="5" t="s">
        <v>26</v>
      </c>
      <c r="M14" s="5" t="s">
        <v>25</v>
      </c>
      <c r="N14" s="6" t="s">
        <v>27</v>
      </c>
      <c r="O14" s="4" t="s">
        <v>25</v>
      </c>
      <c r="P14" s="5" t="s">
        <v>26</v>
      </c>
      <c r="Q14" s="5" t="s">
        <v>24</v>
      </c>
      <c r="R14" s="5" t="s">
        <v>22</v>
      </c>
      <c r="T14" s="1" t="s">
        <v>68</v>
      </c>
      <c r="X14" s="1" t="s">
        <v>74</v>
      </c>
    </row>
    <row r="15" spans="1:24" s="1" customFormat="1" ht="14.25" thickBot="1" x14ac:dyDescent="0.2">
      <c r="A15" s="11">
        <f t="shared" si="3"/>
        <v>96</v>
      </c>
      <c r="B15" s="11" t="str">
        <f t="shared" si="2"/>
        <v>00060</v>
      </c>
      <c r="C15" s="5" t="s">
        <v>28</v>
      </c>
      <c r="D15" s="5" t="s">
        <v>24</v>
      </c>
      <c r="E15" s="5" t="s">
        <v>23</v>
      </c>
      <c r="F15" s="6" t="s">
        <v>19</v>
      </c>
      <c r="G15" s="13" t="s">
        <v>5</v>
      </c>
      <c r="H15" s="14" t="s">
        <v>5</v>
      </c>
      <c r="I15" s="14" t="s">
        <v>5</v>
      </c>
      <c r="J15" s="14" t="s">
        <v>5</v>
      </c>
      <c r="K15" s="14" t="s">
        <v>5</v>
      </c>
      <c r="L15" s="14" t="s">
        <v>5</v>
      </c>
      <c r="M15" s="14" t="s">
        <v>5</v>
      </c>
      <c r="N15" s="14" t="s">
        <v>5</v>
      </c>
      <c r="O15" s="14" t="s">
        <v>5</v>
      </c>
      <c r="P15" s="14" t="s">
        <v>5</v>
      </c>
      <c r="Q15" s="14" t="s">
        <v>5</v>
      </c>
      <c r="R15" s="10" t="s">
        <v>5</v>
      </c>
      <c r="T15" s="49" t="s">
        <v>69</v>
      </c>
      <c r="U15" s="49"/>
      <c r="V15" s="49"/>
      <c r="W15" s="49"/>
      <c r="X15" s="49" t="s">
        <v>75</v>
      </c>
    </row>
    <row r="16" spans="1:24" s="1" customFormat="1" ht="14.25" thickBot="1" x14ac:dyDescent="0.2">
      <c r="A16" s="11">
        <f t="shared" si="3"/>
        <v>112</v>
      </c>
      <c r="B16" s="11" t="str">
        <f t="shared" si="2"/>
        <v>00070</v>
      </c>
      <c r="C16" s="15" t="s">
        <v>5</v>
      </c>
      <c r="D16" s="12" t="s">
        <v>5</v>
      </c>
      <c r="E16" s="12" t="s">
        <v>5</v>
      </c>
      <c r="F16" s="12" t="s">
        <v>5</v>
      </c>
      <c r="G16" s="12" t="s">
        <v>5</v>
      </c>
      <c r="H16" s="12" t="s">
        <v>5</v>
      </c>
      <c r="I16" s="12" t="s">
        <v>5</v>
      </c>
      <c r="J16" s="12" t="s">
        <v>5</v>
      </c>
      <c r="K16" s="12" t="s">
        <v>5</v>
      </c>
      <c r="L16" s="12" t="s">
        <v>5</v>
      </c>
      <c r="M16" s="12" t="s">
        <v>5</v>
      </c>
      <c r="N16" s="12" t="s">
        <v>5</v>
      </c>
      <c r="O16" s="12" t="s">
        <v>5</v>
      </c>
      <c r="P16" s="12" t="s">
        <v>5</v>
      </c>
      <c r="Q16" s="12" t="s">
        <v>5</v>
      </c>
      <c r="R16" s="16" t="s">
        <v>5</v>
      </c>
      <c r="T16" s="1" t="s">
        <v>70</v>
      </c>
      <c r="X16" s="1" t="s">
        <v>76</v>
      </c>
    </row>
    <row r="17" spans="1:24" s="1" customFormat="1" ht="14.25" thickBot="1" x14ac:dyDescent="0.2">
      <c r="A17" s="11">
        <f t="shared" si="3"/>
        <v>128</v>
      </c>
      <c r="B17" s="11" t="str">
        <f t="shared" si="2"/>
        <v>00080</v>
      </c>
      <c r="C17" s="8" t="s">
        <v>5</v>
      </c>
      <c r="D17" s="8" t="s">
        <v>5</v>
      </c>
      <c r="E17" s="8" t="s">
        <v>5</v>
      </c>
      <c r="F17" s="9" t="s">
        <v>5</v>
      </c>
      <c r="G17" s="14" t="s">
        <v>5</v>
      </c>
      <c r="H17" s="14" t="s">
        <v>5</v>
      </c>
      <c r="I17" s="14" t="s">
        <v>5</v>
      </c>
      <c r="J17" s="14" t="s">
        <v>5</v>
      </c>
      <c r="K17" s="14" t="s">
        <v>5</v>
      </c>
      <c r="L17" s="14" t="s">
        <v>5</v>
      </c>
      <c r="M17" s="14" t="s">
        <v>5</v>
      </c>
      <c r="N17" s="14" t="s">
        <v>5</v>
      </c>
      <c r="O17" s="14" t="s">
        <v>5</v>
      </c>
      <c r="P17" s="14" t="s">
        <v>5</v>
      </c>
      <c r="Q17" s="14" t="s">
        <v>5</v>
      </c>
      <c r="R17" s="10" t="s">
        <v>5</v>
      </c>
      <c r="T17" s="1" t="s">
        <v>82</v>
      </c>
      <c r="X17" s="1" t="s">
        <v>107</v>
      </c>
    </row>
    <row r="18" spans="1:24" s="1" customFormat="1" ht="14.25" thickBot="1" x14ac:dyDescent="0.2">
      <c r="A18" s="11">
        <f t="shared" si="3"/>
        <v>144</v>
      </c>
      <c r="B18" s="11" t="str">
        <f t="shared" si="2"/>
        <v>00090</v>
      </c>
      <c r="C18" s="13" t="s">
        <v>5</v>
      </c>
      <c r="D18" s="14" t="s">
        <v>5</v>
      </c>
      <c r="E18" s="14" t="s">
        <v>5</v>
      </c>
      <c r="F18" s="14" t="s">
        <v>5</v>
      </c>
      <c r="G18" s="12" t="s">
        <v>5</v>
      </c>
      <c r="H18" s="12" t="s">
        <v>5</v>
      </c>
      <c r="I18" s="12" t="s">
        <v>5</v>
      </c>
      <c r="J18" s="12" t="s">
        <v>5</v>
      </c>
      <c r="K18" s="12" t="s">
        <v>5</v>
      </c>
      <c r="L18" s="12" t="s">
        <v>5</v>
      </c>
      <c r="M18" s="12" t="s">
        <v>5</v>
      </c>
      <c r="N18" s="12" t="s">
        <v>5</v>
      </c>
      <c r="O18" s="12" t="s">
        <v>5</v>
      </c>
      <c r="P18" s="12" t="s">
        <v>5</v>
      </c>
      <c r="Q18" s="12" t="s">
        <v>5</v>
      </c>
      <c r="R18" s="16" t="s">
        <v>5</v>
      </c>
      <c r="T18" s="1" t="s">
        <v>71</v>
      </c>
      <c r="X18" s="1" t="s">
        <v>77</v>
      </c>
    </row>
    <row r="19" spans="1:24" s="1" customFormat="1" ht="14.25" thickBot="1" x14ac:dyDescent="0.2">
      <c r="A19" s="11">
        <f t="shared" si="3"/>
        <v>160</v>
      </c>
      <c r="B19" s="11" t="str">
        <f t="shared" si="2"/>
        <v>000A0</v>
      </c>
      <c r="C19" s="7" t="s">
        <v>5</v>
      </c>
      <c r="D19" s="8" t="s">
        <v>5</v>
      </c>
      <c r="E19" s="8" t="s">
        <v>5</v>
      </c>
      <c r="F19" s="8" t="s">
        <v>5</v>
      </c>
      <c r="G19" s="13" t="s">
        <v>5</v>
      </c>
      <c r="H19" s="14" t="s">
        <v>5</v>
      </c>
      <c r="I19" s="14" t="s">
        <v>5</v>
      </c>
      <c r="J19" s="14" t="s">
        <v>5</v>
      </c>
      <c r="K19" s="14" t="s">
        <v>5</v>
      </c>
      <c r="L19" s="14" t="s">
        <v>5</v>
      </c>
      <c r="M19" s="14" t="s">
        <v>5</v>
      </c>
      <c r="N19" s="14" t="s">
        <v>5</v>
      </c>
      <c r="O19" s="14" t="s">
        <v>5</v>
      </c>
      <c r="P19" s="14" t="s">
        <v>5</v>
      </c>
      <c r="Q19" s="14" t="s">
        <v>5</v>
      </c>
      <c r="R19" s="10" t="s">
        <v>5</v>
      </c>
      <c r="T19" s="1" t="s">
        <v>72</v>
      </c>
      <c r="X19" s="1" t="s">
        <v>78</v>
      </c>
    </row>
    <row r="20" spans="1:24" s="1" customFormat="1" ht="14.25" thickBot="1" x14ac:dyDescent="0.2">
      <c r="A20" s="11">
        <f t="shared" si="3"/>
        <v>176</v>
      </c>
      <c r="B20" s="11" t="str">
        <f t="shared" si="2"/>
        <v>000B0</v>
      </c>
      <c r="C20" s="15" t="s">
        <v>5</v>
      </c>
      <c r="D20" s="12" t="s">
        <v>5</v>
      </c>
      <c r="E20" s="12" t="s">
        <v>5</v>
      </c>
      <c r="F20" s="12" t="s">
        <v>5</v>
      </c>
      <c r="G20" s="12" t="s">
        <v>5</v>
      </c>
      <c r="H20" s="12" t="s">
        <v>5</v>
      </c>
      <c r="I20" s="12" t="s">
        <v>5</v>
      </c>
      <c r="J20" s="12" t="s">
        <v>5</v>
      </c>
      <c r="K20" s="12" t="s">
        <v>5</v>
      </c>
      <c r="L20" s="12" t="s">
        <v>5</v>
      </c>
      <c r="M20" s="12" t="s">
        <v>5</v>
      </c>
      <c r="N20" s="12" t="s">
        <v>5</v>
      </c>
      <c r="O20" s="12" t="s">
        <v>5</v>
      </c>
      <c r="P20" s="12" t="s">
        <v>5</v>
      </c>
      <c r="Q20" s="12" t="s">
        <v>5</v>
      </c>
      <c r="R20" s="16" t="s">
        <v>5</v>
      </c>
      <c r="T20" s="1" t="s">
        <v>73</v>
      </c>
      <c r="X20" s="1" t="s">
        <v>79</v>
      </c>
    </row>
    <row r="21" spans="1:24" s="1" customFormat="1" ht="14.25" thickBot="1" x14ac:dyDescent="0.2">
      <c r="A21" s="11">
        <f t="shared" si="3"/>
        <v>192</v>
      </c>
      <c r="B21" s="11" t="str">
        <f t="shared" si="2"/>
        <v>000C0</v>
      </c>
      <c r="C21" s="7" t="s">
        <v>5</v>
      </c>
      <c r="D21" s="8" t="s">
        <v>5</v>
      </c>
      <c r="E21" s="8" t="s">
        <v>5</v>
      </c>
      <c r="F21" s="9" t="s">
        <v>5</v>
      </c>
      <c r="G21" s="14" t="s">
        <v>5</v>
      </c>
      <c r="H21" s="14" t="s">
        <v>5</v>
      </c>
      <c r="I21" s="14" t="s">
        <v>5</v>
      </c>
      <c r="J21" s="14" t="s">
        <v>5</v>
      </c>
      <c r="K21" s="14" t="s">
        <v>5</v>
      </c>
      <c r="L21" s="14" t="s">
        <v>5</v>
      </c>
      <c r="M21" s="14" t="s">
        <v>5</v>
      </c>
      <c r="N21" s="14" t="s">
        <v>5</v>
      </c>
      <c r="O21" s="14" t="s">
        <v>5</v>
      </c>
      <c r="P21" s="14" t="s">
        <v>5</v>
      </c>
      <c r="Q21" s="14" t="s">
        <v>5</v>
      </c>
      <c r="R21" s="10" t="s">
        <v>5</v>
      </c>
      <c r="T21" s="1" t="s">
        <v>104</v>
      </c>
      <c r="X21" s="1" t="s">
        <v>108</v>
      </c>
    </row>
    <row r="22" spans="1:24" s="1" customFormat="1" ht="14.25" thickBot="1" x14ac:dyDescent="0.2">
      <c r="A22" s="11">
        <f t="shared" si="3"/>
        <v>208</v>
      </c>
      <c r="B22" s="11" t="str">
        <f t="shared" si="2"/>
        <v>000D0</v>
      </c>
      <c r="C22" s="15" t="s">
        <v>5</v>
      </c>
      <c r="D22" s="12" t="s">
        <v>5</v>
      </c>
      <c r="E22" s="12" t="s">
        <v>5</v>
      </c>
      <c r="F22" s="12" t="s">
        <v>5</v>
      </c>
      <c r="G22" s="12" t="s">
        <v>5</v>
      </c>
      <c r="H22" s="12" t="s">
        <v>5</v>
      </c>
      <c r="I22" s="12" t="s">
        <v>5</v>
      </c>
      <c r="J22" s="12" t="s">
        <v>5</v>
      </c>
      <c r="K22" s="12" t="s">
        <v>5</v>
      </c>
      <c r="L22" s="12" t="s">
        <v>5</v>
      </c>
      <c r="M22" s="12" t="s">
        <v>5</v>
      </c>
      <c r="N22" s="12" t="s">
        <v>5</v>
      </c>
      <c r="O22" s="12" t="s">
        <v>5</v>
      </c>
      <c r="P22" s="12" t="s">
        <v>5</v>
      </c>
      <c r="Q22" s="12" t="s">
        <v>5</v>
      </c>
      <c r="R22" s="16" t="s">
        <v>5</v>
      </c>
      <c r="T22" s="1" t="s">
        <v>104</v>
      </c>
      <c r="X22" s="1" t="s">
        <v>109</v>
      </c>
    </row>
    <row r="23" spans="1:24" s="1" customFormat="1" ht="14.25" thickBot="1" x14ac:dyDescent="0.2">
      <c r="A23" s="11">
        <f t="shared" si="3"/>
        <v>224</v>
      </c>
      <c r="B23" s="11" t="str">
        <f t="shared" si="2"/>
        <v>000E0</v>
      </c>
      <c r="C23" s="7" t="s">
        <v>5</v>
      </c>
      <c r="D23" s="8" t="s">
        <v>5</v>
      </c>
      <c r="E23" s="8" t="s">
        <v>5</v>
      </c>
      <c r="F23" s="9" t="s">
        <v>5</v>
      </c>
      <c r="G23" s="1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T23" s="1" t="s">
        <v>104</v>
      </c>
      <c r="X23" s="1" t="s">
        <v>110</v>
      </c>
    </row>
    <row r="24" spans="1:24" s="1" customFormat="1" x14ac:dyDescent="0.15">
      <c r="A24" s="11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2"/>
      <c r="O24" s="2"/>
      <c r="P24" s="2"/>
      <c r="Q24" s="2"/>
      <c r="R24" s="2"/>
      <c r="T24" s="1" t="s">
        <v>104</v>
      </c>
      <c r="X24" s="1" t="s">
        <v>111</v>
      </c>
    </row>
    <row r="25" spans="1:24" s="1" customFormat="1" x14ac:dyDescent="0.15">
      <c r="A25" s="11"/>
      <c r="B25" s="1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4" s="1" customFormat="1" ht="14.25" thickBot="1" x14ac:dyDescent="0.2">
      <c r="A26" s="11"/>
      <c r="B26" s="11"/>
      <c r="C26" s="1" t="s">
        <v>113</v>
      </c>
    </row>
    <row r="27" spans="1:24" s="1" customFormat="1" ht="14.25" thickBot="1" x14ac:dyDescent="0.2">
      <c r="A27" s="11">
        <v>224</v>
      </c>
      <c r="B27" s="11" t="s">
        <v>112</v>
      </c>
      <c r="G27" s="13" t="s">
        <v>13</v>
      </c>
      <c r="H27" s="14" t="s">
        <v>5</v>
      </c>
      <c r="I27" s="14" t="s">
        <v>13</v>
      </c>
      <c r="J27" s="14" t="s">
        <v>5</v>
      </c>
      <c r="K27" s="14" t="s">
        <v>29</v>
      </c>
      <c r="L27" s="14" t="s">
        <v>30</v>
      </c>
      <c r="M27" s="14" t="s">
        <v>31</v>
      </c>
      <c r="N27" s="5" t="s">
        <v>32</v>
      </c>
      <c r="O27" s="5" t="s">
        <v>5</v>
      </c>
      <c r="P27" s="5" t="s">
        <v>5</v>
      </c>
      <c r="Q27" s="5" t="s">
        <v>33</v>
      </c>
      <c r="R27" s="6" t="s">
        <v>34</v>
      </c>
      <c r="T27" s="1" t="s">
        <v>147</v>
      </c>
      <c r="X27" s="1" t="s">
        <v>142</v>
      </c>
    </row>
    <row r="28" spans="1:24" s="1" customFormat="1" ht="14.25" thickBot="1" x14ac:dyDescent="0.2">
      <c r="A28" s="11">
        <f t="shared" ref="A28" si="4">A27+16</f>
        <v>240</v>
      </c>
      <c r="B28" s="11" t="str">
        <f t="shared" ref="B28" si="5">DEC2HEX(A28,5)</f>
        <v>000F0</v>
      </c>
      <c r="C28" s="4" t="s">
        <v>35</v>
      </c>
      <c r="D28" s="5" t="s">
        <v>31</v>
      </c>
      <c r="E28" s="5" t="s">
        <v>31</v>
      </c>
      <c r="F28" s="5" t="s">
        <v>31</v>
      </c>
      <c r="G28" s="8" t="s">
        <v>31</v>
      </c>
      <c r="H28" s="8" t="s">
        <v>31</v>
      </c>
      <c r="I28" s="8" t="s">
        <v>31</v>
      </c>
      <c r="J28" s="8" t="s">
        <v>36</v>
      </c>
      <c r="K28" s="8" t="s">
        <v>37</v>
      </c>
      <c r="L28" s="8" t="s">
        <v>5</v>
      </c>
      <c r="M28" s="9" t="s">
        <v>5</v>
      </c>
      <c r="N28" s="2"/>
      <c r="O28" s="2"/>
      <c r="P28" s="2"/>
      <c r="Q28" s="2"/>
      <c r="R28" s="2"/>
      <c r="T28" s="1" t="s">
        <v>148</v>
      </c>
    </row>
    <row r="29" spans="1:24" s="1" customFormat="1" x14ac:dyDescent="0.15">
      <c r="A29" s="11"/>
      <c r="B29" s="32" t="s">
        <v>141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1" t="s">
        <v>143</v>
      </c>
      <c r="X29" s="1" t="s">
        <v>230</v>
      </c>
    </row>
    <row r="30" spans="1:24" s="1" customFormat="1" x14ac:dyDescent="0.15">
      <c r="A30" s="11"/>
      <c r="B30" s="32" t="s">
        <v>141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1" t="s">
        <v>63</v>
      </c>
    </row>
    <row r="31" spans="1:24" s="1" customFormat="1" ht="14.25" thickBot="1" x14ac:dyDescent="0.2">
      <c r="A31" s="11"/>
      <c r="B31" s="32" t="s">
        <v>141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1" t="s">
        <v>231</v>
      </c>
      <c r="X31" s="1" t="s">
        <v>206</v>
      </c>
    </row>
    <row r="32" spans="1:24" s="1" customFormat="1" ht="14.25" thickBot="1" x14ac:dyDescent="0.2">
      <c r="A32" s="11">
        <f>HEX2DEC(B32)</f>
        <v>797040</v>
      </c>
      <c r="B32" s="33" t="s">
        <v>152</v>
      </c>
      <c r="C32" s="13" t="s">
        <v>147</v>
      </c>
      <c r="D32" s="14" t="s">
        <v>153</v>
      </c>
      <c r="E32" s="14" t="s">
        <v>147</v>
      </c>
      <c r="F32" s="14" t="s">
        <v>153</v>
      </c>
      <c r="G32" s="14" t="s">
        <v>154</v>
      </c>
      <c r="H32" s="14" t="s">
        <v>155</v>
      </c>
      <c r="I32" s="14" t="s">
        <v>156</v>
      </c>
      <c r="J32" s="5" t="s">
        <v>157</v>
      </c>
      <c r="K32" s="5" t="s">
        <v>144</v>
      </c>
      <c r="L32" s="5" t="s">
        <v>153</v>
      </c>
      <c r="M32" s="5" t="s">
        <v>158</v>
      </c>
      <c r="N32" s="5" t="s">
        <v>159</v>
      </c>
      <c r="O32" s="5" t="s">
        <v>160</v>
      </c>
      <c r="P32" s="5" t="s">
        <v>161</v>
      </c>
      <c r="Q32" s="5" t="s">
        <v>162</v>
      </c>
      <c r="R32" s="6" t="s">
        <v>162</v>
      </c>
      <c r="T32" s="1" t="s">
        <v>149</v>
      </c>
      <c r="X32" s="1" t="s">
        <v>151</v>
      </c>
    </row>
    <row r="33" spans="1:24" s="1" customFormat="1" ht="14.25" thickBot="1" x14ac:dyDescent="0.2">
      <c r="A33" s="11"/>
      <c r="B33" s="32"/>
      <c r="C33" s="7" t="s">
        <v>161</v>
      </c>
      <c r="D33" s="8" t="s">
        <v>161</v>
      </c>
      <c r="E33" s="8" t="s">
        <v>161</v>
      </c>
      <c r="F33" s="8" t="s">
        <v>163</v>
      </c>
      <c r="G33" s="8" t="s">
        <v>164</v>
      </c>
      <c r="H33" s="8" t="s">
        <v>165</v>
      </c>
      <c r="I33" s="9" t="s">
        <v>153</v>
      </c>
      <c r="J33" s="2"/>
      <c r="K33" s="2"/>
      <c r="L33" s="2"/>
      <c r="M33" s="2"/>
      <c r="N33" s="2"/>
      <c r="O33" s="2"/>
      <c r="P33" s="2"/>
      <c r="Q33" s="2"/>
      <c r="R33" s="2"/>
      <c r="T33" s="1" t="s">
        <v>145</v>
      </c>
      <c r="X33" s="1" t="s">
        <v>250</v>
      </c>
    </row>
    <row r="34" spans="1:24" s="1" customFormat="1" x14ac:dyDescent="0.15">
      <c r="A34" s="11"/>
      <c r="B34" s="11"/>
    </row>
    <row r="35" spans="1:24" s="1" customFormat="1" ht="14.25" thickBot="1" x14ac:dyDescent="0.2">
      <c r="A35" s="11"/>
      <c r="B35" s="11"/>
      <c r="C35" s="1" t="s">
        <v>210</v>
      </c>
    </row>
    <row r="36" spans="1:24" s="1" customFormat="1" ht="14.25" thickBot="1" x14ac:dyDescent="0.2">
      <c r="A36" s="11">
        <f t="shared" ref="A36:A40" si="6">HEX2DEC(B36)</f>
        <v>797056</v>
      </c>
      <c r="B36" s="11" t="s">
        <v>220</v>
      </c>
      <c r="J36" s="25" t="s">
        <v>211</v>
      </c>
      <c r="K36" s="24" t="s">
        <v>211</v>
      </c>
      <c r="L36" s="25" t="s">
        <v>212</v>
      </c>
      <c r="M36" s="24" t="s">
        <v>184</v>
      </c>
      <c r="N36" s="25" t="s">
        <v>184</v>
      </c>
      <c r="O36" s="24" t="s">
        <v>184</v>
      </c>
      <c r="P36" s="17" t="s">
        <v>184</v>
      </c>
      <c r="Q36" s="19" t="s">
        <v>181</v>
      </c>
      <c r="R36" s="19" t="s">
        <v>184</v>
      </c>
      <c r="T36" s="1" t="s">
        <v>232</v>
      </c>
      <c r="X36" s="1" t="s">
        <v>106</v>
      </c>
    </row>
    <row r="37" spans="1:24" s="1" customFormat="1" ht="14.25" thickBot="1" x14ac:dyDescent="0.2">
      <c r="A37" s="11">
        <f t="shared" si="6"/>
        <v>797072</v>
      </c>
      <c r="B37" s="11" t="s">
        <v>221</v>
      </c>
      <c r="C37" s="19" t="s">
        <v>184</v>
      </c>
      <c r="D37" s="19" t="s">
        <v>184</v>
      </c>
      <c r="E37" s="19" t="s">
        <v>184</v>
      </c>
      <c r="F37" s="19" t="s">
        <v>184</v>
      </c>
      <c r="G37" s="18" t="s">
        <v>181</v>
      </c>
      <c r="H37" s="17" t="s">
        <v>184</v>
      </c>
      <c r="I37" s="19" t="s">
        <v>184</v>
      </c>
      <c r="J37" s="19" t="s">
        <v>184</v>
      </c>
      <c r="K37" s="19" t="s">
        <v>184</v>
      </c>
      <c r="L37" s="19" t="s">
        <v>184</v>
      </c>
      <c r="M37" s="19" t="s">
        <v>184</v>
      </c>
      <c r="N37" s="19" t="s">
        <v>184</v>
      </c>
      <c r="O37" s="18" t="s">
        <v>184</v>
      </c>
      <c r="P37" s="25" t="s">
        <v>184</v>
      </c>
      <c r="Q37" s="23" t="s">
        <v>181</v>
      </c>
      <c r="R37" s="24" t="s">
        <v>184</v>
      </c>
      <c r="T37" s="1" t="s">
        <v>233</v>
      </c>
      <c r="X37" s="1" t="s">
        <v>74</v>
      </c>
    </row>
    <row r="38" spans="1:24" s="1" customFormat="1" ht="14.25" thickBot="1" x14ac:dyDescent="0.2">
      <c r="A38" s="11">
        <f t="shared" si="6"/>
        <v>797088</v>
      </c>
      <c r="B38" s="11" t="s">
        <v>222</v>
      </c>
      <c r="C38" s="25" t="s">
        <v>184</v>
      </c>
      <c r="D38" s="22" t="s">
        <v>184</v>
      </c>
      <c r="E38" s="22" t="s">
        <v>184</v>
      </c>
      <c r="F38" s="22" t="s">
        <v>184</v>
      </c>
      <c r="G38" s="22" t="s">
        <v>181</v>
      </c>
      <c r="H38" s="22" t="s">
        <v>184</v>
      </c>
      <c r="I38" s="22" t="s">
        <v>184</v>
      </c>
      <c r="J38" s="22" t="s">
        <v>184</v>
      </c>
      <c r="K38" s="22" t="s">
        <v>184</v>
      </c>
      <c r="L38" s="22" t="s">
        <v>184</v>
      </c>
      <c r="M38" s="22" t="s">
        <v>184</v>
      </c>
      <c r="N38" s="22" t="s">
        <v>184</v>
      </c>
      <c r="O38" s="22" t="s">
        <v>184</v>
      </c>
      <c r="P38" s="22" t="s">
        <v>184</v>
      </c>
      <c r="Q38" s="22" t="s">
        <v>181</v>
      </c>
      <c r="R38" s="21" t="s">
        <v>184</v>
      </c>
      <c r="T38" s="1" t="s">
        <v>234</v>
      </c>
      <c r="X38" s="1" t="s">
        <v>235</v>
      </c>
    </row>
    <row r="39" spans="1:24" s="1" customFormat="1" ht="14.25" thickBot="1" x14ac:dyDescent="0.2">
      <c r="A39" s="11">
        <f t="shared" si="6"/>
        <v>797104</v>
      </c>
      <c r="B39" s="11" t="s">
        <v>223</v>
      </c>
      <c r="C39" s="39" t="s">
        <v>184</v>
      </c>
      <c r="D39" s="17" t="s">
        <v>184</v>
      </c>
      <c r="E39" s="18" t="s">
        <v>184</v>
      </c>
      <c r="F39" s="17" t="s">
        <v>183</v>
      </c>
      <c r="G39" s="18" t="s">
        <v>181</v>
      </c>
      <c r="H39" s="17" t="s">
        <v>184</v>
      </c>
      <c r="I39" s="19" t="s">
        <v>184</v>
      </c>
      <c r="J39" s="19" t="s">
        <v>184</v>
      </c>
      <c r="K39" s="19" t="s">
        <v>184</v>
      </c>
      <c r="L39" s="19" t="s">
        <v>184</v>
      </c>
      <c r="M39" s="19" t="s">
        <v>184</v>
      </c>
      <c r="N39" s="19" t="s">
        <v>184</v>
      </c>
      <c r="O39" s="18" t="s">
        <v>184</v>
      </c>
      <c r="P39" s="17" t="s">
        <v>213</v>
      </c>
      <c r="Q39" s="19" t="s">
        <v>214</v>
      </c>
      <c r="R39" s="19" t="s">
        <v>215</v>
      </c>
      <c r="T39" s="1" t="s">
        <v>104</v>
      </c>
      <c r="X39" s="1" t="s">
        <v>236</v>
      </c>
    </row>
    <row r="40" spans="1:24" s="1" customFormat="1" ht="14.25" thickBot="1" x14ac:dyDescent="0.2">
      <c r="A40" s="11">
        <f t="shared" si="6"/>
        <v>797120</v>
      </c>
      <c r="B40" s="11" t="s">
        <v>224</v>
      </c>
      <c r="C40" s="19" t="s">
        <v>216</v>
      </c>
      <c r="D40" s="19" t="s">
        <v>217</v>
      </c>
      <c r="E40" s="19" t="s">
        <v>218</v>
      </c>
      <c r="F40" s="19" t="s">
        <v>219</v>
      </c>
      <c r="G40" s="18" t="s">
        <v>212</v>
      </c>
      <c r="T40" s="1" t="s">
        <v>104</v>
      </c>
      <c r="X40" s="1" t="s">
        <v>237</v>
      </c>
    </row>
    <row r="41" spans="1:24" s="1" customFormat="1" x14ac:dyDescent="0.15">
      <c r="A41" s="11"/>
      <c r="B41" s="11"/>
      <c r="T41" s="1" t="s">
        <v>104</v>
      </c>
      <c r="X41" s="1" t="s">
        <v>238</v>
      </c>
    </row>
    <row r="42" spans="1:24" s="1" customFormat="1" x14ac:dyDescent="0.15">
      <c r="A42" s="11"/>
      <c r="B42" s="11"/>
      <c r="T42" s="1" t="s">
        <v>239</v>
      </c>
      <c r="X42" s="1" t="s">
        <v>240</v>
      </c>
    </row>
    <row r="43" spans="1:24" s="1" customFormat="1" x14ac:dyDescent="0.15">
      <c r="A43" s="11"/>
      <c r="B43" s="11"/>
      <c r="T43" s="1" t="s">
        <v>241</v>
      </c>
      <c r="X43" s="1" t="s">
        <v>245</v>
      </c>
    </row>
    <row r="44" spans="1:24" s="1" customFormat="1" x14ac:dyDescent="0.15">
      <c r="A44" s="11"/>
      <c r="B44" s="11"/>
      <c r="T44" s="1" t="s">
        <v>104</v>
      </c>
      <c r="X44" s="1" t="s">
        <v>242</v>
      </c>
    </row>
    <row r="45" spans="1:24" s="1" customFormat="1" x14ac:dyDescent="0.15">
      <c r="A45" s="11"/>
      <c r="B45" s="11"/>
      <c r="T45" s="1" t="s">
        <v>244</v>
      </c>
      <c r="X45" s="1" t="s">
        <v>243</v>
      </c>
    </row>
    <row r="46" spans="1:24" s="1" customFormat="1" x14ac:dyDescent="0.15">
      <c r="A46" s="11"/>
      <c r="B46" s="11"/>
    </row>
    <row r="47" spans="1:24" s="1" customFormat="1" ht="14.25" thickBot="1" x14ac:dyDescent="0.2">
      <c r="A47" s="11"/>
      <c r="B47" s="11"/>
      <c r="C47" s="1" t="s">
        <v>90</v>
      </c>
    </row>
    <row r="48" spans="1:24" s="1" customFormat="1" ht="14.25" thickBot="1" x14ac:dyDescent="0.2">
      <c r="A48" s="11">
        <f t="shared" ref="A48:A50" si="7">A49-16</f>
        <v>800176</v>
      </c>
      <c r="B48" s="11" t="str">
        <f t="shared" ref="B48:B50" si="8">DEC2HEX(A48,5)</f>
        <v>C35B0</v>
      </c>
      <c r="D48" s="17" t="s">
        <v>4</v>
      </c>
      <c r="E48" s="18" t="s">
        <v>1</v>
      </c>
      <c r="F48" s="17" t="s">
        <v>95</v>
      </c>
      <c r="G48" s="18" t="s">
        <v>5</v>
      </c>
      <c r="H48" s="17" t="s">
        <v>96</v>
      </c>
      <c r="I48" s="19" t="s">
        <v>28</v>
      </c>
      <c r="J48" s="19" t="s">
        <v>20</v>
      </c>
      <c r="K48" s="18" t="s">
        <v>5</v>
      </c>
      <c r="L48" s="17" t="s">
        <v>5</v>
      </c>
      <c r="M48" s="19" t="s">
        <v>5</v>
      </c>
      <c r="N48" s="19" t="s">
        <v>5</v>
      </c>
      <c r="O48" s="18" t="s">
        <v>5</v>
      </c>
      <c r="P48" s="17" t="s">
        <v>5</v>
      </c>
      <c r="Q48" s="19" t="s">
        <v>5</v>
      </c>
      <c r="R48" s="19" t="s">
        <v>5</v>
      </c>
      <c r="T48" s="1" t="s">
        <v>120</v>
      </c>
      <c r="X48" s="1" t="s">
        <v>106</v>
      </c>
    </row>
    <row r="49" spans="1:24" s="1" customFormat="1" ht="14.25" thickBot="1" x14ac:dyDescent="0.2">
      <c r="A49" s="11">
        <f t="shared" si="7"/>
        <v>800192</v>
      </c>
      <c r="B49" s="11" t="str">
        <f t="shared" si="8"/>
        <v>C35C0</v>
      </c>
      <c r="C49" s="18" t="s">
        <v>5</v>
      </c>
      <c r="D49" s="17" t="s">
        <v>5</v>
      </c>
      <c r="E49" s="19" t="s">
        <v>5</v>
      </c>
      <c r="F49" s="19" t="s">
        <v>5</v>
      </c>
      <c r="G49" s="18" t="s">
        <v>5</v>
      </c>
      <c r="H49" s="17" t="s">
        <v>5</v>
      </c>
      <c r="I49" s="19" t="s">
        <v>5</v>
      </c>
      <c r="J49" s="19" t="s">
        <v>5</v>
      </c>
      <c r="K49" s="18" t="s">
        <v>5</v>
      </c>
      <c r="L49" s="17" t="s">
        <v>5</v>
      </c>
      <c r="M49" s="18" t="s">
        <v>5</v>
      </c>
      <c r="N49" s="25" t="s">
        <v>46</v>
      </c>
      <c r="O49" s="23" t="s">
        <v>97</v>
      </c>
      <c r="P49" s="23" t="s">
        <v>98</v>
      </c>
      <c r="Q49" s="23" t="s">
        <v>47</v>
      </c>
      <c r="R49" s="24" t="s">
        <v>5</v>
      </c>
      <c r="T49" s="1" t="s">
        <v>121</v>
      </c>
      <c r="X49" s="1" t="s">
        <v>74</v>
      </c>
    </row>
    <row r="50" spans="1:24" ht="14.25" thickBot="1" x14ac:dyDescent="0.2">
      <c r="A50" s="11">
        <f t="shared" si="7"/>
        <v>800208</v>
      </c>
      <c r="B50" s="11" t="str">
        <f t="shared" si="8"/>
        <v>C35D0</v>
      </c>
      <c r="C50" s="25" t="s">
        <v>5</v>
      </c>
      <c r="D50" s="23" t="s">
        <v>5</v>
      </c>
      <c r="E50" s="23" t="s">
        <v>5</v>
      </c>
      <c r="F50" s="23" t="s">
        <v>5</v>
      </c>
      <c r="G50" s="23" t="s">
        <v>5</v>
      </c>
      <c r="H50" s="23" t="s">
        <v>5</v>
      </c>
      <c r="I50" s="23" t="s">
        <v>5</v>
      </c>
      <c r="J50" s="23" t="s">
        <v>5</v>
      </c>
      <c r="K50" s="23" t="s">
        <v>5</v>
      </c>
      <c r="L50" s="23" t="s">
        <v>5</v>
      </c>
      <c r="M50" s="23" t="s">
        <v>5</v>
      </c>
      <c r="N50" s="22" t="s">
        <v>5</v>
      </c>
      <c r="O50" s="22" t="s">
        <v>5</v>
      </c>
      <c r="P50" s="22" t="s">
        <v>5</v>
      </c>
      <c r="Q50" s="22" t="s">
        <v>5</v>
      </c>
      <c r="R50" s="21" t="s">
        <v>5</v>
      </c>
      <c r="T50" s="12" t="s">
        <v>122</v>
      </c>
      <c r="X50" t="s">
        <v>123</v>
      </c>
    </row>
    <row r="51" spans="1:24" ht="14.25" thickBot="1" x14ac:dyDescent="0.2">
      <c r="A51" s="11">
        <f t="shared" ref="A51:A70" si="9">A52-16</f>
        <v>800224</v>
      </c>
      <c r="B51" s="11" t="str">
        <f t="shared" ref="B51:B70" si="10">DEC2HEX(A51,5)</f>
        <v>C35E0</v>
      </c>
      <c r="C51" s="20" t="s">
        <v>5</v>
      </c>
      <c r="D51" s="22" t="s">
        <v>5</v>
      </c>
      <c r="E51" s="22" t="s">
        <v>5</v>
      </c>
      <c r="F51" s="22" t="s">
        <v>5</v>
      </c>
      <c r="G51" s="22" t="s">
        <v>5</v>
      </c>
      <c r="H51" s="22" t="s">
        <v>5</v>
      </c>
      <c r="I51" s="22" t="s">
        <v>5</v>
      </c>
      <c r="J51" s="22" t="s">
        <v>5</v>
      </c>
      <c r="K51" s="22" t="s">
        <v>5</v>
      </c>
      <c r="L51" s="22" t="s">
        <v>5</v>
      </c>
      <c r="M51" s="21" t="s">
        <v>5</v>
      </c>
      <c r="N51" s="25" t="s">
        <v>5</v>
      </c>
      <c r="O51" s="23" t="s">
        <v>5</v>
      </c>
      <c r="P51" s="23" t="s">
        <v>5</v>
      </c>
      <c r="Q51" s="23" t="s">
        <v>5</v>
      </c>
      <c r="R51" s="24" t="s">
        <v>5</v>
      </c>
      <c r="T51" s="3" t="s">
        <v>82</v>
      </c>
      <c r="X51" s="1" t="s">
        <v>124</v>
      </c>
    </row>
    <row r="52" spans="1:24" x14ac:dyDescent="0.15">
      <c r="A52" s="11">
        <f t="shared" si="9"/>
        <v>800240</v>
      </c>
      <c r="B52" s="11" t="str">
        <f t="shared" si="10"/>
        <v>C35F0</v>
      </c>
      <c r="C52" s="25" t="s">
        <v>5</v>
      </c>
      <c r="D52" s="1" t="s">
        <v>5</v>
      </c>
      <c r="E52" s="1" t="s">
        <v>5</v>
      </c>
      <c r="F52" s="1" t="s">
        <v>5</v>
      </c>
      <c r="G52" s="1" t="s">
        <v>5</v>
      </c>
      <c r="H52" s="1" t="s">
        <v>5</v>
      </c>
      <c r="I52" s="1" t="s">
        <v>5</v>
      </c>
      <c r="J52" s="1" t="s">
        <v>5</v>
      </c>
      <c r="K52" s="1" t="s">
        <v>5</v>
      </c>
      <c r="L52" s="1" t="s">
        <v>5</v>
      </c>
      <c r="M52" s="1" t="s">
        <v>5</v>
      </c>
      <c r="N52" s="26" t="s">
        <v>5</v>
      </c>
      <c r="O52" s="26" t="s">
        <v>5</v>
      </c>
      <c r="P52" s="26" t="s">
        <v>5</v>
      </c>
      <c r="Q52" s="26" t="s">
        <v>5</v>
      </c>
      <c r="R52" s="27" t="s">
        <v>5</v>
      </c>
      <c r="T52" s="3" t="s">
        <v>82</v>
      </c>
      <c r="X52" s="1" t="s">
        <v>103</v>
      </c>
    </row>
    <row r="53" spans="1:24" x14ac:dyDescent="0.15">
      <c r="A53" s="11">
        <f t="shared" si="9"/>
        <v>800256</v>
      </c>
      <c r="B53" s="11" t="str">
        <f t="shared" si="10"/>
        <v>C3600</v>
      </c>
      <c r="C53" s="28" t="s">
        <v>5</v>
      </c>
      <c r="D53" s="1" t="s">
        <v>5</v>
      </c>
      <c r="E53" s="1" t="s">
        <v>5</v>
      </c>
      <c r="F53" s="1" t="s">
        <v>5</v>
      </c>
      <c r="G53" s="1" t="s">
        <v>5</v>
      </c>
      <c r="H53" s="1" t="s">
        <v>5</v>
      </c>
      <c r="I53" s="1" t="s">
        <v>5</v>
      </c>
      <c r="J53" s="1" t="s">
        <v>5</v>
      </c>
      <c r="K53" s="1" t="s">
        <v>5</v>
      </c>
      <c r="L53" s="1" t="s">
        <v>5</v>
      </c>
      <c r="M53" s="1" t="s">
        <v>5</v>
      </c>
      <c r="N53" s="26" t="s">
        <v>5</v>
      </c>
      <c r="O53" s="26" t="s">
        <v>5</v>
      </c>
      <c r="P53" s="26" t="s">
        <v>5</v>
      </c>
      <c r="Q53" s="26" t="s">
        <v>5</v>
      </c>
      <c r="R53" s="27" t="s">
        <v>5</v>
      </c>
      <c r="T53" s="3" t="s">
        <v>82</v>
      </c>
      <c r="X53" s="1" t="s">
        <v>103</v>
      </c>
    </row>
    <row r="54" spans="1:24" x14ac:dyDescent="0.15">
      <c r="A54" s="11">
        <f t="shared" si="9"/>
        <v>800272</v>
      </c>
      <c r="B54" s="11" t="str">
        <f t="shared" si="10"/>
        <v>C3610</v>
      </c>
      <c r="C54" s="28" t="s">
        <v>5</v>
      </c>
      <c r="D54" s="1" t="s">
        <v>5</v>
      </c>
      <c r="E54" s="1" t="s">
        <v>5</v>
      </c>
      <c r="F54" s="1" t="s">
        <v>5</v>
      </c>
      <c r="G54" s="1" t="s">
        <v>5</v>
      </c>
      <c r="H54" s="1" t="s">
        <v>5</v>
      </c>
      <c r="I54" s="1" t="s">
        <v>5</v>
      </c>
      <c r="J54" s="1" t="s">
        <v>5</v>
      </c>
      <c r="K54" s="1" t="s">
        <v>5</v>
      </c>
      <c r="L54" s="1" t="s">
        <v>5</v>
      </c>
      <c r="M54" s="1" t="s">
        <v>5</v>
      </c>
      <c r="N54" s="26" t="s">
        <v>5</v>
      </c>
      <c r="O54" s="26" t="s">
        <v>5</v>
      </c>
      <c r="P54" s="26" t="s">
        <v>5</v>
      </c>
      <c r="Q54" s="26" t="s">
        <v>5</v>
      </c>
      <c r="R54" s="27" t="s">
        <v>5</v>
      </c>
      <c r="T54" s="3" t="s">
        <v>82</v>
      </c>
      <c r="X54" s="1" t="s">
        <v>76</v>
      </c>
    </row>
    <row r="55" spans="1:24" x14ac:dyDescent="0.15">
      <c r="A55" s="11">
        <f t="shared" si="9"/>
        <v>800288</v>
      </c>
      <c r="B55" s="11" t="str">
        <f t="shared" si="10"/>
        <v>C3620</v>
      </c>
      <c r="C55" s="28" t="s">
        <v>5</v>
      </c>
      <c r="D55" s="1" t="s">
        <v>5</v>
      </c>
      <c r="E55" s="1" t="s">
        <v>5</v>
      </c>
      <c r="F55" s="1" t="s">
        <v>5</v>
      </c>
      <c r="G55" s="1" t="s">
        <v>5</v>
      </c>
      <c r="H55" s="1" t="s">
        <v>5</v>
      </c>
      <c r="I55" s="1" t="s">
        <v>5</v>
      </c>
      <c r="J55" s="1" t="s">
        <v>5</v>
      </c>
      <c r="K55" s="1" t="s">
        <v>5</v>
      </c>
      <c r="L55" s="1" t="s">
        <v>5</v>
      </c>
      <c r="M55" s="1" t="s">
        <v>5</v>
      </c>
      <c r="N55" s="26" t="s">
        <v>5</v>
      </c>
      <c r="O55" s="26" t="s">
        <v>5</v>
      </c>
      <c r="P55" s="26" t="s">
        <v>5</v>
      </c>
      <c r="Q55" s="26" t="s">
        <v>5</v>
      </c>
      <c r="R55" s="27" t="s">
        <v>5</v>
      </c>
      <c r="T55" s="3" t="s">
        <v>63</v>
      </c>
      <c r="X55" s="1" t="s">
        <v>125</v>
      </c>
    </row>
    <row r="56" spans="1:24" x14ac:dyDescent="0.15">
      <c r="A56" s="11">
        <f t="shared" si="9"/>
        <v>800304</v>
      </c>
      <c r="B56" s="11" t="str">
        <f t="shared" si="10"/>
        <v>C3630</v>
      </c>
      <c r="C56" s="28" t="s">
        <v>5</v>
      </c>
      <c r="D56" s="1" t="s">
        <v>5</v>
      </c>
      <c r="E56" s="1" t="s">
        <v>5</v>
      </c>
      <c r="F56" s="1" t="s">
        <v>5</v>
      </c>
      <c r="G56" s="1" t="s">
        <v>5</v>
      </c>
      <c r="H56" s="1" t="s">
        <v>5</v>
      </c>
      <c r="I56" s="1" t="s">
        <v>5</v>
      </c>
      <c r="J56" s="1" t="s">
        <v>5</v>
      </c>
      <c r="K56" s="1" t="s">
        <v>5</v>
      </c>
      <c r="L56" s="1" t="s">
        <v>5</v>
      </c>
      <c r="M56" s="1" t="s">
        <v>5</v>
      </c>
      <c r="N56" s="26" t="s">
        <v>5</v>
      </c>
      <c r="O56" s="26" t="s">
        <v>5</v>
      </c>
      <c r="P56" s="26" t="s">
        <v>5</v>
      </c>
      <c r="Q56" s="26" t="s">
        <v>5</v>
      </c>
      <c r="R56" s="27" t="s">
        <v>5</v>
      </c>
      <c r="T56" s="3" t="s">
        <v>130</v>
      </c>
      <c r="X56" s="1" t="s">
        <v>127</v>
      </c>
    </row>
    <row r="57" spans="1:24" x14ac:dyDescent="0.15">
      <c r="A57" s="11">
        <f t="shared" si="9"/>
        <v>800320</v>
      </c>
      <c r="B57" s="11" t="str">
        <f t="shared" si="10"/>
        <v>C3640</v>
      </c>
      <c r="C57" s="28" t="s">
        <v>5</v>
      </c>
      <c r="D57" s="1" t="s">
        <v>5</v>
      </c>
      <c r="E57" s="1" t="s">
        <v>5</v>
      </c>
      <c r="F57" s="1" t="s">
        <v>5</v>
      </c>
      <c r="G57" s="1" t="s">
        <v>5</v>
      </c>
      <c r="H57" s="1" t="s">
        <v>5</v>
      </c>
      <c r="I57" s="1" t="s">
        <v>5</v>
      </c>
      <c r="J57" s="1" t="s">
        <v>5</v>
      </c>
      <c r="K57" s="1" t="s">
        <v>5</v>
      </c>
      <c r="L57" s="1" t="s">
        <v>5</v>
      </c>
      <c r="M57" s="1" t="s">
        <v>5</v>
      </c>
      <c r="N57" s="26" t="s">
        <v>5</v>
      </c>
      <c r="O57" s="26" t="s">
        <v>5</v>
      </c>
      <c r="P57" s="26" t="s">
        <v>5</v>
      </c>
      <c r="Q57" s="26" t="s">
        <v>5</v>
      </c>
      <c r="R57" s="27" t="s">
        <v>5</v>
      </c>
      <c r="T57" s="3" t="s">
        <v>129</v>
      </c>
      <c r="X57" s="1" t="s">
        <v>128</v>
      </c>
    </row>
    <row r="58" spans="1:24" ht="14.25" thickBot="1" x14ac:dyDescent="0.2">
      <c r="A58" s="11">
        <f t="shared" si="9"/>
        <v>800336</v>
      </c>
      <c r="B58" s="11" t="str">
        <f t="shared" si="10"/>
        <v>C3650</v>
      </c>
      <c r="C58" s="28" t="s">
        <v>5</v>
      </c>
      <c r="D58" s="1" t="s">
        <v>5</v>
      </c>
      <c r="E58" s="1" t="s">
        <v>5</v>
      </c>
      <c r="F58" s="1" t="s">
        <v>5</v>
      </c>
      <c r="G58" s="1" t="s">
        <v>5</v>
      </c>
      <c r="H58" s="1" t="s">
        <v>5</v>
      </c>
      <c r="I58" s="1" t="s">
        <v>5</v>
      </c>
      <c r="J58" s="1" t="s">
        <v>5</v>
      </c>
      <c r="K58" s="1" t="s">
        <v>5</v>
      </c>
      <c r="L58" s="1" t="s">
        <v>5</v>
      </c>
      <c r="M58" s="1" t="s">
        <v>5</v>
      </c>
      <c r="N58" s="22" t="s">
        <v>5</v>
      </c>
      <c r="O58" s="22" t="s">
        <v>5</v>
      </c>
      <c r="P58" s="22" t="s">
        <v>5</v>
      </c>
      <c r="Q58" s="22" t="s">
        <v>5</v>
      </c>
      <c r="R58" s="21" t="s">
        <v>5</v>
      </c>
      <c r="T58" s="3" t="s">
        <v>63</v>
      </c>
      <c r="X58" s="1" t="s">
        <v>134</v>
      </c>
    </row>
    <row r="59" spans="1:24" ht="14.25" thickBot="1" x14ac:dyDescent="0.2">
      <c r="A59" s="11">
        <f t="shared" si="9"/>
        <v>800352</v>
      </c>
      <c r="B59" s="11" t="str">
        <f t="shared" si="10"/>
        <v>C3660</v>
      </c>
      <c r="C59" s="20" t="s">
        <v>5</v>
      </c>
      <c r="D59" s="22" t="s">
        <v>5</v>
      </c>
      <c r="E59" s="22" t="s">
        <v>5</v>
      </c>
      <c r="F59" s="22" t="s">
        <v>5</v>
      </c>
      <c r="G59" s="22" t="s">
        <v>5</v>
      </c>
      <c r="H59" s="22" t="s">
        <v>5</v>
      </c>
      <c r="I59" s="22" t="s">
        <v>5</v>
      </c>
      <c r="J59" s="22" t="s">
        <v>5</v>
      </c>
      <c r="K59" s="22" t="s">
        <v>5</v>
      </c>
      <c r="L59" s="22" t="s">
        <v>5</v>
      </c>
      <c r="M59" s="21" t="s">
        <v>5</v>
      </c>
      <c r="N59" s="17" t="s">
        <v>5</v>
      </c>
      <c r="O59" s="18" t="s">
        <v>5</v>
      </c>
      <c r="P59" s="17" t="s">
        <v>33</v>
      </c>
      <c r="Q59" s="18" t="s">
        <v>5</v>
      </c>
      <c r="R59" s="17" t="s">
        <v>5</v>
      </c>
      <c r="T59" s="3" t="s">
        <v>131</v>
      </c>
      <c r="X59" s="1" t="s">
        <v>132</v>
      </c>
    </row>
    <row r="60" spans="1:24" ht="14.25" thickBot="1" x14ac:dyDescent="0.2">
      <c r="A60" s="11">
        <f>A70-16</f>
        <v>800368</v>
      </c>
      <c r="B60" s="11" t="str">
        <f t="shared" si="10"/>
        <v>C3670</v>
      </c>
      <c r="C60" s="18" t="s">
        <v>5</v>
      </c>
      <c r="D60" s="17" t="s">
        <v>5</v>
      </c>
      <c r="E60" s="18" t="s">
        <v>5</v>
      </c>
      <c r="F60" s="17" t="s">
        <v>5</v>
      </c>
      <c r="G60" s="19" t="s">
        <v>5</v>
      </c>
      <c r="H60" s="19" t="s">
        <v>5</v>
      </c>
      <c r="I60" s="19" t="s">
        <v>5</v>
      </c>
      <c r="J60" s="19" t="s">
        <v>5</v>
      </c>
      <c r="K60" s="19" t="s">
        <v>5</v>
      </c>
      <c r="L60" s="19" t="s">
        <v>5</v>
      </c>
      <c r="M60" s="18" t="s">
        <v>5</v>
      </c>
      <c r="N60" s="17" t="s">
        <v>5</v>
      </c>
      <c r="O60" s="19" t="s">
        <v>5</v>
      </c>
      <c r="P60" s="19" t="s">
        <v>5</v>
      </c>
      <c r="Q60" s="19" t="s">
        <v>5</v>
      </c>
      <c r="R60" s="19" t="s">
        <v>5</v>
      </c>
      <c r="T60" s="3" t="s">
        <v>63</v>
      </c>
      <c r="X60" s="1" t="s">
        <v>133</v>
      </c>
    </row>
    <row r="61" spans="1:24" ht="14.25" thickBot="1" x14ac:dyDescent="0.2">
      <c r="A61" s="11">
        <v>800384</v>
      </c>
      <c r="B61" s="11" t="s">
        <v>99</v>
      </c>
      <c r="C61" s="19" t="s">
        <v>5</v>
      </c>
      <c r="D61" s="19" t="s">
        <v>5</v>
      </c>
      <c r="E61" s="18" t="s">
        <v>5</v>
      </c>
      <c r="F61" s="17" t="s">
        <v>5</v>
      </c>
      <c r="G61" s="19" t="s">
        <v>5</v>
      </c>
      <c r="H61" s="19" t="s">
        <v>5</v>
      </c>
      <c r="I61" s="19" t="s">
        <v>5</v>
      </c>
      <c r="J61" s="19" t="s">
        <v>5</v>
      </c>
      <c r="K61" s="19" t="s">
        <v>5</v>
      </c>
      <c r="L61" s="19" t="s">
        <v>5</v>
      </c>
      <c r="M61" s="18" t="s">
        <v>5</v>
      </c>
      <c r="N61" s="1"/>
      <c r="O61" s="1"/>
      <c r="P61" s="1"/>
      <c r="Q61" s="1"/>
      <c r="R61" s="1"/>
      <c r="T61" s="3" t="s">
        <v>63</v>
      </c>
      <c r="X61" s="1" t="s">
        <v>135</v>
      </c>
    </row>
    <row r="62" spans="1:24" x14ac:dyDescent="0.1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T62" s="3" t="s">
        <v>129</v>
      </c>
      <c r="V62" s="1"/>
      <c r="X62" s="1" t="s">
        <v>135</v>
      </c>
    </row>
    <row r="63" spans="1:24" x14ac:dyDescent="0.1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T63" s="3" t="s">
        <v>129</v>
      </c>
      <c r="V63" s="1"/>
      <c r="X63" s="1" t="s">
        <v>135</v>
      </c>
    </row>
    <row r="64" spans="1:24" x14ac:dyDescent="0.1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T64" s="3" t="s">
        <v>129</v>
      </c>
      <c r="V64" s="1"/>
      <c r="X64" s="1" t="s">
        <v>136</v>
      </c>
    </row>
    <row r="65" spans="1:27" x14ac:dyDescent="0.1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T65" s="3" t="s">
        <v>137</v>
      </c>
      <c r="V65" s="1"/>
      <c r="X65" s="1" t="s">
        <v>138</v>
      </c>
    </row>
    <row r="66" spans="1:27" x14ac:dyDescent="0.1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T66" s="3" t="s">
        <v>137</v>
      </c>
      <c r="V66" s="1"/>
      <c r="X66" s="1" t="s">
        <v>139</v>
      </c>
    </row>
    <row r="67" spans="1:27" x14ac:dyDescent="0.1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T67" s="3" t="s">
        <v>137</v>
      </c>
      <c r="V67" s="1"/>
      <c r="X67" s="1" t="s">
        <v>140</v>
      </c>
    </row>
    <row r="68" spans="1:27" x14ac:dyDescent="0.1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T68" s="3"/>
      <c r="V68" s="1"/>
      <c r="X68" s="1"/>
    </row>
    <row r="69" spans="1:27" ht="14.25" thickBot="1" x14ac:dyDescent="0.2">
      <c r="C69" s="1" t="s">
        <v>86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T69" s="1"/>
      <c r="V69" s="1"/>
    </row>
    <row r="70" spans="1:27" ht="14.25" thickBot="1" x14ac:dyDescent="0.2">
      <c r="A70" s="11">
        <f t="shared" si="9"/>
        <v>800384</v>
      </c>
      <c r="B70" s="11" t="str">
        <f t="shared" si="10"/>
        <v>C3680</v>
      </c>
      <c r="N70" s="17" t="s">
        <v>4</v>
      </c>
      <c r="O70" s="18" t="s">
        <v>39</v>
      </c>
      <c r="P70" s="4" t="s">
        <v>54</v>
      </c>
      <c r="Q70" s="6" t="s">
        <v>5</v>
      </c>
      <c r="R70" s="17" t="s">
        <v>5</v>
      </c>
      <c r="T70" s="12" t="s">
        <v>115</v>
      </c>
      <c r="X70" s="1" t="s">
        <v>106</v>
      </c>
    </row>
    <row r="71" spans="1:27" ht="14.25" thickBot="1" x14ac:dyDescent="0.2">
      <c r="A71" s="11">
        <f>A81-16</f>
        <v>800400</v>
      </c>
      <c r="B71" s="11" t="str">
        <f>DEC2HEX(A71,5)</f>
        <v>C3690</v>
      </c>
      <c r="C71" s="19" t="s">
        <v>5</v>
      </c>
      <c r="D71" s="19" t="s">
        <v>5</v>
      </c>
      <c r="E71" s="18" t="s">
        <v>5</v>
      </c>
      <c r="F71" s="17" t="s">
        <v>56</v>
      </c>
      <c r="G71" s="19" t="s">
        <v>58</v>
      </c>
      <c r="H71" s="19" t="s">
        <v>20</v>
      </c>
      <c r="I71" s="18" t="s">
        <v>5</v>
      </c>
      <c r="J71" s="17" t="s">
        <v>5</v>
      </c>
      <c r="K71" s="19" t="s">
        <v>5</v>
      </c>
      <c r="L71" s="19" t="s">
        <v>5</v>
      </c>
      <c r="M71" s="18" t="s">
        <v>5</v>
      </c>
      <c r="N71" s="17" t="s">
        <v>13</v>
      </c>
      <c r="O71" s="18" t="s">
        <v>5</v>
      </c>
      <c r="P71" s="17" t="s">
        <v>57</v>
      </c>
      <c r="Q71" s="18" t="s">
        <v>5</v>
      </c>
      <c r="R71" s="52" t="s">
        <v>59</v>
      </c>
      <c r="T71" s="1" t="s">
        <v>88</v>
      </c>
      <c r="X71" s="12" t="s">
        <v>87</v>
      </c>
    </row>
    <row r="72" spans="1:27" ht="14.25" thickBot="1" x14ac:dyDescent="0.2">
      <c r="A72" s="11">
        <f>HEX2DEC(B72)</f>
        <v>800416</v>
      </c>
      <c r="B72" s="1" t="s">
        <v>55</v>
      </c>
      <c r="C72" s="53" t="s">
        <v>5</v>
      </c>
      <c r="D72" s="56" t="s">
        <v>38</v>
      </c>
      <c r="E72" s="57" t="s">
        <v>30</v>
      </c>
      <c r="F72" s="57" t="s">
        <v>5</v>
      </c>
      <c r="G72" s="58" t="s">
        <v>5</v>
      </c>
      <c r="R72" t="s">
        <v>248</v>
      </c>
      <c r="T72" s="1" t="s">
        <v>82</v>
      </c>
      <c r="X72" s="1" t="s">
        <v>86</v>
      </c>
    </row>
    <row r="73" spans="1:27" x14ac:dyDescent="0.15">
      <c r="B73" s="1"/>
      <c r="C73" s="26"/>
      <c r="D73" s="26"/>
      <c r="E73" s="26"/>
      <c r="F73" s="26"/>
      <c r="G73" s="26"/>
      <c r="T73" s="1" t="s">
        <v>89</v>
      </c>
      <c r="X73" s="1" t="s">
        <v>90</v>
      </c>
      <c r="Y73" s="1"/>
      <c r="AA73" s="1"/>
    </row>
    <row r="74" spans="1:27" x14ac:dyDescent="0.15">
      <c r="B74" s="1"/>
      <c r="C74" s="26"/>
      <c r="D74" s="26"/>
      <c r="E74" s="26"/>
      <c r="F74" s="26"/>
      <c r="G74" s="26"/>
      <c r="T74" s="1" t="s">
        <v>82</v>
      </c>
      <c r="X74" s="1" t="s">
        <v>76</v>
      </c>
      <c r="Y74" s="1"/>
      <c r="AA74" s="1"/>
    </row>
    <row r="75" spans="1:27" x14ac:dyDescent="0.15">
      <c r="B75" s="1"/>
      <c r="C75" s="26"/>
      <c r="D75" s="26"/>
      <c r="E75" s="26"/>
      <c r="F75" s="26"/>
      <c r="G75" s="26"/>
      <c r="T75" s="2" t="s">
        <v>71</v>
      </c>
      <c r="U75" s="38"/>
      <c r="V75" s="38"/>
      <c r="W75" s="38"/>
      <c r="X75" s="2" t="s">
        <v>91</v>
      </c>
      <c r="Y75" s="1"/>
      <c r="AA75" s="1"/>
    </row>
    <row r="76" spans="1:27" x14ac:dyDescent="0.15">
      <c r="B76" s="1"/>
      <c r="C76" s="26"/>
      <c r="D76" s="26"/>
      <c r="E76" s="26"/>
      <c r="F76" s="26"/>
      <c r="G76" s="26"/>
      <c r="T76" s="1" t="s">
        <v>92</v>
      </c>
      <c r="X76" s="1" t="s">
        <v>93</v>
      </c>
      <c r="Y76" s="1"/>
      <c r="AA76" s="1"/>
    </row>
    <row r="77" spans="1:27" x14ac:dyDescent="0.15">
      <c r="B77" s="1"/>
      <c r="C77" s="26"/>
      <c r="D77" s="26"/>
      <c r="E77" s="26"/>
      <c r="F77" s="26"/>
      <c r="G77" s="26"/>
      <c r="T77" s="54" t="s">
        <v>94</v>
      </c>
      <c r="U77" s="55"/>
      <c r="V77" s="55"/>
      <c r="W77" s="55"/>
      <c r="X77" s="54" t="s">
        <v>227</v>
      </c>
      <c r="Y77" s="54"/>
      <c r="Z77" s="55"/>
      <c r="AA77" s="54"/>
    </row>
    <row r="78" spans="1:27" x14ac:dyDescent="0.15">
      <c r="T78" s="59" t="s">
        <v>114</v>
      </c>
      <c r="U78" s="60"/>
      <c r="V78" s="60"/>
      <c r="W78" s="60"/>
      <c r="X78" s="59" t="s">
        <v>228</v>
      </c>
      <c r="Y78" s="60"/>
      <c r="Z78" s="60"/>
    </row>
    <row r="79" spans="1:27" x14ac:dyDescent="0.15">
      <c r="T79" s="1"/>
    </row>
    <row r="80" spans="1:27" ht="14.25" thickBot="1" x14ac:dyDescent="0.2">
      <c r="C80" s="12" t="s">
        <v>75</v>
      </c>
      <c r="P80" t="s">
        <v>247</v>
      </c>
    </row>
    <row r="81" spans="1:28" ht="14.25" thickBot="1" x14ac:dyDescent="0.2">
      <c r="A81" s="11">
        <f>HEX2DEC(B81)</f>
        <v>800416</v>
      </c>
      <c r="B81" s="1" t="s">
        <v>55</v>
      </c>
      <c r="H81" s="4" t="s">
        <v>6</v>
      </c>
      <c r="I81" s="6" t="s">
        <v>39</v>
      </c>
      <c r="J81" s="4" t="s">
        <v>40</v>
      </c>
      <c r="K81" s="6" t="s">
        <v>5</v>
      </c>
      <c r="L81" s="4" t="s">
        <v>5</v>
      </c>
      <c r="M81" s="5" t="s">
        <v>5</v>
      </c>
      <c r="N81" s="5" t="s">
        <v>5</v>
      </c>
      <c r="O81" s="6" t="s">
        <v>5</v>
      </c>
      <c r="P81" s="40" t="s">
        <v>41</v>
      </c>
      <c r="Q81" s="41" t="s">
        <v>19</v>
      </c>
      <c r="R81" s="41" t="s">
        <v>20</v>
      </c>
      <c r="T81" s="1" t="s">
        <v>80</v>
      </c>
      <c r="X81" s="1" t="s">
        <v>106</v>
      </c>
    </row>
    <row r="82" spans="1:28" ht="14.25" thickBot="1" x14ac:dyDescent="0.2">
      <c r="A82" s="11">
        <f>A81+16</f>
        <v>800432</v>
      </c>
      <c r="B82" s="11" t="str">
        <f>DEC2HEX(A82,5)</f>
        <v>C36B0</v>
      </c>
      <c r="C82" s="42" t="s">
        <v>5</v>
      </c>
      <c r="D82" s="17" t="s">
        <v>5</v>
      </c>
      <c r="E82" s="19" t="s">
        <v>5</v>
      </c>
      <c r="F82" s="19" t="s">
        <v>5</v>
      </c>
      <c r="G82" s="18" t="s">
        <v>5</v>
      </c>
      <c r="H82" s="43" t="s">
        <v>42</v>
      </c>
      <c r="I82" s="44" t="s">
        <v>5</v>
      </c>
      <c r="J82" s="44" t="s">
        <v>5</v>
      </c>
      <c r="K82" s="45" t="s">
        <v>5</v>
      </c>
      <c r="L82" s="4" t="s">
        <v>13</v>
      </c>
      <c r="M82" s="6" t="s">
        <v>5</v>
      </c>
      <c r="N82" s="4" t="s">
        <v>13</v>
      </c>
      <c r="O82" s="6" t="s">
        <v>5</v>
      </c>
      <c r="P82" s="23"/>
      <c r="Q82" s="23"/>
      <c r="R82" s="23"/>
      <c r="T82" s="12" t="s">
        <v>81</v>
      </c>
      <c r="X82" s="12" t="s">
        <v>87</v>
      </c>
    </row>
    <row r="83" spans="1:28" x14ac:dyDescent="0.15">
      <c r="H83" t="s">
        <v>249</v>
      </c>
      <c r="T83" s="12" t="s">
        <v>82</v>
      </c>
      <c r="X83" s="12" t="s">
        <v>75</v>
      </c>
    </row>
    <row r="84" spans="1:28" x14ac:dyDescent="0.15">
      <c r="T84" s="50" t="s">
        <v>83</v>
      </c>
      <c r="U84" s="51"/>
      <c r="V84" s="51"/>
      <c r="W84" s="51"/>
      <c r="X84" s="50" t="s">
        <v>86</v>
      </c>
    </row>
    <row r="85" spans="1:28" x14ac:dyDescent="0.15">
      <c r="T85" s="1" t="s">
        <v>82</v>
      </c>
      <c r="X85" s="1" t="s">
        <v>103</v>
      </c>
    </row>
    <row r="86" spans="1:28" x14ac:dyDescent="0.15">
      <c r="T86" s="61" t="s">
        <v>84</v>
      </c>
      <c r="U86" s="62"/>
      <c r="V86" s="62"/>
      <c r="W86" s="62"/>
      <c r="X86" s="62" t="s">
        <v>226</v>
      </c>
      <c r="Y86" s="62"/>
      <c r="Z86" s="62"/>
      <c r="AA86" s="62"/>
      <c r="AB86" s="62"/>
    </row>
    <row r="87" spans="1:28" x14ac:dyDescent="0.15">
      <c r="T87" s="1" t="s">
        <v>71</v>
      </c>
      <c r="X87" t="s">
        <v>85</v>
      </c>
    </row>
    <row r="88" spans="1:28" x14ac:dyDescent="0.15">
      <c r="T88" s="1" t="s">
        <v>71</v>
      </c>
      <c r="X88" s="1" t="s">
        <v>229</v>
      </c>
    </row>
    <row r="89" spans="1:28" x14ac:dyDescent="0.15">
      <c r="T89" s="1" t="s">
        <v>137</v>
      </c>
      <c r="X89" s="1" t="s">
        <v>103</v>
      </c>
    </row>
    <row r="91" spans="1:28" ht="14.25" thickBot="1" x14ac:dyDescent="0.2">
      <c r="C91" s="1" t="s">
        <v>76</v>
      </c>
    </row>
    <row r="92" spans="1:28" ht="14.25" thickBot="1" x14ac:dyDescent="0.2">
      <c r="A92" s="11">
        <v>800432</v>
      </c>
      <c r="B92" s="11" t="s">
        <v>116</v>
      </c>
      <c r="P92" s="25" t="s">
        <v>43</v>
      </c>
      <c r="Q92" s="24" t="s">
        <v>44</v>
      </c>
      <c r="R92" s="25" t="s">
        <v>45</v>
      </c>
      <c r="T92" s="1" t="s">
        <v>117</v>
      </c>
      <c r="X92" s="1" t="s">
        <v>106</v>
      </c>
    </row>
    <row r="93" spans="1:28" ht="14.25" thickBot="1" x14ac:dyDescent="0.2">
      <c r="A93" s="11">
        <f>A82+16</f>
        <v>800448</v>
      </c>
      <c r="B93" s="11" t="str">
        <f>DEC2HEX(A93,5)</f>
        <v>C36C0</v>
      </c>
      <c r="C93" s="18" t="s">
        <v>5</v>
      </c>
      <c r="D93" s="25" t="s">
        <v>4</v>
      </c>
      <c r="E93" s="23" t="s">
        <v>9</v>
      </c>
      <c r="F93" s="23" t="s">
        <v>1</v>
      </c>
      <c r="G93" s="23" t="s">
        <v>10</v>
      </c>
      <c r="H93" s="23" t="s">
        <v>11</v>
      </c>
      <c r="I93" s="23" t="s">
        <v>2</v>
      </c>
      <c r="J93" s="23" t="s">
        <v>8</v>
      </c>
      <c r="K93" s="23" t="s">
        <v>12</v>
      </c>
      <c r="L93" s="23" t="s">
        <v>2</v>
      </c>
      <c r="M93" s="19" t="s">
        <v>46</v>
      </c>
      <c r="N93" s="19" t="s">
        <v>47</v>
      </c>
      <c r="O93" s="19" t="s">
        <v>48</v>
      </c>
      <c r="P93" s="19" t="s">
        <v>2</v>
      </c>
      <c r="Q93" s="19" t="s">
        <v>49</v>
      </c>
      <c r="R93" s="18" t="s">
        <v>50</v>
      </c>
      <c r="T93" s="1" t="s">
        <v>118</v>
      </c>
      <c r="X93" s="12" t="s">
        <v>87</v>
      </c>
    </row>
    <row r="94" spans="1:28" ht="14.25" thickBot="1" x14ac:dyDescent="0.2">
      <c r="A94" s="11">
        <f>A93+16</f>
        <v>800464</v>
      </c>
      <c r="B94" s="11" t="str">
        <f t="shared" ref="B94" si="11">DEC2HEX(A94,5)</f>
        <v>C36D0</v>
      </c>
      <c r="C94" s="29" t="s">
        <v>51</v>
      </c>
      <c r="D94" s="30" t="s">
        <v>47</v>
      </c>
      <c r="E94" s="30" t="s">
        <v>48</v>
      </c>
      <c r="F94" s="30" t="s">
        <v>37</v>
      </c>
      <c r="G94" s="30" t="s">
        <v>11</v>
      </c>
      <c r="H94" s="30" t="s">
        <v>52</v>
      </c>
      <c r="I94" s="30" t="s">
        <v>2</v>
      </c>
      <c r="J94" s="30" t="s">
        <v>53</v>
      </c>
      <c r="K94" s="30" t="s">
        <v>54</v>
      </c>
      <c r="L94" s="31" t="s">
        <v>5</v>
      </c>
      <c r="M94" s="1"/>
      <c r="N94" s="1"/>
      <c r="O94" s="1"/>
      <c r="P94" s="1"/>
      <c r="Q94" s="1"/>
      <c r="R94" s="1"/>
      <c r="T94" s="1" t="s">
        <v>126</v>
      </c>
      <c r="X94" s="12" t="s">
        <v>119</v>
      </c>
    </row>
    <row r="95" spans="1:28" ht="14.25" thickTop="1" x14ac:dyDescent="0.15">
      <c r="X95" s="1" t="s">
        <v>150</v>
      </c>
    </row>
    <row r="96" spans="1:28" x14ac:dyDescent="0.15">
      <c r="X96" s="1" t="s">
        <v>151</v>
      </c>
    </row>
    <row r="98" spans="1:24" ht="14.25" thickBot="1" x14ac:dyDescent="0.2">
      <c r="C98" t="s">
        <v>167</v>
      </c>
    </row>
    <row r="99" spans="1:24" ht="14.25" thickBot="1" x14ac:dyDescent="0.2">
      <c r="A99" s="11">
        <f t="shared" ref="A99:A101" si="12">HEX2DEC(B99)</f>
        <v>2816</v>
      </c>
      <c r="B99" s="11" t="s">
        <v>168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4" t="s">
        <v>147</v>
      </c>
      <c r="O99" s="4" t="s">
        <v>171</v>
      </c>
      <c r="P99" s="19" t="s">
        <v>147</v>
      </c>
      <c r="Q99" s="18" t="s">
        <v>153</v>
      </c>
      <c r="R99" s="25" t="s">
        <v>161</v>
      </c>
      <c r="T99" s="1" t="s">
        <v>180</v>
      </c>
      <c r="X99" s="1" t="s">
        <v>91</v>
      </c>
    </row>
    <row r="100" spans="1:24" ht="14.25" thickBot="1" x14ac:dyDescent="0.2">
      <c r="A100" s="11">
        <f t="shared" si="12"/>
        <v>2832</v>
      </c>
      <c r="B100" s="11" t="s">
        <v>169</v>
      </c>
      <c r="C100" s="19" t="s">
        <v>161</v>
      </c>
      <c r="D100" s="19" t="s">
        <v>153</v>
      </c>
      <c r="E100" s="18" t="s">
        <v>153</v>
      </c>
      <c r="F100" s="17" t="s">
        <v>153</v>
      </c>
      <c r="G100" s="18" t="s">
        <v>144</v>
      </c>
      <c r="H100" s="17" t="s">
        <v>158</v>
      </c>
      <c r="I100" s="19" t="s">
        <v>159</v>
      </c>
      <c r="J100" s="19" t="s">
        <v>172</v>
      </c>
      <c r="K100" s="19" t="s">
        <v>162</v>
      </c>
      <c r="L100" s="19" t="s">
        <v>161</v>
      </c>
      <c r="M100" s="19" t="s">
        <v>162</v>
      </c>
      <c r="N100" s="19" t="s">
        <v>173</v>
      </c>
      <c r="O100" s="19" t="s">
        <v>174</v>
      </c>
      <c r="P100" s="18" t="s">
        <v>175</v>
      </c>
      <c r="Q100" s="17" t="s">
        <v>176</v>
      </c>
      <c r="R100" s="19" t="s">
        <v>177</v>
      </c>
      <c r="T100" s="1" t="s">
        <v>200</v>
      </c>
      <c r="X100" s="1" t="s">
        <v>208</v>
      </c>
    </row>
    <row r="101" spans="1:24" ht="14.25" thickBot="1" x14ac:dyDescent="0.2">
      <c r="A101" s="11">
        <f t="shared" si="12"/>
        <v>2848</v>
      </c>
      <c r="B101" s="11" t="s">
        <v>170</v>
      </c>
      <c r="C101" s="35" t="s">
        <v>178</v>
      </c>
      <c r="D101" s="36" t="s">
        <v>153</v>
      </c>
      <c r="E101" s="37"/>
      <c r="F101" s="23"/>
      <c r="G101" s="23"/>
      <c r="H101" s="23"/>
      <c r="I101" s="23"/>
      <c r="J101" s="23"/>
      <c r="K101" s="23"/>
      <c r="L101" s="23"/>
      <c r="M101" s="1"/>
      <c r="N101" s="1"/>
      <c r="O101" s="1"/>
      <c r="P101" s="1"/>
      <c r="Q101" s="1"/>
      <c r="R101" s="1"/>
      <c r="T101" s="1" t="s">
        <v>201</v>
      </c>
      <c r="X101" s="1" t="s">
        <v>209</v>
      </c>
    </row>
    <row r="102" spans="1:24" ht="14.25" thickTop="1" x14ac:dyDescent="0.15">
      <c r="T102" s="1" t="s">
        <v>202</v>
      </c>
    </row>
    <row r="103" spans="1:24" x14ac:dyDescent="0.15">
      <c r="T103" s="1" t="s">
        <v>203</v>
      </c>
      <c r="X103" s="1" t="s">
        <v>206</v>
      </c>
    </row>
    <row r="104" spans="1:24" x14ac:dyDescent="0.15">
      <c r="T104" s="1" t="s">
        <v>204</v>
      </c>
      <c r="X104" s="1" t="s">
        <v>151</v>
      </c>
    </row>
    <row r="105" spans="1:24" x14ac:dyDescent="0.15">
      <c r="T105" s="1" t="s">
        <v>205</v>
      </c>
      <c r="X105" s="1" t="s">
        <v>146</v>
      </c>
    </row>
    <row r="106" spans="1:24" x14ac:dyDescent="0.15">
      <c r="T106" s="1"/>
    </row>
    <row r="107" spans="1:24" ht="14.25" thickBot="1" x14ac:dyDescent="0.2">
      <c r="C107" t="s">
        <v>179</v>
      </c>
    </row>
    <row r="108" spans="1:24" ht="14.25" thickBot="1" x14ac:dyDescent="0.2">
      <c r="A108" s="11">
        <f t="shared" ref="A108:A110" si="13">HEX2DEC(B108)</f>
        <v>796960</v>
      </c>
      <c r="B108" s="11" t="s">
        <v>197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1"/>
      <c r="N108" s="34" t="s">
        <v>180</v>
      </c>
      <c r="O108" s="34" t="s">
        <v>181</v>
      </c>
      <c r="P108" s="4" t="s">
        <v>180</v>
      </c>
      <c r="Q108" s="19" t="s">
        <v>181</v>
      </c>
      <c r="R108" s="18" t="s">
        <v>182</v>
      </c>
      <c r="T108" s="1" t="s">
        <v>180</v>
      </c>
      <c r="X108" s="1" t="s">
        <v>91</v>
      </c>
    </row>
    <row r="109" spans="1:24" ht="14.25" thickBot="1" x14ac:dyDescent="0.2">
      <c r="A109" s="11">
        <f t="shared" si="13"/>
        <v>796976</v>
      </c>
      <c r="B109" s="11" t="s">
        <v>198</v>
      </c>
      <c r="C109" s="19" t="s">
        <v>183</v>
      </c>
      <c r="D109" s="19" t="s">
        <v>181</v>
      </c>
      <c r="E109" s="18" t="s">
        <v>184</v>
      </c>
      <c r="F109" s="17" t="s">
        <v>181</v>
      </c>
      <c r="G109" s="18" t="s">
        <v>184</v>
      </c>
      <c r="H109" s="17" t="s">
        <v>185</v>
      </c>
      <c r="I109" s="19" t="s">
        <v>181</v>
      </c>
      <c r="J109" s="19" t="s">
        <v>181</v>
      </c>
      <c r="K109" s="19" t="s">
        <v>184</v>
      </c>
      <c r="L109" s="19" t="s">
        <v>184</v>
      </c>
      <c r="M109" s="19" t="s">
        <v>186</v>
      </c>
      <c r="N109" s="19" t="s">
        <v>181</v>
      </c>
      <c r="O109" s="19" t="s">
        <v>187</v>
      </c>
      <c r="P109" s="18" t="s">
        <v>188</v>
      </c>
      <c r="Q109" s="17" t="s">
        <v>189</v>
      </c>
      <c r="R109" s="19" t="s">
        <v>190</v>
      </c>
      <c r="T109" s="1" t="s">
        <v>191</v>
      </c>
      <c r="X109" s="1"/>
    </row>
    <row r="110" spans="1:24" ht="14.25" thickBot="1" x14ac:dyDescent="0.2">
      <c r="A110" s="11">
        <f t="shared" si="13"/>
        <v>4991264</v>
      </c>
      <c r="B110" s="11" t="s">
        <v>199</v>
      </c>
      <c r="C110" s="35" t="s">
        <v>187</v>
      </c>
      <c r="D110" s="36" t="s">
        <v>184</v>
      </c>
      <c r="E110" s="37"/>
      <c r="F110" s="23"/>
      <c r="G110" s="23"/>
      <c r="H110" s="23"/>
      <c r="I110" s="23"/>
      <c r="J110" s="23"/>
      <c r="K110" s="23"/>
      <c r="L110" s="23"/>
      <c r="M110" s="1"/>
      <c r="N110" s="1"/>
      <c r="O110" s="1"/>
      <c r="P110" s="1"/>
      <c r="Q110" s="1"/>
      <c r="R110" s="1"/>
      <c r="T110" s="1" t="s">
        <v>192</v>
      </c>
      <c r="X110" s="1" t="s">
        <v>166</v>
      </c>
    </row>
    <row r="111" spans="1:24" ht="14.25" thickTop="1" x14ac:dyDescent="0.15">
      <c r="T111" s="1" t="s">
        <v>193</v>
      </c>
      <c r="X111" s="1"/>
    </row>
    <row r="112" spans="1:24" x14ac:dyDescent="0.15">
      <c r="T112" s="1">
        <v>6</v>
      </c>
      <c r="X112" s="1" t="s">
        <v>207</v>
      </c>
    </row>
    <row r="113" spans="20:24" x14ac:dyDescent="0.15">
      <c r="T113" s="1" t="s">
        <v>196</v>
      </c>
      <c r="X113" s="1" t="s">
        <v>225</v>
      </c>
    </row>
    <row r="114" spans="20:24" x14ac:dyDescent="0.15">
      <c r="T114" s="1" t="s">
        <v>194</v>
      </c>
    </row>
    <row r="115" spans="20:24" x14ac:dyDescent="0.15">
      <c r="T115" s="1" t="s">
        <v>195</v>
      </c>
      <c r="X115" s="1" t="s">
        <v>146</v>
      </c>
    </row>
    <row r="116" spans="20:24" x14ac:dyDescent="0.15">
      <c r="T116" s="1"/>
    </row>
  </sheetData>
  <phoneticPr fontId="1"/>
  <pageMargins left="0.23622047244094491" right="0.23622047244094491" top="0.55118110236220474" bottom="0.35433070866141736" header="0.31496062992125984" footer="0.31496062992125984"/>
  <pageSetup paperSize="9"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E3F_8_2019-08-06_22-02-30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Toshimitsu Kondo/近藤 俊光</cp:lastModifiedBy>
  <cp:lastPrinted>2020-03-27T06:35:35Z</cp:lastPrinted>
  <dcterms:created xsi:type="dcterms:W3CDTF">2020-03-16T02:27:25Z</dcterms:created>
  <dcterms:modified xsi:type="dcterms:W3CDTF">2021-12-24T02:51:05Z</dcterms:modified>
</cp:coreProperties>
</file>